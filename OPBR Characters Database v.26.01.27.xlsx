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acters Database" sheetId="1" r:id="rId5"/>
    <sheet state="visible" name="Characters (ٍSorted) V.2" sheetId="2" r:id="rId6"/>
    <sheet state="visible" name="Bounty Colors" sheetId="3" r:id="rId7"/>
    <sheet state="hidden" name="Scouts Incomplete" sheetId="4" r:id="rId8"/>
    <sheet state="visible" name="Upgrade Costs V.2" sheetId="5" r:id="rId9"/>
    <sheet state="visible" name="Changlog" sheetId="6" r:id="rId10"/>
    <sheet state="visible" name="Characters CSV" sheetId="7" r:id="rId11"/>
    <sheet state="visible" name="الورقة20" sheetId="8" r:id="rId12"/>
  </sheets>
  <definedNames>
    <definedName name="Database_Character_Date">'Characters Database'!$M$6:$M$350</definedName>
    <definedName name="Database_Character_Class">'Characters Database'!$F$6:$F$350</definedName>
    <definedName name="Database_Character_Stars">'Characters Database'!$L$6:$L$350</definedName>
    <definedName name="Database_Character_Image_Link">'Characters Database'!$I$6:$I$350</definedName>
    <definedName name="Database_Character_Type_Image">'Characters Database'!$C$6:$C$350</definedName>
    <definedName name="Database_Character_Tags">'Characters Database'!$G$6:$G$350</definedName>
    <definedName name="Database_Character_Type">'Characters Database'!$B$6:$B$350</definedName>
    <definedName name="Database_Character_Type_Image_Link">'Characters Database'!$J$6:$J$350</definedName>
    <definedName name="Database_Character_Name">'Characters Database'!$E$6:$E$350</definedName>
    <definedName name="Database_Character_Image">'Characters Database'!$D$6:$D$350</definedName>
    <definedName name="Database_Character_ID">'Characters Database'!$A$6:$A$350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tc={09aab4be-1c89-436e-94c5-bd641bb7a428}</author>
    <author>tc={15e187de-2497-4b52-83f1-3f52e2fcc616}</author>
    <author>tc={2b9f7ef4-fbf3-45ad-a689-8e770b43d6e4}</author>
    <author>tc={6cd31c84-ecca-4d95-b486-f821e484b6cc}</author>
    <author>tc={8a3ea3fe-f7cd-472a-a1d8-651468906b7a}</author>
    <author>tc={9f6e2b86-d6f6-4979-8378-dd5648bf7c3d}</author>
    <author>tc={cd0b4409-24b8-4506-9478-56c6b0d68fd1}</author>
    <author>tc={e53addb9-8c82-4998-96e0-9ccea1cd9bfc}</author>
  </authors>
  <commentList>
    <comment authorId="0" xr:uid="{09aab4be-1c89-436e-94c5-bd641bb7a42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Awesome work bro! I use this database a lot, would be cool to add the title of the units!
Reply:
	Thanks bro, Yeah I will do that as soon as I have time
</t>
      </text>
    </comment>
    <comment authorId="1" xr:uid="{15e187de-2497-4b52-83f1-3f52e2fcc61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Incorrect. It’s 3% heal after inflicting aflame on an enemy.
Reply:
	Fixed, Thanks
Reply:
	تمت الإشارة إلى أنّها "مستجابة"
Reply:
	تمت إعادة الفتح
</t>
      </text>
    </comment>
    <comment authorId="2" xr:uid="{2b9f7ef4-fbf3-45ad-a689-8e770b43d6e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Yo! Im creating a website using your characters database. Can you share you socials so that i can credit you properly. Thanks.
Reply:
	تمت الإشارة إلى أنّها "مستجابة"
Reply:
	تمت إعادة الفتح
Reply:
	I would like to take a look at it first, and please contact me so we can discuss this.
Reply:
	تمت الإشارة إلى أنّها "مستجابة"
Reply:
	Sure. I'll dm you on reddit.
تمت إعادة الفتح
</t>
      </text>
    </comment>
    <comment authorId="3" xr:uid="{6cd31c84-ecca-4d95-b486-f821e484b6c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skin is of green runner carrot not this one
Reply:
	Yeah it will be fixed, thanks
</t>
      </text>
    </comment>
    <comment authorId="4" xr:uid="{8a3ea3fe-f7cd-472a-a1d8-651468906b7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 medals sheet in search page, the drop down menu for tags doesn't seem to work like before. The drop down menu isn't there anymore.
Reply:
	تمت الإشارة إلى أنّها "مستجابة"
Reply:
	تمت إعادة الفتح
Reply:
	If you press backspace while you are selecting the dropdown cell, and the dropdown was empty, that will remove the dropdown, so you can press Ctrl+Z, if that didn't work then you have to open a new copy of the sheet
</t>
      </text>
    </comment>
    <comment authorId="5" xr:uid="{9f6e2b86-d6f6-4979-8378-dd5648bf7c3d}" ref="D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suggestion to make this table better. Characters that have been buffed can be put again in the list and their tag should ( buffed bounty festival) or something like that because characters that get buffed deserve to be put in newer lists
Reply:
	تمت الإشارة إلى أنّها "مستجابة"
Reply:
	تمت إعادة الفتح
</t>
      </text>
    </comment>
    <comment authorId="6" xr:uid="{cd0b4409-24b8-4506-9478-56c6b0d68fd1}" ref="H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date is wrong
</t>
      </text>
    </comment>
    <comment authorId="7" xr:uid="{e53addb9-8c82-4998-96e0-9ccea1cd9bfc}" ref="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If you have any ideas to improve this sheet, please put it in a comment.
Reply:
	Would you mind if i use this as a csv for a website im planning on making?
Reply:
	Sure, but don’t forget the credit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8">
      <text>
        <t xml:space="preserve">Those three characters are not classified together:
-Red-Haired Pirates / Captain Shanks: You can get him from normal missions.
-The Paramount War Monkey D. Luffy: You can get him from special missions.
-ODYSSEY Adio Suerte: A limited free 4-star character
But I won't add a separate category for a single character, so I've grouped them into one category.</t>
      </text>
    </comment>
    <comment authorId="0" ref="A38">
      <text>
        <t xml:space="preserve">EX Characters:
-FILM Z  Zephyr
-FILM RED  Shanks
Are classified as 'Limited Extreme' but that makes no sence since all the EXs are limited.</t>
      </text>
    </comment>
  </commentList>
</comments>
</file>

<file path=xl/sharedStrings.xml><?xml version="1.0" encoding="utf-8"?>
<sst xmlns="http://schemas.openxmlformats.org/spreadsheetml/2006/main" count="6089" uniqueCount="3203">
  <si>
    <t>🌟If you have any suggestions to improve the sheet, please insert a comment in this cell with your idea.</t>
  </si>
  <si>
    <t>📥Download Link</t>
  </si>
  <si>
    <t>OPBR Traits Database v.26.01.27</t>
  </si>
  <si>
    <t>OPBR Medals Database v.26.01.27</t>
  </si>
  <si>
    <r>
      <rPr>
        <rFont val="Mada"/>
        <b/>
        <color rgb="FF1155CC"/>
        <sz val="14.0"/>
        <u/>
      </rPr>
      <t>☕Support my work &amp; keep OPBR sheets updated.</t>
    </r>
    <r>
      <rPr>
        <rFont val="Mada"/>
        <b/>
        <color rgb="FFFFFFFF"/>
        <sz val="14.0"/>
      </rPr>
      <t xml:space="preserve"> Thanks💖 </t>
    </r>
  </si>
  <si>
    <t>Dark
Defender</t>
  </si>
  <si>
    <t>Baroque Works / Officer Agent
Mr. 5</t>
  </si>
  <si>
    <t>Step Up</t>
  </si>
  <si>
    <t>Defender(s)
Baroque Works
Paramecia
Power users
The Grand Line</t>
  </si>
  <si>
    <t>https://i.postimg.cc/MZLRHkwV/343-Baroque-Works-Officer-Agent-Mr-3.png</t>
  </si>
  <si>
    <t>Green
Runner</t>
  </si>
  <si>
    <t>Baroque Works / Officer Agent
Ms. Valentine</t>
  </si>
  <si>
    <t>Runner(s)
Baroque Works
Paramecia
Power users
The Grand Line</t>
  </si>
  <si>
    <t>https://i.postimg.cc/KcWLjXbt/342-Baroque-Works-Officer-Agent-Ms-Valentine.png</t>
  </si>
  <si>
    <t>Dark-Light
Attacker</t>
  </si>
  <si>
    <t>The Four Emperors
Marshall D. Teach</t>
  </si>
  <si>
    <t>Extreme</t>
  </si>
  <si>
    <t>Attacker(s)
The Seven Warlords of the Sea / Former Warlords of the Sea
Paramecia
Logia
Captain
Power users
New World
Worst Generation
Blackbeard Pirates</t>
  </si>
  <si>
    <t>https://i.postimg.cc/2ST14Lhy/341-The-Four-Emperors-Marshall-D-Teach.png</t>
  </si>
  <si>
    <t>Light
Attacker-Defender-Runner</t>
  </si>
  <si>
    <t>ASL
Ace &amp; Sabo &amp; Luffy</t>
  </si>
  <si>
    <t>Bounty Festival</t>
  </si>
  <si>
    <t>Attacker(s)
East Blue
Paramecia
Power users</t>
  </si>
  <si>
    <t>https://i.postimg.cc/Jz7CBYLG/340-ASL-Ace-Sabo-Luffy.png</t>
  </si>
  <si>
    <t>Red
Runner</t>
  </si>
  <si>
    <t>Winner Island
Trafalgar Law</t>
  </si>
  <si>
    <t>Runner(s)
The Seven Warlords of the Sea / Former Warlords of the Sea
Paramecia
Captain
Power users
New World
Worst Generation</t>
  </si>
  <si>
    <t>https://i.postimg.cc/DZzPtPj6/339-Winner-Island-Trafalgar-Law.png</t>
  </si>
  <si>
    <t>Light
Defender</t>
  </si>
  <si>
    <t>Winner Island
Bepo</t>
  </si>
  <si>
    <t>Defender(s)
New World
Minks</t>
  </si>
  <si>
    <t>https://i.postimg.cc/tC85ZhVM/338-Winner-Island-Bepo.png</t>
  </si>
  <si>
    <t>Genius Scientist
Vegapunk</t>
  </si>
  <si>
    <t>Runner(s)
Navy
Paramecia
Power users
New World
Long-Range Normal Attacks</t>
  </si>
  <si>
    <t>https://i.postimg.cc/XvHRZRhz/337-Genius-Scientist-Vegapunk.png</t>
  </si>
  <si>
    <t>Red
Attacker</t>
  </si>
  <si>
    <t>Father and Daughter
Kuma &amp; Bonney</t>
  </si>
  <si>
    <t>Attacker(s)
The Seven Warlords of the Sea / Former Warlords of the Sea
Revolutionary Army
Paramecia
Captain
Power users
New World
Worst Generation
Royalty / Former Royalty</t>
  </si>
  <si>
    <t>https://i.postimg.cc/5t7hHhGr/336-Father-and-Daughter-Kuma-Bonney.png</t>
  </si>
  <si>
    <t>Dark
Runner</t>
  </si>
  <si>
    <t>Egghead
Jinbe</t>
  </si>
  <si>
    <t>Runner(s)
The Seven Warlords of the Sea / Former Warlords of the Sea
Straw Hat Pirates
Fish-Man
New World</t>
  </si>
  <si>
    <t>https://i.postimg.cc/sxMBVywR/335-Egghead-Jimbie.png</t>
  </si>
  <si>
    <t>Dark
Attacker</t>
  </si>
  <si>
    <t>Egghead
Franky</t>
  </si>
  <si>
    <t>Attacker(s)
Straw Hat Pirates
New World</t>
  </si>
  <si>
    <t>https://i.postimg.cc/Gt4Bcrqw/334-Egghead-Franky.png</t>
  </si>
  <si>
    <t>Dark
Defender-Runner</t>
  </si>
  <si>
    <t>The Five Elders
St. Jaygarcia Saturn</t>
  </si>
  <si>
    <t>Defender(s)
New World
Celestial Dragons / Former Celestial Dragons</t>
  </si>
  <si>
    <t>https://i.postimg.cc/28691fqR/333-The-Five-Elders-St-Jaygarcia-Saturn.png</t>
  </si>
  <si>
    <t>Egghead
Nico Robin</t>
  </si>
  <si>
    <t>Defender(s)
Straw Hat Pirates
Paramecia
Power users
New World</t>
  </si>
  <si>
    <t>https://i.postimg.cc/nLqZkVQz/332-Egghead-Nico-Robin.png</t>
  </si>
  <si>
    <t>Light
Attacker-Defender</t>
  </si>
  <si>
    <t>Egghead
Tony Tony Chopper</t>
  </si>
  <si>
    <t>Attacker(s)
Straw Hat Pirates
Zoan
Power users
New World</t>
  </si>
  <si>
    <t>https://i.postimg.cc/fLZsg4xb/331-Egghead-Tony-Tony-Chopper.png</t>
  </si>
  <si>
    <t>Blue-Red-Green
Attacker</t>
  </si>
  <si>
    <t>Egghead
Brook</t>
  </si>
  <si>
    <t>Attacker(s)
Straw Hat Pirates
Paramecia
Power users
New World</t>
  </si>
  <si>
    <t>https://i.postimg.cc/L84ykwkF/330-Egghead-Brook.png</t>
  </si>
  <si>
    <t>Light
Runner</t>
  </si>
  <si>
    <t>The Four Emperors
Monkey D. Luffy</t>
  </si>
  <si>
    <t>Runner(s)
Straw Hat Pirates
Zoan
Captain
Power users
New World
Worst Generation</t>
  </si>
  <si>
    <t>https://i.postimg.cc/pVzdz7Qm/329-The-Four-Emperors-Monkey-D-Luffy.png</t>
  </si>
  <si>
    <t>Egghead
Usopp</t>
  </si>
  <si>
    <t>Defender(s)
Straw Hat Pirates
New World
Long-Range Normal Attacks</t>
  </si>
  <si>
    <t>https://i.postimg.cc/pV7FD1Sz/328-Egghead-Usopp.png</t>
  </si>
  <si>
    <t>Egghead
Nami</t>
  </si>
  <si>
    <t>Runner(s)
Straw Hat Pirates
New World</t>
  </si>
  <si>
    <t>https://i.postimg.cc/50KFKP2c/327-Egghead-Nami.png</t>
  </si>
  <si>
    <t>Blind Swordsman Fujitora
[Issho]</t>
  </si>
  <si>
    <t>Runner(s)
Navy
Paramecia
Power users
New World
Navy Admiral / Former Navy Admiral</t>
  </si>
  <si>
    <t>https://i.postimg.cc/Kz0LqhWx/326-Blind-Swordsman-Fujitora-Issho.png</t>
  </si>
  <si>
    <t>Red
Defender</t>
  </si>
  <si>
    <t>Groves of Wrath Ryokugyu
[Aramaki]</t>
  </si>
  <si>
    <t>Defender(s)
Navy
Logia
Power users
New World
Navy Admiral / Former Navy Admiral</t>
  </si>
  <si>
    <t>https://i.postimg.cc/0jrShHgm/325-Groves-of-Wrath-Ryokugyu-Aramaki.png</t>
  </si>
  <si>
    <t>Red-Blue-Green
Attacker</t>
  </si>
  <si>
    <t>Ama no Murakumo Sword Kizaru
[Borsalino]</t>
  </si>
  <si>
    <t>Attacker(s)
Navy
Logia
Power users
New World
Navy Admiral / Former Navy Admiral</t>
  </si>
  <si>
    <t>https://i.postimg.cc/HLKWkgdw/324-Ama-no-Murakumo-Sword-Kizaru-Borsalino.png</t>
  </si>
  <si>
    <t>Davy Back Fight
Sanji</t>
  </si>
  <si>
    <t>Runner(S
Straw Hat Pirates
The Grand Line</t>
  </si>
  <si>
    <t>https://i.postimg.cc/023G8RPz/323-Davy-Back-Fight-Sanji.png</t>
  </si>
  <si>
    <t>Green
Defender</t>
  </si>
  <si>
    <t>Foxy Pirates / Captain
Foxy</t>
  </si>
  <si>
    <t>Defender(s)
Paramecia
Captain
Power users
The Grand Line</t>
  </si>
  <si>
    <t>https://i.postimg.cc/KzBkWfHQ/322-Davy-Back-Fight-Foxy.png</t>
  </si>
  <si>
    <t>Davy Back Fight
Monkey D. Luffy</t>
  </si>
  <si>
    <t>Attacker(s)
Straw Hat Pirates
Paramecia
Captain
Power users
The Grand Line</t>
  </si>
  <si>
    <t>https://i.postimg.cc/tJbZGP0b/321-Davy-Back-Fight-Monkey-D-Luffy.png</t>
  </si>
  <si>
    <t>Light
Attacker</t>
  </si>
  <si>
    <t>Happosui Army / 13th Chief
Sai</t>
  </si>
  <si>
    <t>Attacker(s)
New World
Straw Hat Fleet</t>
  </si>
  <si>
    <t>https://i.postimg.cc/L6zzngtT/320-Happosui-Army-13th-Chief-Sai.png</t>
  </si>
  <si>
    <t>Tontatta Pirates / Captain
Leo</t>
  </si>
  <si>
    <t>Defender(s)
Paramecia
Captain
Power users
New World
Straw Hat Fleet</t>
  </si>
  <si>
    <t>https://i.postimg.cc/hPFLD1dv/319-Tontatta-Pirates-Captain-Leo.png</t>
  </si>
  <si>
    <t>Celestial Dragon
St. Charlos</t>
  </si>
  <si>
    <t>2 Stars</t>
  </si>
  <si>
    <t>Defender(s)
The Grand Line
Long-Range Normal Attacks
Celestial Dragons / Former Celestial Dragons</t>
  </si>
  <si>
    <t>https://i.postimg.cc/j567pxV1/318-Celestial-Dragon-St-Charlos.png</t>
  </si>
  <si>
    <t>Green
Attacker</t>
  </si>
  <si>
    <t>Clear-Clear Fruit
Shiryu</t>
  </si>
  <si>
    <t>Attacker(s)
Paramecia
Power users
New World
Blackbeard Pirates</t>
  </si>
  <si>
    <t>https://i.postimg.cc/c1gdF4rC/317-Clear-Clear-Fruit-Shiryu-Skill.png</t>
  </si>
  <si>
    <t>Strong-Strong Fruit
Jesus Burgess</t>
  </si>
  <si>
    <t>Defender(s)
Paramecia
Power users
New World
Blackbeard Pirates</t>
  </si>
  <si>
    <t>https://i.postimg.cc/s1d6cJ1Y/316-Strong-Strong-Fruit-Jesus-Burgess-Skill.png</t>
  </si>
  <si>
    <t>Germa 66
Vinsmoke Yonji</t>
  </si>
  <si>
    <t>Defender(s)
New World
Germa 66
Royalty / Former Royalty</t>
  </si>
  <si>
    <t>https://i.postimg.cc/d3Wx2hQ1/315-Germa-66-Vinsmoke-Yonji.png</t>
  </si>
  <si>
    <t>Blue
Runner</t>
  </si>
  <si>
    <t>Germa 66
Vinsmoke Neji</t>
  </si>
  <si>
    <t>https://i.postimg.cc/ncz5HGTQ/314-Germa-66-Vinsmoke-Neji.png</t>
  </si>
  <si>
    <t>Germa 66
Vinsmoke Ichiji</t>
  </si>
  <si>
    <t>Attacker(s)
New World
Germa 66
Royalty / Former Royalty</t>
  </si>
  <si>
    <t>https://i.postimg.cc/PfK9sRbj/313-Germa-66-Vinsmoke-Ichiji.png</t>
  </si>
  <si>
    <t>Flame Emperor
Sabo</t>
  </si>
  <si>
    <t>Runner(s)
Revolutionary Army
Logia
Power users
New World</t>
  </si>
  <si>
    <t>https://i.postimg.cc/13TGnV64/312-Flame-Emperor-Sabo.png</t>
  </si>
  <si>
    <t>Dark
Defender-Attacker</t>
  </si>
  <si>
    <t>Assistant Fish-Man Karate Master
Koala</t>
  </si>
  <si>
    <t>Defender(s)
Revolutionary Army
New World</t>
  </si>
  <si>
    <t>https://i.postimg.cc/Bv7cNzNX/311-Assistant-Fish-Man-Karate-Master-Koala.png</t>
  </si>
  <si>
    <t>Green
Defender-Attacker</t>
  </si>
  <si>
    <t>Blackbeard Pirates
Kuzan</t>
  </si>
  <si>
    <t>Defender(s)
Logia
Power users
New World
Blackbeard Pirates
Navy Admiral / Former Navy Admiral</t>
  </si>
  <si>
    <t>https://i.postimg.cc/zB7mxZRD/310-Blackbeard-Pirates-Kuzan.png</t>
  </si>
  <si>
    <t>Navy HQ / Captain
Koby</t>
  </si>
  <si>
    <t>Defender(s)
Navy
The Grand Line</t>
  </si>
  <si>
    <t>https://i.postimg.cc/FHf17Y4x/309-Navy-HQ-Captain-Koby.png</t>
  </si>
  <si>
    <t>Legendary Hero
Monkey D. Garp</t>
  </si>
  <si>
    <t>Attacker(s)
Navy
New World</t>
  </si>
  <si>
    <t>https://i.postimg.cc/283vfK7H/308-Legendary-Hero-Monkey-D-Garp.png</t>
  </si>
  <si>
    <t>Navy HQ / Lt. Commander
Helmeppo</t>
  </si>
  <si>
    <t>Runner(s)
Navy
New World</t>
  </si>
  <si>
    <t>https://i.postimg.cc/vBLzmK4B/307-Navy-HQ-Lt-Commander-Helmeppo.png</t>
  </si>
  <si>
    <t>Blue
Defender</t>
  </si>
  <si>
    <t>Egghead
Jewelry Bonney</t>
  </si>
  <si>
    <t>Defender(s)
Paramecia
Captain
Power users
New World
Worst Generation
Royalty / Former Royalty</t>
  </si>
  <si>
    <t>https://i.postimg.cc/LszxNssL/306-Egghead-Jewelry-Bonney.png</t>
  </si>
  <si>
    <t>Egghead
Sanji</t>
  </si>
  <si>
    <t>Defender(s)
Straw Hat Pirates
New World
Royalty / Former Royalty</t>
  </si>
  <si>
    <t>https://i.postimg.cc/d0zFgJmh/305-Egghead-Sanji.png</t>
  </si>
  <si>
    <t>Seraphim
S-Shark</t>
  </si>
  <si>
    <t>Runner(s)
Navy
Paramecia
Power users
New World</t>
  </si>
  <si>
    <t>https://i.postimg.cc/KYKF91LX/304-Seraphim-S-Shark.png</t>
  </si>
  <si>
    <t>Punk-06
York</t>
  </si>
  <si>
    <t>Defender(s)
Navy
New World
Long-Range Normal Attacks</t>
  </si>
  <si>
    <t>https://i.postimg.cc/j5sGsLmy/303-Punk-06-York.png</t>
  </si>
  <si>
    <t>Punk-05
Atlas</t>
  </si>
  <si>
    <t>https://i.postimg.cc/02rKRFgm/302-Punk-05-Atlas.png</t>
  </si>
  <si>
    <t>Seraphim
S-Bear</t>
  </si>
  <si>
    <t>Attacker(s)
Navy
Paramecia
Power users
New World</t>
  </si>
  <si>
    <t>https://i.postimg.cc/FRMxyG5h/301.Seraphim_S-Bear.png</t>
  </si>
  <si>
    <t>Punk-02
Lilith</t>
  </si>
  <si>
    <t>https://i.postimg.cc/qv2FNnGJ/300.Punk-02_Lilith.png</t>
  </si>
  <si>
    <t>Dark
Runner-Defender</t>
  </si>
  <si>
    <t>Happy Halloween
Uta</t>
  </si>
  <si>
    <t>Limited
Bounty Festival</t>
  </si>
  <si>
    <t>Runner(s)
Paramecia
Power users
New World</t>
  </si>
  <si>
    <t>https://i.postimg.cc/3xn5qz9b/299-Happy-Halloween-Uta.png</t>
  </si>
  <si>
    <t>The Red
Broggy</t>
  </si>
  <si>
    <t>Defender(s)
Captain
New World
Giant
Giant Pirate Crew</t>
  </si>
  <si>
    <t>https://i.postimg.cc/6QPsWRkr/298-The-Red-Broggy.png</t>
  </si>
  <si>
    <t>The Blue
Dorry</t>
  </si>
  <si>
    <t>Attacker(s)
Straw Hat Pirates
New World
Worst Generation</t>
  </si>
  <si>
    <t>https://i.postimg.cc/s2xdCKNf/297-The-Blue-Dorry.png</t>
  </si>
  <si>
    <t>Divine Departure
Shanks</t>
  </si>
  <si>
    <t>Runner(s)
Red-Haired Pirates
Captain
New World
Roger Pirates / Ex-Roger Pirates</t>
  </si>
  <si>
    <t>https://i.postimg.cc/ryHDJR4K/296-Divine-Departure-Shanks.png</t>
  </si>
  <si>
    <t>Vegapunk's Spy
Stussy</t>
  </si>
  <si>
    <t>Defender(s)
New World</t>
  </si>
  <si>
    <t>https://i.postimg.cc/pdKbm7TM/295-Vegapunk-s-Spy-Stussy.png</t>
  </si>
  <si>
    <t>Awakened Form
Kaku</t>
  </si>
  <si>
    <t>Defender(s)
Cipher Pol
Zoan
Power users
New World</t>
  </si>
  <si>
    <t>https://i.postimg.cc/jd2ZcRj0/294-Awakened-Form-Kaku.png</t>
  </si>
  <si>
    <t>Blue
Runner-Attacker</t>
  </si>
  <si>
    <t>Awakened Form
Rob Lucci</t>
  </si>
  <si>
    <t>Runner(s)
Cipher Pol
Zoan
Power users
New World</t>
  </si>
  <si>
    <t>https://i.postimg.cc/7YRXQjCC/293-Awakened-Form-Rob-Lucci.png</t>
  </si>
  <si>
    <t>CP9
Jabra</t>
  </si>
  <si>
    <t>Attacker(s)
Cipher Pol
Zoan
Power users
The Grand Line</t>
  </si>
  <si>
    <t>https://i.postimg.cc/3x519MTZ/292-CP9-Jabra.png</t>
  </si>
  <si>
    <t>CP9
Blueno</t>
  </si>
  <si>
    <t>Runner(s)
Cipher Pol
Paramecia
Power users
The Grand Line
Long-Range Normal Attacks</t>
  </si>
  <si>
    <t>https://i.postimg.cc/tCVDhqLT/291-CP9-Blueno.png</t>
  </si>
  <si>
    <t>Seraphim
S-Hawk</t>
  </si>
  <si>
    <t>https://i.postimg.cc/BZ1THsk5/290-Seraphim-S-Hawk.png</t>
  </si>
  <si>
    <t>Egghead
Roronoa Zoro</t>
  </si>
  <si>
    <t>Runner(s)
Straw Hat Pirates
New World
Worst Generation</t>
  </si>
  <si>
    <t>https://i.postimg.cc/WbLM7CcB/289-Egghead-Roronoa-Zoro.png</t>
  </si>
  <si>
    <t>Seraphim
S-Snake</t>
  </si>
  <si>
    <t>Defender(s)
Navy
Paramecia
Power users
New World</t>
  </si>
  <si>
    <t>https://i.postimg.cc/rsDwWZsY/287-Seraphim-S-Snake.png</t>
  </si>
  <si>
    <t>Egghead
Monkey D. Luffy</t>
  </si>
  <si>
    <t>https://i.postimg.cc/44QSGYNk/287-Egghead-Monkey-D-Luffy.png</t>
  </si>
  <si>
    <t>The Navy's Human Weapon
Pacifista</t>
  </si>
  <si>
    <t>https://i.postimg.cc/QCm4Jynx/286-The-Navy-s-Human-Weapon-Pacifista.png</t>
  </si>
  <si>
    <t>The Most Defensive Man in the World
Sentomaru</t>
  </si>
  <si>
    <t>Defender(s)
Navy
New World</t>
  </si>
  <si>
    <t>https://i.postimg.cc/dtQSVJL7/285-The-Most-Defensive-Man-in-the-World-Sentomaru.png</t>
  </si>
  <si>
    <t>Fake Straw Hat Pirates / Captain
Demaro Black</t>
  </si>
  <si>
    <t>Free
3 Stars</t>
  </si>
  <si>
    <t>Defender(s)
Captain
New World
Long-Range Normal Attacks</t>
  </si>
  <si>
    <t>https://i.postimg.cc/Dz5gh9DB/284-Fake-Straw-Hat-Pirates-Captain-Demaro-Black.png</t>
  </si>
  <si>
    <t>Lvneel Kingdom / Exploration Ship Admiral
Mont Blanc Noland</t>
  </si>
  <si>
    <t>Defender(s)
The Grand Line</t>
  </si>
  <si>
    <t>https://i.postimg.cc/HjG03dcs/283-Lvneel-Kingdom-Exploration-Ship-Admiral-Mont-Blanc-Noland.png</t>
  </si>
  <si>
    <t>Blue
Attacker</t>
  </si>
  <si>
    <t>The Great Warrior of Shandora
Kalgara</t>
  </si>
  <si>
    <t>Attacker(s)
The Grand Line</t>
  </si>
  <si>
    <t>https://i.postimg.cc/QNFR6m9R/282-The-Great-Warrior-of-Shandora-Kalgara.png</t>
  </si>
  <si>
    <t>The Sky Knight
Ganfor</t>
  </si>
  <si>
    <t>https://i.postimg.cc/pr0hgxYV/281-The-Sky-Knight-Ganfor.png</t>
  </si>
  <si>
    <t>Ex-Roger Pirates / First Mate
Silvers Rayleigh</t>
  </si>
  <si>
    <t>Defender(s)
New World
Roger Pirates / Ex-Roger Pirates</t>
  </si>
  <si>
    <t>https://i.postimg.cc/L8rmzm0P/280-Ex-Roger-Pirates-First-Mate-Silvers-Rayleigh.png</t>
  </si>
  <si>
    <t>Great Pirate
Gol D. Roger</t>
  </si>
  <si>
    <t>Runner(s)
Captain
Roger Pirates / Ex-Roger Pirates</t>
  </si>
  <si>
    <t>https://i.postimg.cc/7L0w9jpW/279-Great-Pirate-Gol-D-Roger.png</t>
  </si>
  <si>
    <t>Whole Cake Island
Carrot</t>
  </si>
  <si>
    <t>Attacker(s)
New World
Minks</t>
  </si>
  <si>
    <t>https://i.postimg.cc/MHB3dMxV/278-Whole-Cake-Island-Carrot.png</t>
  </si>
  <si>
    <t>Heir to the Shogun of Wano
Kozuki Oden</t>
  </si>
  <si>
    <t>Attacker(s)
Whitebeard Pirates
Kozuki Clan / Kozuki Clan Servant
Roger Pirates / Ex-Roger Pirates</t>
  </si>
  <si>
    <t>https://i.postimg.cc/Df4N2Ds0/277-Heir-to-the-Shogun-of-Wano-Kozuki-Oden.png</t>
  </si>
  <si>
    <t>Great Pirate
Edward Newgate</t>
  </si>
  <si>
    <t>Defender(s)
Whitebeard Pirates
Paramecia
Captain
Power users</t>
  </si>
  <si>
    <t>https://i.postimg.cc/HLLSFPdp/276-Great-Pirate-Edward-Newgate.png</t>
  </si>
  <si>
    <t>Fire Fist Ogre Princess
Ace &amp; Yamato</t>
  </si>
  <si>
    <t>Attacker(s)
Zoan
Logia
Captain
Power users
New World</t>
  </si>
  <si>
    <t>https://i.postimg.cc/mr6d4Ng7/275-Fire-Fist-Ogre-Princess-Ace-Yamato.png</t>
  </si>
  <si>
    <t>Shogun of Wano
Kozuki Momonosuke</t>
  </si>
  <si>
    <t>Defender(s)
Zoan
Power users
New World
Kozuki Clan / Kozuki Clan Servant</t>
  </si>
  <si>
    <t>https://i.postimg.cc/FsjnSLTQ/274-Shogun-of-Wano-Kozuki-Momonosuke.png</t>
  </si>
  <si>
    <t>Navy HQ / Admiral Ryokugyu
[Aramaki]</t>
  </si>
  <si>
    <t>Runner(s)
Navy
Logia
Power users
New World
Navy Admiral / Former Navy Admiral</t>
  </si>
  <si>
    <t>https://i.postimg.cc/sgm66RF6/273-Navy-HQ-Admiral-Ryokugyu-Aramaki.png</t>
  </si>
  <si>
    <t>Land of Wano
Otama &amp; Komachiyo</t>
  </si>
  <si>
    <t>https://i.postimg.cc/52bKS2rQ/272-Land-of-Wano-Otama-Komachiyo.png</t>
  </si>
  <si>
    <t>Raid on Onigashima
Franky</t>
  </si>
  <si>
    <t>https://i.postimg.cc/SN0vjr7r/271-Raid-on-Onigashima-Franky.png</t>
  </si>
  <si>
    <t>Raid on Onigashima
Tony Tony Chopper</t>
  </si>
  <si>
    <t>https://i.postimg.cc/qRh1vhNS/270-Raid-on-Onigashima-Tony-Tony-Chopper.png</t>
  </si>
  <si>
    <t>Animal Kingdom Pirates / Tobi Roppo
Black Maria</t>
  </si>
  <si>
    <t>Defender(s)
Zoan
Power users
New World
Animal Kingdom Pirates</t>
  </si>
  <si>
    <t>https://i.postimg.cc/13mMNYgp/269-Animal-Kingdom-Pirates-Tobi-Roppo-Black-Maria.png</t>
  </si>
  <si>
    <t>Revolutionary Army / Captain of the Eastern Forces
Belo Betty</t>
  </si>
  <si>
    <t>Defender(s)
Revolutionary Army
Paramecia
Power users
New World</t>
  </si>
  <si>
    <t>https://i.postimg.cc/c4NFdJ0k/268-Revolutionary-Army-Captain-of-the-Eastern-Forces-Belo-Betty.png</t>
  </si>
  <si>
    <t>Revolutionary Army / Captain of the Northern Forces
Karasu</t>
  </si>
  <si>
    <t>Runner(s)
Revolutionary Army
Power users
New World
Long-Range Normal Attacks</t>
  </si>
  <si>
    <t>https://i.postimg.cc/wTc0MdBq/267-Revolutionary-Army-Captain-of-the-Northern-Forces-Karasu.png</t>
  </si>
  <si>
    <t>Revolutionary Army / Officer
Inazuma</t>
  </si>
  <si>
    <t>Defender(s)
Revolutionary Army
Paramecia
Power users
The Grand Line</t>
  </si>
  <si>
    <t>https://i.postimg.cc/jqf8Vf0J/266-Revolutionary-Army-Officer-Inazuma.png</t>
  </si>
  <si>
    <t>Revolutionary Army / Solider
Hack</t>
  </si>
  <si>
    <t>Attacker(s)
Revolutionary Army
Fish-Man
New World</t>
  </si>
  <si>
    <t>https://i.postimg.cc/Xq9x9Rcg/265-Revolutionary-Army-Solider-Hack.png</t>
  </si>
  <si>
    <t>Cyborg
Queen</t>
  </si>
  <si>
    <t>Runner(s)
Zoan
Power users
New World
Animal Kingdom Pirates</t>
  </si>
  <si>
    <t>https://i.postimg.cc/qv1wcXnW/264-Cyborg-Queen.png</t>
  </si>
  <si>
    <t>Lunarian
Alber</t>
  </si>
  <si>
    <t>Attacker(s)
Zoan
Power users
New World
Animal Kingdom Pirates</t>
  </si>
  <si>
    <t>https://i.postimg.cc/43n5W7Qy/263-Lunarian-Alber.png</t>
  </si>
  <si>
    <t>Animal Kingdom Pirates / Tobi Roppo
Sasaki</t>
  </si>
  <si>
    <t>Runner(s)
Zoan
Fish-Man
Power users
New World
Animal Kingdom Pirates</t>
  </si>
  <si>
    <t>https://i.postimg.cc/s28JqjTc/262-Animal-Kingdom-Pirates-Tobi-Roppo-Sasaki.png</t>
  </si>
  <si>
    <t>Green-Red-Blue
Attacker</t>
  </si>
  <si>
    <t>Raid on Onigashima
Sanji</t>
  </si>
  <si>
    <t>Attacker(s)
Straw Hat Pirates
New World
Royalty / Former Royalty</t>
  </si>
  <si>
    <t>https://i.postimg.cc/qqHxBmV6/261-Raid-on-Onigashima-Sanji.png</t>
  </si>
  <si>
    <t>Green
Defender-Attacker-Runner</t>
  </si>
  <si>
    <t>Gear Five
Monkey D. Luffy</t>
  </si>
  <si>
    <t>Defender(s)
Straw Hat Pirates
Zoan
Captain
Power users
New World
Worst Generation</t>
  </si>
  <si>
    <t>https://i.postimg.cc/8cdB7hNK/260-Gear-Five-Monkey-D-Luffy.png</t>
  </si>
  <si>
    <t>Singer of the New Genesis
Uta</t>
  </si>
  <si>
    <t>Defender(s)
Paramecia
Power users
New World</t>
  </si>
  <si>
    <t>https://i.postimg.cc/Kct5pyBP/259-Singer-of-the-New-Genesis-Uta.png</t>
  </si>
  <si>
    <t>Raid on Onigashima
Killer</t>
  </si>
  <si>
    <t>Attacker(s)
New World
Worst Generation</t>
  </si>
  <si>
    <t>https://i.postimg.cc/bNT98H6d/258-Raid-on-Onigashima-Killer.png</t>
  </si>
  <si>
    <t>Battle of Monsters on Onigashima
Kid &amp; Law</t>
  </si>
  <si>
    <t>Attacker(s)
The Seven Warlords of the Sea / Former Warlords of the Sea
Paramecia
Captain
Power users
New World
Worst Generation</t>
  </si>
  <si>
    <t>https://i.postimg.cc/nLs448nQ/257-Battle-of-Monsters-on-Onigashima-Kid-Law.png</t>
  </si>
  <si>
    <t>New Fish-Man Pirates / Captain
Hody Jones</t>
  </si>
  <si>
    <t>Runner(s)
Captain
Fish-Man
New World</t>
  </si>
  <si>
    <t>https://i.postimg.cc/nc5wsVzq/256-New-Fish-Man-Pirates-Captain-Hody-Jones.png</t>
  </si>
  <si>
    <t>Ryugu Kingdom / King
Neptune</t>
  </si>
  <si>
    <t>Defender(s)
New World
Royalty / Former Royalty</t>
  </si>
  <si>
    <t>https://i.postimg.cc/6pvbCs2g/255-Ryugu-Kingdom-King-Neptune.png</t>
  </si>
  <si>
    <t>Caribou Pirates / Captain
Caribou</t>
  </si>
  <si>
    <t>Defender(s)
Logia
Captain
Power users
New World</t>
  </si>
  <si>
    <t>https://i.postimg.cc/8zXdfkgS/254-Caribou-Pirates-Captain-Caribou.png</t>
  </si>
  <si>
    <t>Flying Pirates / Captain
Vander Decken IX</t>
  </si>
  <si>
    <t>Attacker(s)
Paramecia
Captain
Fish-Man
Power users
New World</t>
  </si>
  <si>
    <t>https://i.postimg.cc/jSSQjw9c/253-Flying-Pirates-Captain-Vander-Decken-IX.png</t>
  </si>
  <si>
    <t>Raid on Onigashima
Usopp</t>
  </si>
  <si>
    <t>Runner(s)
Straw Hat Pirates
New World
Long-Range Normal Attacks</t>
  </si>
  <si>
    <t>https://i.postimg.cc/tgLhDrgv/252-Raid-on-Onigashima-Usopp.png</t>
  </si>
  <si>
    <t>Raid on Onigashima
Nami</t>
  </si>
  <si>
    <t>https://i.postimg.cc/B6H2zxLS/251-Raid-on-Onigashima-Nami.png</t>
  </si>
  <si>
    <t>Okuchi-no-Makami
Yamato</t>
  </si>
  <si>
    <t>Attacker(s)
Zoan
Power users
New World</t>
  </si>
  <si>
    <t>https://i.postimg.cc/mk47WtCQ/250-Okuchi-no-Makami-Yamato.png</t>
  </si>
  <si>
    <t>Raid on Onigashima
Brook</t>
  </si>
  <si>
    <t>https://i.postimg.cc/zXJTdHJN/249-Raid-on-Onigashima-Brook.png</t>
  </si>
  <si>
    <t>Raid on Onigashima
Nico Robin</t>
  </si>
  <si>
    <t>https://i.postimg.cc/YqbYT29W/248-Raid-on-Onigashima-Nico-Robin.png</t>
  </si>
  <si>
    <t>Triple-X-Level Boxer
Ideo</t>
  </si>
  <si>
    <t>Runner(s)
New World</t>
  </si>
  <si>
    <t>https://i.postimg.cc/htvTnFz3/247-Triple-X-Level-Boxer-Ideo.png</t>
  </si>
  <si>
    <t>The Kingdom of Prodence / King
Elizabello II</t>
  </si>
  <si>
    <t>Attacker(s)
New World
Royalty / Former Royalty</t>
  </si>
  <si>
    <t>https://i.postimg.cc/nLQmsv14/246-The-Kingdom-of-Prodence-King-Elizabello-II.png</t>
  </si>
  <si>
    <t>Disciple of the Martial Arts
Kung Fu Jugon</t>
  </si>
  <si>
    <t>https://i.postimg.cc/ZnJvDXzH/245-Disciple-of-the-Martial-Arts-Kung-Fu-Jugon.png</t>
  </si>
  <si>
    <t>Slicing Winds of Rommel
Hakuba</t>
  </si>
  <si>
    <t>Runner(s)
Captain
New World
Royalty / Former Royalty</t>
  </si>
  <si>
    <t>https://i.postimg.cc/rFnRQhnG/244-Slicing-Winds-of-Rommel-Hakuba.png</t>
  </si>
  <si>
    <t>Former Happosui Army / 12th Chief
Chin Jao</t>
  </si>
  <si>
    <t>https://i.postimg.cc/sgbQRMRv/243-Former-Happosui-Army-12th-Chief-Chin-Jao.png</t>
  </si>
  <si>
    <t>Big Mom Pirates / Crewmate
Charoltte Oven</t>
  </si>
  <si>
    <t>Defender(s)
Paramecia
Power users
New World
Charlotte Family
Royalty / Former Royalty</t>
  </si>
  <si>
    <t>https://i.postimg.cc/hjBXfNvn/242-Big-Mom-Pirates-Crewmate-Charoltte-Oven.png</t>
  </si>
  <si>
    <t>Leader of the Whale Forest Guardians
Pedro</t>
  </si>
  <si>
    <t>https://i.postimg.cc/3NrWZp2b/241-Leader-of-the-Whale-Forest-Guardians-Pedro.png</t>
  </si>
  <si>
    <t>Big Mom Pirates / Crewmate
Charlotte Brulee</t>
  </si>
  <si>
    <t>https://i.postimg.cc/j28235Xq/240-Big-Mom-Pirates-Crewmate-Charlotte-Brulee.png</t>
  </si>
  <si>
    <t>Big Mom Pirates / "Sweet 3" General
Charlotte Cracker</t>
  </si>
  <si>
    <t>Attacker(s)
Paramecia
Power users
New World
Charlotte Family
Royalty / Former Royalty</t>
  </si>
  <si>
    <t>https://i.postimg.cc/HsxVcwYr/239-Big-Mom-Pirates-Sweet-3-General-Charlotte-Cracker.png</t>
  </si>
  <si>
    <t>First Act as a Married Couple
Charlotte Pudding</t>
  </si>
  <si>
    <t>https://i.postimg.cc/5tw0dp3R/238-First-Act-as-a-Married-Couple-Charlotte-Pudding.png</t>
  </si>
  <si>
    <t>Animal Kingdom Pirates / Tobi Roppo
Who`s-Who</t>
  </si>
  <si>
    <t>https://i.postimg.cc/pTRd28cX/237-Animal-Kingdom-Pirates-Tobi-Roppo-Who-s-Who.png</t>
  </si>
  <si>
    <t>Raid on Onigashima
Jinbe</t>
  </si>
  <si>
    <t>Defender(s)
The Seven Warlords of the Sea / Former Warlords of the Sea
Straw Hat Pirates
Fish-Man
New World</t>
  </si>
  <si>
    <t>https://i.postimg.cc/vBhZDBC7/236-Raid-on-Onigashima-Jinbe.png</t>
  </si>
  <si>
    <t>Raid on Onigashima
Roronoa Zoro</t>
  </si>
  <si>
    <t>https://i.postimg.cc/d3SQmfsL/235-Raid-on-Onigashima-Roronoa-Zoro.png</t>
  </si>
  <si>
    <t>Battle of Monsters on Onigashima
Kaido</t>
  </si>
  <si>
    <t>Runner(s)
Zoan
Captain
Power users
New World
Animal Kingdom Pirates</t>
  </si>
  <si>
    <t>https://i.postimg.cc/HWSLgrwd/234-Battle-of-Monsters-on-Onigashima-Kaido.png</t>
  </si>
  <si>
    <t>Red
Defender-Runner</t>
  </si>
  <si>
    <t>Battle of Monsters on Onigashima
Olin the Oiran</t>
  </si>
  <si>
    <t>Defender(s)
Paramecia
Captain
Power users
New World
Charlotte Family
Royalty / Former Royalty</t>
  </si>
  <si>
    <t>https://i.postimg.cc/Kvwv1CpW/233-Battle-of-Monsters-on-Onigashima-Olin-the-Oiran.png</t>
  </si>
  <si>
    <t>ODYSSEY
Adio Suerte</t>
  </si>
  <si>
    <t>Free
4 Stars</t>
  </si>
  <si>
    <t>Attacker(s)
New World</t>
  </si>
  <si>
    <t>https://i.postimg.cc/zGhDKp9G/232-ODYSSEY-Adio-Suerte.png</t>
  </si>
  <si>
    <t>Animal Kingdom Pirates / Lead Performer
King</t>
  </si>
  <si>
    <t>https://i.postimg.cc/JhWrqZLc/231-Animal-Kingdom-Pirates-Lead-Performer-King.png</t>
  </si>
  <si>
    <t>Top Secret Special Force Captain of "Sword"
X. Drake</t>
  </si>
  <si>
    <t>Attacker(s)
Navy
Zoan
Power users
New World
Worst Generation</t>
  </si>
  <si>
    <t>https://i.postimg.cc/vTDbBvrM/230-Top-Secret-Special-Force-Captain-of-Sword-X-Drake.png</t>
  </si>
  <si>
    <t>Hyogoro Family / Big Boss
Hyogoro</t>
  </si>
  <si>
    <t>https://i.postimg.cc/qv20zq3t/229-Hyogoro-Family-Big-Boss-Hyogoro.png</t>
  </si>
  <si>
    <t>Kozuki Clan / Servant
Raizo</t>
  </si>
  <si>
    <t>Attacker(s)
Paramecia
Power users
New World
Long-Range Normal Attacks
Kozuki Clan / Kozuki Clan Servant
Ninja</t>
  </si>
  <si>
    <t>https://i.postimg.cc/bv8PbPxm/228-Kozuki-Clan-Servant-Raizo.png</t>
  </si>
  <si>
    <t>Veteran Kunoichi
Shinobu</t>
  </si>
  <si>
    <t>Runner(s)
Paramecia
Power users
New World
Kozuki Clan / Kozuki Clan Servant
Ninja</t>
  </si>
  <si>
    <t>https://i.postimg.cc/76trpTpR/227-Veteran-Kunoichi-Shinobu.png</t>
  </si>
  <si>
    <t>Don Quixote Pirates / Supreme Officer
Trebol</t>
  </si>
  <si>
    <t>Defender(s)
Don Quixote Family
Paramecia
Power users
New World</t>
  </si>
  <si>
    <t>https://i.postimg.cc/KjdSYhcr/226-Don-Quixote-Pirates-Supreme-Officer-Trebol.png</t>
  </si>
  <si>
    <t>Don Quixote Pirates / Supreme Officer
Diamante</t>
  </si>
  <si>
    <t>Attacker(s)
Don Quixote Family
Paramecia
Power users
New World</t>
  </si>
  <si>
    <t>https://i.postimg.cc/tTTLt4YN/225-Don-Quixote-Pirates-Supreme-Officer-Diamante.png</t>
  </si>
  <si>
    <t>The Bullet of Dressrosa
Bellamy</t>
  </si>
  <si>
    <t>https://i.postimg.cc/rmP7h24X/224-The-Bullet-of-Dressrosa-Bellamy.png</t>
  </si>
  <si>
    <t>FILM RED
Usopp</t>
  </si>
  <si>
    <t>Attacker(s)
Straw Hat Pirates
New World
Long-Range Normal Attacks</t>
  </si>
  <si>
    <t>https://i.postimg.cc/PNG9jbKS/223-FILM-RED-Usopp.png</t>
  </si>
  <si>
    <t>FILM RED
Yasopp</t>
  </si>
  <si>
    <t>Defender(s)
Red-Haired Pirates
New World
Long-Range Normal Attacks</t>
  </si>
  <si>
    <t>https://i.postimg.cc/BZ8vJqMF/222-FILM-RED-Yasopp.png</t>
  </si>
  <si>
    <t>FILM RED
Tony Tony Chopper</t>
  </si>
  <si>
    <t>Limited
Step Up</t>
  </si>
  <si>
    <t>Defender(s)
Straw Hat Pirates
Zoan
Power users
New World</t>
  </si>
  <si>
    <t>https://i.postimg.cc/QdDNgcsg/221-FILM-RED-Tony-Tony-Chopper.png</t>
  </si>
  <si>
    <t>FILM RED
Nami</t>
  </si>
  <si>
    <t>https://i.postimg.cc/15w5Nvx5/220-FILM-RED-Nami.png</t>
  </si>
  <si>
    <t>FILM RED
Ben Beckman</t>
  </si>
  <si>
    <t>Defender(s)
Red-Haired Pirates
New World</t>
  </si>
  <si>
    <t>https://i.postimg.cc/3xZ8tWJs/219-FILM-RED-Ben-Beckman.png</t>
  </si>
  <si>
    <t>FILM RED
Shanks</t>
  </si>
  <si>
    <t>Defender(s)
East Blue
Red-Haired Pirates
Captain
Roger Pirates / Ex-Roger Pirates</t>
  </si>
  <si>
    <t>https://i.postimg.cc/tgSXHf6D/218-FILM-RED-Shanks.png</t>
  </si>
  <si>
    <t>FILM RED
Monkey D. Luffy</t>
  </si>
  <si>
    <t>Limited
3 Stars</t>
  </si>
  <si>
    <t>Attacker(s)
Straw Hat Pirates
Paramecia
Captain
Power users
New World
Worst Generation</t>
  </si>
  <si>
    <t>https://i.postimg.cc/Kz1mcNrb/217-FILM-RED-Monkey-D-Luffy.png</t>
  </si>
  <si>
    <t>FILM RED
Uta</t>
  </si>
  <si>
    <t>Attacker(s)
Paramecia
Power users
New World</t>
  </si>
  <si>
    <t>https://i.postimg.cc/NMZBKHpH/216-FILM-RED-Uta.png</t>
  </si>
  <si>
    <t>FILM Z
Zephyr</t>
  </si>
  <si>
    <t>Defender(s)
New World
Navy Admiral / Former Navy Admiral</t>
  </si>
  <si>
    <t>https://i.postimg.cc/QC5s1dyn/215-FILM-Z-Zephyr.png</t>
  </si>
  <si>
    <t>FILM GOLD
Gild Tesoro</t>
  </si>
  <si>
    <t>Attacker(s)
Paramecia
Power users
New World
Royalty / Former Royalty</t>
  </si>
  <si>
    <t>https://i.postimg.cc/3rD3PtxC/214-FILM-GOLD-Gild-Tesoro.png</t>
  </si>
  <si>
    <t>FILM STRONG WORLD
Shiki</t>
  </si>
  <si>
    <t>Runner(s)
Paramecia
Captain
Power users
The Grand Line</t>
  </si>
  <si>
    <t>https://i.postimg.cc/J4VRmjyw/213-FILM-STRONG-WORLD-Shiki.png</t>
  </si>
  <si>
    <t>STAMPEDE
Boa Hancock</t>
  </si>
  <si>
    <t>Runner(s)
The Seven Warlords of the Sea / Former Warlords of the Sea
Kuja Pirates
Paramecia
Captain
Power users
New World</t>
  </si>
  <si>
    <t>https://i.postimg.cc/y87B3BXv/212-STAMPEDE-Boa-Hancock.png</t>
  </si>
  <si>
    <t>Land of Wano
Marco</t>
  </si>
  <si>
    <t>Runner(s)
Whitebeard Pirates
Zoan
Power users
New World</t>
  </si>
  <si>
    <t>https://i.postimg.cc/DzZT5gNG/211-Land-of-Wano-Marco.png</t>
  </si>
  <si>
    <t>Big Mom Pirates / Crewmate
Charlotte Perospero</t>
  </si>
  <si>
    <t>https://i.postimg.cc/pd6tSjN6/210-Big-Mom-Pirates-Crewmate-Charlotte-Perospero.png</t>
  </si>
  <si>
    <t>Animal Kingdom Pirates / Tobi Roppo
Ulti</t>
  </si>
  <si>
    <t>https://i.postimg.cc/B6PGfv4Q/209-Animal-Kingdom-Pirates-Tobi-Roppo-Ulti.png</t>
  </si>
  <si>
    <t>Animal Kingdom Pirates / Tobi Roppo
Page One</t>
  </si>
  <si>
    <t>https://i.postimg.cc/cCQy65vp/208-Animal-Kingdom-Pirates-Tobi-Roppo-Page-One.png</t>
  </si>
  <si>
    <t>Shandian Warrior
Wyper</t>
  </si>
  <si>
    <t>Runner(s)
The Grand Line
Long-Range Normal Attacks</t>
  </si>
  <si>
    <t>https://i.postimg.cc/1R6ZW4vv/207-Shandian-Warrior-Wyper.png</t>
  </si>
  <si>
    <t>Land of Wano
Franosuke</t>
  </si>
  <si>
    <t>https://i.postimg.cc/bN9fhWcb/206-Land-of-Wano-Franosuke.png</t>
  </si>
  <si>
    <t>Land of Wano
Usohachi</t>
  </si>
  <si>
    <t>https://i.postimg.cc/3xLMyGwx/205-Land-of-Wano-Usohachi.png</t>
  </si>
  <si>
    <t>Blackbeard Pirates / Former Head Jailer of Impel Down
Shiryu</t>
  </si>
  <si>
    <t>Attacker(s)
The Grand Line
Blackbeard Pirates</t>
  </si>
  <si>
    <t>https://i.postimg.cc/1z4kDzgc/204-Blackbeard-Pirates-Former-Head-Jailer-of-Impel-Down-Shiryu.png</t>
  </si>
  <si>
    <t>Whitebeard Pirates / 3rd Division Commander
Jozu</t>
  </si>
  <si>
    <t>Defender(s)
Whitebeard Pirates
Paramecia
Power users
The Grand Line</t>
  </si>
  <si>
    <t>https://i.postimg.cc/NFvZh7dp/203-Whitebeard-Pirates-3rd-Division-Commander-Jozu.png</t>
  </si>
  <si>
    <t>Whitebeard Pirates / 5th Division Commander
Vista</t>
  </si>
  <si>
    <t>Attacker(s)
Whitebeard Pirates
Logia
Power users
The Grand Line
Long-Range Normal Attacks</t>
  </si>
  <si>
    <t>https://i.postimg.cc/gJZ1BBHx/202-Whitebeard-Pirates-5th-Division-Commander-Vista.png</t>
  </si>
  <si>
    <t>Blackbeard Pirates / Helsman "Champ"
Jesus Burgess</t>
  </si>
  <si>
    <t>https://i.postimg.cc/g05fsP89/201-Blackbeard-Pirates-Helsman-Champ-Jesus-Burgess-png.png</t>
  </si>
  <si>
    <t>Stealth Black
Soba Mask</t>
  </si>
  <si>
    <t>Runner(s)
Straw Hat Pirates
New World
Germa 66
Royalty / Former Royalty</t>
  </si>
  <si>
    <t>https://i.postimg.cc/XN9Tfmvh/200-Stealth-Black-Soba-Mask.png</t>
  </si>
  <si>
    <t>Germa 66 / Generalissimo
Vinsmoke Judge</t>
  </si>
  <si>
    <t>https://i.postimg.cc/CLNXt8ks/199-Germa-66-Generalissimo-Vinsmoke-Judge.png</t>
  </si>
  <si>
    <t>Blue
Attacker-Runner</t>
  </si>
  <si>
    <t>Man Who Dreams of Becoming the King of the Pirates
Monkey D. Luffy</t>
  </si>
  <si>
    <t>Attacker(s)
Straw Hat Pirates
Paramecia
Captain
Power users
Worst Generation</t>
  </si>
  <si>
    <t>https://i.postimg.cc/GmmV1pjw/198-Man-Who-Dreams-of-Becoming-the-King-of-the-Pirates-Monkey-D-Luffy.png</t>
  </si>
  <si>
    <t>The Strongest Creature Alive
Kaido</t>
  </si>
  <si>
    <t>Defender(s)
Zoan
Captain
Power users
New World
Animal Kingdom Pirates</t>
  </si>
  <si>
    <t>https://i.postimg.cc/HW0hcMZ1/197-The-Strongest-Creature-Alive-Kaido.png</t>
  </si>
  <si>
    <t>Animal Kingdom Pirates / Lead Performer
Queen</t>
  </si>
  <si>
    <t>https://i.postimg.cc/C1k64nwD/196-Animal-Kingdom-Pirates-Lead-Performer-Queen.png</t>
  </si>
  <si>
    <t>Animal Kingdom Pirates / Lead Performer
Jack</t>
  </si>
  <si>
    <t>Attacker(s)
Zoan
Fish-Man
Power users
New World
Animal Kingdom Pirates</t>
  </si>
  <si>
    <t>https://i.postimg.cc/6qhjks2p/195-Animal-Kingdom-Pirates-Lead-Performer-Jack.png</t>
  </si>
  <si>
    <t>Kaido`s Son
Yamato</t>
  </si>
  <si>
    <t>Runner(s)
Zoan
Power users
New World</t>
  </si>
  <si>
    <t>https://i.postimg.cc/m28pVsWd/194-Kaido-s-Son-Yamato.png</t>
  </si>
  <si>
    <t>Former Whitebeard Pirates / 16th Division Commander
Izo</t>
  </si>
  <si>
    <t>Attacker(s)
Whitebeard Pirates
New World
Long-Range Normal Attacks
Kozuki Clan / Kozuki Clan Servant</t>
  </si>
  <si>
    <t>https://i.postimg.cc/BnbYVVqJ/193-Former-Whitebeard-Pirates-16th-Division-Commander-Izo.png</t>
  </si>
  <si>
    <t>Kurozumi Spy
Kurozumi Kanjuro</t>
  </si>
  <si>
    <t>https://i.postimg.cc/sgL6d4X7/192-Kurozumi-Spy-Kurozumi-Kanjuro.png</t>
  </si>
  <si>
    <t>Roger Pirates / First Mate
Silvers Rayleigh</t>
  </si>
  <si>
    <t>Runner(s)
Roger Pirates / Ex-Roger Pirates</t>
  </si>
  <si>
    <t>https://i.postimg.cc/NM6pXhxk/191-Roger-Pirates-First-Mate-Silvers-Rayliegh.png</t>
  </si>
  <si>
    <t>Whole Cake Island
Jinbe</t>
  </si>
  <si>
    <t>Defender(s)
The Seven Warlords of the Sea / Former Warlords of the Sea
Captain
Fish-Man
New World</t>
  </si>
  <si>
    <t>https://i.postimg.cc/Hn3zSQRJ/190-Whole-Cake-Island-Jinbe.png</t>
  </si>
  <si>
    <t>Big Mom Pirates / Crewmate
Charlotte Pudding</t>
  </si>
  <si>
    <t>Attacker(s)
Paramecia
Power users
New World
Long-Range Normal Attacks
Charlotte Family
Royalty / Former Royalty</t>
  </si>
  <si>
    <t>https://i.postimg.cc/X7Hxdk9m/189-Big-Mom-Pirates-Crewmate-Charlotte-Pudding.png</t>
  </si>
  <si>
    <t>Whole Cake Island
Brook</t>
  </si>
  <si>
    <t>Runner(s)
Straw Hat Pirates
Paramecia
Power users
New World</t>
  </si>
  <si>
    <t>https://i.postimg.cc/dVh6BZB1/188-Whole-Cake-Island-Brook.png</t>
  </si>
  <si>
    <t>Whole Cake Island
Nami</t>
  </si>
  <si>
    <t>https://i.postimg.cc/dVgBSQH9/187-Whole-Cake-Island-Nami.png</t>
  </si>
  <si>
    <t>Don Quixote Pirates / Officer
Monet</t>
  </si>
  <si>
    <t>Runner(s)
Don Quixote Family
Paramecia
Power users
New World</t>
  </si>
  <si>
    <t>https://i.postimg.cc/26Dxrcfb/186-Don-Quixote-Pirates-Officer-Monet.png</t>
  </si>
  <si>
    <t>Don Quixote Pirates / Supreme Officer
Vergo</t>
  </si>
  <si>
    <t>Attacker(s)
Navy
Don Quixote Family
New World</t>
  </si>
  <si>
    <t>https://i.postimg.cc/XqNcyrqn/185-Don-Quixote-Pirates-Supreme-Officer-Vergo.png</t>
  </si>
  <si>
    <t>Don Quixote Pirates / Special Officer
Sugar</t>
  </si>
  <si>
    <t>https://i.postimg.cc/GtMPPbTG/184-Don-Quixote-Pirates-Special-Officer-Sugar.png</t>
  </si>
  <si>
    <t>Don Quixote Pirates / Captain
Don Quixote Doflamingo</t>
  </si>
  <si>
    <t>Attacker(s)
Don Quixote Family
Paramecia
Captain
Power users
Long-Range Normal Attacks
Celestial Dragons / Former Celestial Dragons</t>
  </si>
  <si>
    <t>https://i.postimg.cc/HW3t19vn/183-Don-Quixote-Pirates-Captain-Don-Quixote-Doflamingo.png</t>
  </si>
  <si>
    <t>Don Quixote Pirates / Officer
Señor Pink</t>
  </si>
  <si>
    <t>https://i.postimg.cc/5tcBS7y7/182-Don-Quixote-Pirates-Officer-Se-or-Pink.png</t>
  </si>
  <si>
    <t>Don Quixote Pirates / Servant Assassin
Baby 5</t>
  </si>
  <si>
    <t>https://i.postimg.cc/sXs5tMp5/181-Don-Quixote-Pirates-Servant-Assassin-Baby-5.png</t>
  </si>
  <si>
    <t>Navy HQ / Science Team Captain
Sentomaru</t>
  </si>
  <si>
    <t>https://i.postimg.cc/XJL93n8m/180-Navy-HQ-Science-Team-Captain-Sentomaru.png</t>
  </si>
  <si>
    <t>Navy HQ / Master Chief Petty Officer
Koby</t>
  </si>
  <si>
    <t>Runner(s)
Navy
The Grand Line</t>
  </si>
  <si>
    <t>https://i.postimg.cc/Rh0KZ2pF/179-Navy-HQ-Master-Chief-Petty-Officer-Koby.png</t>
  </si>
  <si>
    <t>Navy HQ / Fleet Admiral Akainu
[Sakazuki]</t>
  </si>
  <si>
    <t>https://i.postimg.cc/rsYW0g79/178-Navy-HQ-Fleet-ADmiral-Akainu-Sakazuki.png</t>
  </si>
  <si>
    <t>Land of Wano
Bonekichi</t>
  </si>
  <si>
    <t>Defender(s)
Straw Hat Pirates
Paramecia
Power users
New World
Long-Range Normal Attacks</t>
  </si>
  <si>
    <t>https://i.postimg.cc/bY61BNd2/177-Land-of-Wano-Bonekichi.png</t>
  </si>
  <si>
    <t>Land of Wano
Orobi</t>
  </si>
  <si>
    <t>https://i.postimg.cc/NfSmQJ6s/176-Land-of-Wano-Orobi.png</t>
  </si>
  <si>
    <t>Princess and Loyal Partner
Vivi &amp; Karoo</t>
  </si>
  <si>
    <t>Runner(s)
Straw Hat Pirates
The Grand Line
Alabasta Kingdom
Royalty / Former Royalty</t>
  </si>
  <si>
    <t>https://i.postimg.cc/MpBRH75y/175-Princess-and-Loyal-Partner-Vivi-Karoo.png</t>
  </si>
  <si>
    <t>Lieutenant Royal Guard of Alabasta
Pell</t>
  </si>
  <si>
    <t>Attacker(s)
Zoan
Power users
The Grand Line
Alabasta Kingdom</t>
  </si>
  <si>
    <t>https://i.postimg.cc/Gp1Dy4g6/174-Lieutenant-Royal-Guard-of-Alabasta-Pell.png</t>
  </si>
  <si>
    <t>Baroque Works / Officer Agent
Ms. Goldenweek</t>
  </si>
  <si>
    <t>Runner(s)
Baroque Works
The Grand Line</t>
  </si>
  <si>
    <t>https://i.postimg.cc/VNBCBz3v/173-Baroque-Works-Officer-Agent-Ms-Goldenweek.png</t>
  </si>
  <si>
    <t>Baroque Works / Officer Agent
Mr. 3</t>
  </si>
  <si>
    <t>https://i.postimg.cc/3R8DtPTB/172-Baroque-Works-Officer-Agent-Mr-3.png</t>
  </si>
  <si>
    <t>Raid on Onigashima
Trafalger Law</t>
  </si>
  <si>
    <t>https://i.postimg.cc/85Zf9tkV/171-Raid-on-Onigashima-Trafalger-Law.png</t>
  </si>
  <si>
    <t>Raid on Onigashima
Eustass Kid</t>
  </si>
  <si>
    <t>Defender(s)
Paramecia
Captain
Power users
New World
Worst Generation</t>
  </si>
  <si>
    <t>https://i.postimg.cc/Vv508n50/170-Raid-on-Onigashima-Eustass-Kid.png</t>
  </si>
  <si>
    <t>Impel Down / Prisoner
Bon Clay, aka Mr. 2</t>
  </si>
  <si>
    <t>Cola</t>
  </si>
  <si>
    <t>Runner(s)
Paramecia
Power users
The Grand Line</t>
  </si>
  <si>
    <t>https://i.postimg.cc/XqhG7qyH/169-Impel-Down-Prisoner-Bon-Clay-aka-Mr-2.png</t>
  </si>
  <si>
    <t>Raid on Onigashima
Monkey D. Luffy</t>
  </si>
  <si>
    <t>Defender(s)
Straw Hat Pirates
Paramecia
Captain
Power users
New World
Worst Generation</t>
  </si>
  <si>
    <t>https://i.postimg.cc/9XNqB8Nd/168-Raid-on-Onigashima-Monkey-D-Luffy.png</t>
  </si>
  <si>
    <t>Enies Lobby
Nico Robin</t>
  </si>
  <si>
    <t>Defender(s)
Straw Hat Pirates
Paramecia
Power users
The Grand Line</t>
  </si>
  <si>
    <t>https://i.postimg.cc/m2z1pY00/167-Enies-Lobby-Nico-Robin.png</t>
  </si>
  <si>
    <t>Monster Point
Tony Tony Chopper</t>
  </si>
  <si>
    <t>https://i.postimg.cc/Sxc2kyQd/166-Monster-Point-Tony-Tony-Chopper.png</t>
  </si>
  <si>
    <t>King of the Night
Cat Viper</t>
  </si>
  <si>
    <t>Runner(s)
New World
Kozuki Clan / Kozuki Clan Servant
Minks
Royalty / Former Royalty</t>
  </si>
  <si>
    <t>https://i.postimg.cc/W4jD4Qhv/165-King-of-the-Night-Cat-Viper.png</t>
  </si>
  <si>
    <t>King of the Day
Dogstorm</t>
  </si>
  <si>
    <t>Attacker(s)
New World
Kozuki Clan / Kozuki Clan Servant
Minks
Royalty / Former Royalty</t>
  </si>
  <si>
    <t>https://i.postimg.cc/gJ2nV8Vt/164-King-of-the-Day-Dogstorm.png</t>
  </si>
  <si>
    <t>The Guardian of the Forest
Gaimon</t>
  </si>
  <si>
    <t>Defender(s)
East Blue</t>
  </si>
  <si>
    <t>https://i.postimg.cc/hGrXQpd7/163-The-Guardian-of-the-Forest-Gaimon.png</t>
  </si>
  <si>
    <t>Iron Pirate
General Franky</t>
  </si>
  <si>
    <t>Defender(s)
Straw Hat Pirates
New World</t>
  </si>
  <si>
    <t>https://i.postimg.cc/kGkGPHkL/162-Iron-Pirate-General-Franky.png</t>
  </si>
  <si>
    <t>Savior
God Usopp</t>
  </si>
  <si>
    <t>https://i.postimg.cc/gc5nhwn4/161-Savior-God-Usopp.png</t>
  </si>
  <si>
    <t>Revolutionary Army / Officer
Koala</t>
  </si>
  <si>
    <t>Attacker(s)
Revolutionary Army
New World</t>
  </si>
  <si>
    <t>https://i.postimg.cc/QxTVJX7D/160-Revolutionary-Army-Officer-Koala.png</t>
  </si>
  <si>
    <t>Minks
Carrot</t>
  </si>
  <si>
    <t>Runner(s)
New World
Minks</t>
  </si>
  <si>
    <t>https://i.postimg.cc/2SNyHPdZ/159-Minks-Carrot.png</t>
  </si>
  <si>
    <t>Roger`s Rival
Edward Newgate</t>
  </si>
  <si>
    <t>Attacker(s)
Whitebeard Pirates
Paramecia
Captain
Power users
New World</t>
  </si>
  <si>
    <t>https://i.postimg.cc/SxLsHDVt/158-Roger-s-Rival-Edward-Newgate.png</t>
  </si>
  <si>
    <t>Hero of the Navy
Monkey D. Garb</t>
  </si>
  <si>
    <t>Defender(s)
Navy</t>
  </si>
  <si>
    <t>https://i.postimg.cc/d0q1FrxQ/157-Hero-of-the-Navy-Monkey-D-Garb.png</t>
  </si>
  <si>
    <t>Kozuki Clan / Servant
Ashura Doji</t>
  </si>
  <si>
    <t>Defender(s)
New World
Kozuki Clan / Kozuki Clan Servant</t>
  </si>
  <si>
    <t>https://i.postimg.cc/63qp2wKD/156-Kozuki-Clan-Servant-Ashura-Doji.png</t>
  </si>
  <si>
    <t>Kyoshiro Family / Boss
Napping Kyoshiro</t>
  </si>
  <si>
    <t>https://i.postimg.cc/PJ8fy4Py/155-Kyoshiro-Family-Boss-Napping-Kyoshiro.png</t>
  </si>
  <si>
    <t>King of the Pirates
Gol D. Roger</t>
  </si>
  <si>
    <t>Attacker(s)
Captain
Roger Pirates / Ex-Roger Pirates</t>
  </si>
  <si>
    <t>https://i.postimg.cc/25cBX0SN/154-King-of-the-Pirates-Gol-D-Roger.png</t>
  </si>
  <si>
    <t>Land of Wano
Chopperemon</t>
  </si>
  <si>
    <t>Runner(s)
Straw Hat Pirates
Zoan
Power users
New World
Ninja</t>
  </si>
  <si>
    <t>https://i.postimg.cc/1tbVy4FW/153-Land-of-Wano-Chopperemon.png</t>
  </si>
  <si>
    <t>Kozuki Clan / Servant
Kawamatsu</t>
  </si>
  <si>
    <t>Defender(s)
Fish-Man
New World
Kozuki Clan / Kozuki Clan Servant</t>
  </si>
  <si>
    <t>https://i.postimg.cc/5yvYy1qf/152-Kozuki-Clan-Servant-Kawamatsu.png</t>
  </si>
  <si>
    <t>Most Handsome Swordman in the Land of Wano
Kikunojo</t>
  </si>
  <si>
    <t>Attacker(s)
New World
Kozuki Clan / Kozuki Clan Servant</t>
  </si>
  <si>
    <t>https://i.postimg.cc/Nfq2V9BF/151-Most-Handsome-Swordman-in-the-Land-of-Wano-Kikunojo.png</t>
  </si>
  <si>
    <t>Daimyo of Kuri
Kozuki Oden</t>
  </si>
  <si>
    <t>Runner(s)
Whitebeard Pirates
Kozuki Clan / Kozuki Clan Servant
Roger Pirates / Ex-Roger Pirates</t>
  </si>
  <si>
    <t>https://i.postimg.cc/2561vnFc/150-Daimyo-of-Kuri-Kozuki-Oden.png</t>
  </si>
  <si>
    <t>Fire Fist
Portgaz D. Ace</t>
  </si>
  <si>
    <t>Defender(s)
Whitebeard Pirates
Logia
Power users
The Grand Line
Long-Range Normal Attacks</t>
  </si>
  <si>
    <t>https://i.postimg.cc/MGFvYX9W/149-Fire-Fist-Portgaz-D-Ace.png</t>
  </si>
  <si>
    <t>Royal Wedding
Sanji</t>
  </si>
  <si>
    <t>Runner(s)
Straw Hat Pirates
New World
Royalty / Former Royalty</t>
  </si>
  <si>
    <t>https://i.postimg.cc/qR6gD0F2/148-Royal-Wedding-Sanji.png</t>
  </si>
  <si>
    <t>The Billion-Fold World Trichiliocosm
Roronoa Zoro</t>
  </si>
  <si>
    <t>https://i.postimg.cc/Y2gh1rYH/147-The-Billion-Fold-World-Trichiliocosm-Roronoa-Zoro.png</t>
  </si>
  <si>
    <t>Luffy &amp; Law Pirate Alliance
Monkey D. Luffy</t>
  </si>
  <si>
    <t>https://i.postimg.cc/SNfRvgg1/146-Luffy-Law-Pirate-Alliance-Monkey-D-Luffy.png</t>
  </si>
  <si>
    <t>Kozuki Clan / Servant
Kin'emon</t>
  </si>
  <si>
    <t>Defender(s)
Paramecia
Power users
New World
Kozuki Clan / Kozuki Clan Servant</t>
  </si>
  <si>
    <t>https://i.postimg.cc/13Wt9fhp/145-Kozuki-Clan-Servant-Kin-emon.png</t>
  </si>
  <si>
    <t>Former Navy Admiral
Kuzan</t>
  </si>
  <si>
    <t>Attacker(s)
Logia
Power users
New World
Navy Admiral / Former Navy Admiral</t>
  </si>
  <si>
    <t>https://i.postimg.cc/Pfm5C6nf/144-Former-Navy-Admiral-Kuzan.png</t>
  </si>
  <si>
    <t>Punk Hazard
Smoker (Chambres)</t>
  </si>
  <si>
    <t>Attacker(s)
Navy
New World
Chambres</t>
  </si>
  <si>
    <t>https://i.postimg.cc/02n5fbNL/143-Punk-Hazard-Smoker-Chambres.png</t>
  </si>
  <si>
    <t>The Parmount War
Gecko Moria</t>
  </si>
  <si>
    <t>Attacker(s)
The Seven Warlords of the Sea / Former Warlords of the Sea
Paramecia
Captain
Power users
The Grand Line</t>
  </si>
  <si>
    <t>https://i.postimg.cc/bwFz7Wkg/142-The-Parmount-War-Gecko-Moria.png</t>
  </si>
  <si>
    <t>The Parmount War
Crocodile</t>
  </si>
  <si>
    <t>Runner(s)
The Seven Warlords of the Sea / Former Warlords of the Sea
Logia
Power users
The Grand Line</t>
  </si>
  <si>
    <t>https://i.postimg.cc/BvLq4pC0/141-The-Parmount-War-Crocodile.png</t>
  </si>
  <si>
    <t>Ghost Princess
Perona</t>
  </si>
  <si>
    <t>Defender(s)
Paramecia
Power users
New World
Long-Range Normal Attacks</t>
  </si>
  <si>
    <t>https://i.postimg.cc/C5YYCgph/140-Ghost-Princess-Perona.png</t>
  </si>
  <si>
    <t>Kuja Pirates / Captain
Boa Hancock</t>
  </si>
  <si>
    <t>Attacker(s)
The Seven Warlords of the Sea / Former Warlords of the Sea
Kuja Pirates
Paramecia
Captain
Power users
New World
Long-Range Normal Attacks</t>
  </si>
  <si>
    <t>https://i.postimg.cc/RVS4N4TG/139-Kuja-Pirates-Captain-Boa-Hancock.png</t>
  </si>
  <si>
    <t>The Greatest Swordman in the World
Dracule Mihawk</t>
  </si>
  <si>
    <t>Defender(s)
The Seven Warlords of the Sea / Former Warlords of the Sea
New World</t>
  </si>
  <si>
    <t>https://i.postimg.cc/VNCc36Ys/138-The-Greatest-Swordman-in-the-World-Dracule-Mihawk.png</t>
  </si>
  <si>
    <t>Former World Government / Science Division Member
Caesar Clown</t>
  </si>
  <si>
    <t>Defender(s)
Logia
Power users
New World</t>
  </si>
  <si>
    <t>https://i.postimg.cc/QCXG9JcV/137-Former-World-Government-Science-Division-Member-Caesar-Clown.png</t>
  </si>
  <si>
    <t>The Seven Warlords of the Sea
Buggy</t>
  </si>
  <si>
    <t>Attacker(s)
The Seven Warlords of the Sea / Former Warlords of the Sea
Paramecia
Captain
Power users
New World
Buggy's Delivery
Roger Pirates / Ex-Roger Pirates</t>
  </si>
  <si>
    <t>https://i.postimg.cc/ZnVkrvLH/136-The-Seven-Warlords-of-the-Sea-Buggy.png</t>
  </si>
  <si>
    <t>Superhuman
Charlotte Katakuri</t>
  </si>
  <si>
    <t>https://i.postimg.cc/zDj1m41h/135-Superhuman-Charlotte-Katakuri.png</t>
  </si>
  <si>
    <t>Hunger Pangs
Charlotte Linlin</t>
  </si>
  <si>
    <t>Runner(s)
Paramecia
Captain
Power users
New World
Charlotte Family
Royalty / Former Royalty</t>
  </si>
  <si>
    <t>https://i.postimg.cc/hPZWvxvP/134-Hunger-Pangs-Charlotte-Linlin.png</t>
  </si>
  <si>
    <t>Don Quixote Family / Officer
Corazon</t>
  </si>
  <si>
    <t>Defender(s)
Navy
Don Quixote Family
Paramecia
Power users
New World
Celestial Dragons / Former Celestial Dragons</t>
  </si>
  <si>
    <t>https://i.postimg.cc/Vk2xB8Xx/133-Don-Quixote-Family-Officer-Corazon.png</t>
  </si>
  <si>
    <t>The Undefeated Woman
Rebecca</t>
  </si>
  <si>
    <t>https://i.postimg.cc/fR349LS7/132-The-Undefeated-Woman-Rebecca.png</t>
  </si>
  <si>
    <t>Surgeon of Death
Trafalger Law</t>
  </si>
  <si>
    <t>https://i.postimg.cc/k4mLzv1w/131-Surgeon-of-Death-Trafalger-Law.png</t>
  </si>
  <si>
    <t>Amaru
Eneru</t>
  </si>
  <si>
    <t>Defender(s)
Logia
Power users
The Grand Line</t>
  </si>
  <si>
    <t>https://i.postimg.cc/pTJ3H53v/130-Amaru-Eneru.png</t>
  </si>
  <si>
    <t>CP0
Rob Lucci</t>
  </si>
  <si>
    <t>Attacker(s)
Cipher Pol
Zoan
Power users
New World</t>
  </si>
  <si>
    <t>https://i.postimg.cc/mkZJ22GH/129-CP0-Rob-Lucci.png</t>
  </si>
  <si>
    <t>Land of Wano
Luffytaro</t>
  </si>
  <si>
    <t>https://i.postimg.cc/J0TgyV1d/128-Land-of-Wano-Luffytaro.png</t>
  </si>
  <si>
    <t>Land of Wano
Onami</t>
  </si>
  <si>
    <t>https://i.postimg.cc/RCG2pfcQ/127-Land-of-Wano-Onami.png</t>
  </si>
  <si>
    <t>Land of Wano
X.Drake</t>
  </si>
  <si>
    <t>Attacker(s)
Zoan
Power users
New World
Worst Generation
Animal Kingdom Pirates</t>
  </si>
  <si>
    <t>https://i.postimg.cc/pL57d63q/126-Land-of-Wano-X-Drake.png</t>
  </si>
  <si>
    <t>New World
Eustass Kid</t>
  </si>
  <si>
    <t>https://i.postimg.cc/pX64RHcm/125-New-World-Eustass-Kid.png</t>
  </si>
  <si>
    <t>Kid Pirates / Fighter
Killer</t>
  </si>
  <si>
    <t>Runner(s)
New World
Worst Generation</t>
  </si>
  <si>
    <t>https://i.postimg.cc/DyZH9Z6V/124-Kid-Pirates-Fighter-Killer.png</t>
  </si>
  <si>
    <t>On-Air Pirates / Captain
Scratchmen Apoo</t>
  </si>
  <si>
    <t>Runner(s)
Paramecia
Captain
Power users
New World
Worst Generation</t>
  </si>
  <si>
    <t>https://i.postimg.cc/7LgW3THz/123-On-Air-Pirates-Captain-Scratchmen-Apoo.png</t>
  </si>
  <si>
    <t>Fallen Monk Pirates / Captain "Mad Monk"
Urouge</t>
  </si>
  <si>
    <t>Defender(s)
Captain
New World
Worst Generation</t>
  </si>
  <si>
    <t>https://i.postimg.cc/yxNpCQFh/122-Fallen-Monk-Pirates-Captain-Mad-Monk-Urouge.png</t>
  </si>
  <si>
    <t>Navy HQ / Fleet Admiral
Sengoku</t>
  </si>
  <si>
    <t>Defender(s)
Navy
Zoan
Power users
The Grand Line
Navy Admiral / Former Navy Admiral</t>
  </si>
  <si>
    <t>https://i.postimg.cc/15f7WdRs/121-Navy-HQ-Fleet-Admiral-Sengoku.png</t>
  </si>
  <si>
    <t>The Pirate King`s Right Arm The Dark King
Silvers Rayleigh</t>
  </si>
  <si>
    <t>Attacker(s)
The Grand Line
Roger Pirates / Ex-Roger Pirates</t>
  </si>
  <si>
    <t>https://i.postimg.cc/JzX68BBF/120-The-Pirate-King-s-Right-Arm-The-Dark-King-Silvers-Rayleigh.png</t>
  </si>
  <si>
    <t>Gear Four / Snakeman
Monkey D. Luffy</t>
  </si>
  <si>
    <t>Runner(s)
Straw Hat Pirates
Paramecia
Captain
Power users
New World
Worst Generation</t>
  </si>
  <si>
    <t>https://i.postimg.cc/m2JXKShM/119-Gear-Four-Snakeman-Monkey-D-Luffy.png</t>
  </si>
  <si>
    <t>Revolutoonary Army
Emporio Ivankov</t>
  </si>
  <si>
    <t>Runner(s)
Revolutionary Army
Paramecia
Power users
The Grand Line
Royalty / Former Royalty</t>
  </si>
  <si>
    <t>https://i.postimg.cc/s2RngDYg/118-Revolutoonary-Army-Emporio-Ivankov.png</t>
  </si>
  <si>
    <t>Impel Down / Warden
Magellan</t>
  </si>
  <si>
    <t>Defender(s)
Paramecia
Power users
The Grand Line</t>
  </si>
  <si>
    <t>https://i.postimg.cc/PrgySrFQ/117-Impel-Down-Warden-Magellan.png</t>
  </si>
  <si>
    <t>Gerand Line Navel Base 5 / Vice Admiral
Smoker</t>
  </si>
  <si>
    <t>Attacker(s)
Navy
Logia
Power users
New World</t>
  </si>
  <si>
    <t>https://i.postimg.cc/cC6hbKSX/116-Gerand-Line-Navel-Base-5-Vice-Admiral-Smoker.png</t>
  </si>
  <si>
    <t>Grand Line Naval Base 5 / Captain
Tashigi</t>
  </si>
  <si>
    <t>https://i.postimg.cc/TP9c2j2t/115-Grand-Line-Naval-Base-5-Captain-Tashigi.png</t>
  </si>
  <si>
    <t>Navy HQ / Rear Admiral
Hina</t>
  </si>
  <si>
    <t>https://i.postimg.cc/gJ2Hxwnm/114-Navy-HQ-Rear-Admiral-Hina.png</t>
  </si>
  <si>
    <t>STAMPEDE
Douglas Bullet</t>
  </si>
  <si>
    <t>Attacker(s)
Paramecia
Power users
New World
Roger Pirates / Ex-Roger Pirates</t>
  </si>
  <si>
    <t>https://i.postimg.cc/RVHQJxV6/113-STAMPEDE-Douglas-Bullet.png</t>
  </si>
  <si>
    <t>The King of the Snipers
Sniper King</t>
  </si>
  <si>
    <t>Runner(s)
Straw Hat Pirates
The Grand Line
Long-Range Normal Attacks</t>
  </si>
  <si>
    <t>https://i.postimg.cc/T2SJP3Gv/112-The-King-of-the-Snipers-Sniper-King.png</t>
  </si>
  <si>
    <t>CP9
Kaku</t>
  </si>
  <si>
    <t>Runner(s)
Cipher Pol
Zoan
Power users
The Grand Line</t>
  </si>
  <si>
    <t>https://i.postimg.cc/nhfKvSCd/111-CP9-Kaku.png</t>
  </si>
  <si>
    <t>CP9
Rob Lucci</t>
  </si>
  <si>
    <t>https://i.postimg.cc/k5nxHVNK/110-CP9-Rob-Lucci.png</t>
  </si>
  <si>
    <t>Luffy`s Brother
Sabo</t>
  </si>
  <si>
    <t>Attacker(s)
Revolutionary Army
Logia
Power users
New World</t>
  </si>
  <si>
    <t>https://i.postimg.cc/jjZzYsv9/109-Luffy-s-Brother-Sabo.png</t>
  </si>
  <si>
    <t>Navy HQ / Admiral Fujitora
[Issho]</t>
  </si>
  <si>
    <t>Defender(s)
Navy
Paramecia
Power users
New World
Navy Admiral / Former Navy Admiral</t>
  </si>
  <si>
    <t>https://i.postimg.cc/d13Gqzx0/108-Navy-HQ-Admiral-Fujitora-Issho.png</t>
  </si>
  <si>
    <t>Beautiful Pirates / Captain
Cavendish</t>
  </si>
  <si>
    <t>Attacker(s)
Captain
New World
Royalty / Former Royalty</t>
  </si>
  <si>
    <t>https://i.postimg.cc/26th32s7/107-Beautiful-Pirates-Captain-Cavendish.png</t>
  </si>
  <si>
    <t>Barto Club / Captain
Bartolomeo</t>
  </si>
  <si>
    <t>Defender(s)
Paramecia
Captain
Power users
New World</t>
  </si>
  <si>
    <t>https://i.postimg.cc/0rRS0r26/106-Barto-Club-Captain-Bartolomeo.png</t>
  </si>
  <si>
    <t>The Parmount War
Monkey D. Luffy</t>
  </si>
  <si>
    <t>Runner(s)
Straw Hat Pirates
Paramecia
Captain
Power users
The Grand Line
Worst Generation</t>
  </si>
  <si>
    <t>https://i.postimg.cc/k5XTbYp0/105-The-Parmount-War-Monkey-D-Luffy.png</t>
  </si>
  <si>
    <t>The Four Emperors
Shanks</t>
  </si>
  <si>
    <t>Attacker(s)
Red-Haired Pirates
Captain
The Grand Line
Roger Pirates / Ex-Roger Pirates</t>
  </si>
  <si>
    <t>https://i.postimg.cc/bwR6df30/104-The-Four-Emperors-Shanks.png</t>
  </si>
  <si>
    <t>The Seven Warlords of the Sea
Marshall D. Teach</t>
  </si>
  <si>
    <t>Defender(s)
The Seven Warlords of the Sea / Former Warlords of the Sea
Logia
Captain
Power users
The Grand Line
Worst Generation
Blackbeard Pirates</t>
  </si>
  <si>
    <t>https://i.postimg.cc/1zCJccxf/103-The-Seven-Warlords-of-the-Sea-Marshall-D-Teach.png</t>
  </si>
  <si>
    <t>Navy HQ / Vice Admiral
Monkey D. Garb</t>
  </si>
  <si>
    <t>https://i.postimg.cc/ydDnfgBn/102-Navy-HQ-Vice-Admiral-Monkey-D-Garb.png</t>
  </si>
  <si>
    <t>Whitebeard Pirates / 1st Division Commander
Marco</t>
  </si>
  <si>
    <t>Runner(s)
Whitebeard Pirates
Zoan
Power users
The Grand Line</t>
  </si>
  <si>
    <t>https://i.postimg.cc/gJ1s1z2p/101-Whitebeard-Pirates-1st-Division-Commander-Marco.png</t>
  </si>
  <si>
    <t>Son of the King of the Pirates
Portgaz D. Ace</t>
  </si>
  <si>
    <t>Runner(s)
Whitebeard Pirates
Logia
Power users
The Grand Line</t>
  </si>
  <si>
    <t>https://i.postimg.cc/5yvgVhXC/100-Son-of-the-King-of-the-Pirates-Portgaz-D-Ace.png</t>
  </si>
  <si>
    <t>Animal Kingdom Pirates / Supreme Commander
Kaido</t>
  </si>
  <si>
    <t>Attacker(s)
Zoan
Captain
Power users
New World
Animal Kingdom Pirates</t>
  </si>
  <si>
    <t>https://i.postimg.cc/G3sqGyXm/099-Animal-Kingdom-Pirates-Supreme-Commander-Kaido.png</t>
  </si>
  <si>
    <t>Happy Holiday
Nico Robin</t>
  </si>
  <si>
    <t>https://i.postimg.cc/L6KvT8WB/098-Happy-Holiday-Nico-Robin.png</t>
  </si>
  <si>
    <t>Happy Holiday
Franky</t>
  </si>
  <si>
    <t>https://i.postimg.cc/7Y39Qy8v/097-Happy-Holiday-Franky.png</t>
  </si>
  <si>
    <t>Happy Holiday
Tony Tony Chopper</t>
  </si>
  <si>
    <t>Attacker(s)
Straw Hat Pirates
Zoan
Power users
New World
Long-Range Normal Attacks</t>
  </si>
  <si>
    <t>https://i.postimg.cc/RZvRkb4W/096-Happy-Holiday-Tony-Tony-Chopper.png</t>
  </si>
  <si>
    <t>The Seven Warlords of the Sea
Bartholomew Kuma</t>
  </si>
  <si>
    <t>Defender(s)
The Seven Warlords of the Sea / Former Warlords of the Sea
Revolutionary Army
Paramecia
Power users
The Grand Line
Long-Range Normal Attacks
Royalty / Former Royalty</t>
  </si>
  <si>
    <t>https://i.postimg.cc/Z5jc4F5V/095-The-Seven-Warlords-of-the-Sea-Bartholomew-Kuma.png</t>
  </si>
  <si>
    <t>Germa 66
Vinsmoke Reiju</t>
  </si>
  <si>
    <t>Runner(s)
New World
Germa 66
Royalty / Former Royalty</t>
  </si>
  <si>
    <t>https://i.postimg.cc/6Q3h327w/094-Germa-66-Vinsmoke-Reiju.png</t>
  </si>
  <si>
    <t>Firetank Pirates / Godfather
Capone Bege</t>
  </si>
  <si>
    <t>Defender(s)
Paramecia
Captain
Power users
New World
Worst Generation
Long-Range Normal Attacks</t>
  </si>
  <si>
    <t>https://i.postimg.cc/FKBVJrcS/093-Firetank-Pirates-Godfather-Capone-Bege.png</t>
  </si>
  <si>
    <t>Whole Cake Island
Sanji</t>
  </si>
  <si>
    <t>https://i.postimg.cc/vTR7300H/092-Whole-Cake-Island-Sanji.png</t>
  </si>
  <si>
    <t>The Seven Warlords of the Sea
Jinbe</t>
  </si>
  <si>
    <t>Attacker(s)
The Seven Warlords of the Sea / Former Warlords of the Sea
Captain
Fish-Man
The Grand Line</t>
  </si>
  <si>
    <t>https://i.postimg.cc/G3YxH1pB/091-The-Seven-Warlords-of-the-Sea-Jinbe.png</t>
  </si>
  <si>
    <t>Imprisoned Bride
Nami</t>
  </si>
  <si>
    <t>Attacker(s)
Straw Hat Pirates
The Grand Line
Long-Range Normal Attacks</t>
  </si>
  <si>
    <t>https://i.postimg.cc/MKSbBrc9/090-Imprisoned-Bride-Nami.png</t>
  </si>
  <si>
    <t>Thriller Park Pirates / Mysterious Four
Perona</t>
  </si>
  <si>
    <t>Runner(s)
Paramecia
Power users
The Grand Line
Long-Range Normal Attacks</t>
  </si>
  <si>
    <t>https://i.postimg.cc/VksqGrWM/089-Thriller-Park-Pirates-Mysterious-Four-Perona.png</t>
  </si>
  <si>
    <t>Legendary Samurai Zombie
Ryuma</t>
  </si>
  <si>
    <t>https://i.postimg.cc/HkSQfY6N/088-Legendary-Samurai-Zombie-Ryuma.png</t>
  </si>
  <si>
    <t>Ray of Hope
Nightmare Luffy</t>
  </si>
  <si>
    <t>Defender(s)
Straw Hat Pirates
Paramecia
Captain
Power users
The Grand Line</t>
  </si>
  <si>
    <t>https://i.postimg.cc/cJrQWpjL/087-Ray-of-Hope-Nightmare-Luffy.png</t>
  </si>
  <si>
    <t>Big Mom Pirates / "Sweet 3" General
Charlotte Katakuri</t>
  </si>
  <si>
    <t>https://i.postimg.cc/mkN9VBc8/086-Big-Mom-Pirates-Sweet-3-General-Charlotte-Katakuri.png</t>
  </si>
  <si>
    <t>Big Mom Pirates / Captain
Charlotte Linlin</t>
  </si>
  <si>
    <t>https://i.postimg.cc/VsjXzB7n/085-Big-Mom-Pirates-Captain-Charlotte-Linlin.png</t>
  </si>
  <si>
    <t>Land of Wano
Zorojuro</t>
  </si>
  <si>
    <t>https://i.postimg.cc/L5MfznsJ/084-Land-of-Wano-Zorojuro.png</t>
  </si>
  <si>
    <t>Land of Wano
Basil Hawkins</t>
  </si>
  <si>
    <t>Defender(s)
Paramecia
Power users
New World
Worst Generation
Animal Kingdom Pirates</t>
  </si>
  <si>
    <t>https://i.postimg.cc/wTgLMyPP/083-Land-of-Wano-Basil-Hawkins.png</t>
  </si>
  <si>
    <t>Land of Wano
Trafalgar Law</t>
  </si>
  <si>
    <t>Defender(s)
The Seven Warlords of the Sea / Former Warlords of the Sea
Paramecia
Captain
Power users
New World
Worst Generation</t>
  </si>
  <si>
    <t>https://i.postimg.cc/m2jMHZWr/082-Land-of-Wano-Trafalgar-Law.png</t>
  </si>
  <si>
    <t>The Seven Warlords of the Sea
Don Quixote Doflamingo</t>
  </si>
  <si>
    <t>Runner(s)
The Seven Warlords of the Sea / Former Warlords of the Sea
Don Quixote Family
Paramecia
Captain
Power users
New World
Celestial Dragons / Former Celestial Dragons
Royalty / Former Royalty</t>
  </si>
  <si>
    <t>https://i.postimg.cc/7ZQ2KB68/081-The-Seven-Warlords-of-the-Sea-Don-Quixote-Doflamingo.png</t>
  </si>
  <si>
    <t>Gear Four / Bounceman
Monkey D. Luffy</t>
  </si>
  <si>
    <t>https://i.postimg.cc/HkLM4GT9/080-Gear-Four-Bounceman-Monkey-D-Luffy.png</t>
  </si>
  <si>
    <t>STAMPEDE
Sabo</t>
  </si>
  <si>
    <t>https://i.postimg.cc/6Q2Ggd27/079-STAMPEDE-Sabo.png</t>
  </si>
  <si>
    <t>STAMPEDE
Monkey D. Luffy</t>
  </si>
  <si>
    <t>https://i.postimg.cc/Dz9bT8Lx/078-STAMPEDE-Monkey-D-Luffy.png</t>
  </si>
  <si>
    <t>STAMPEDE
Smoker</t>
  </si>
  <si>
    <t>Defender(s)
Navy
Logia
Power users
New World</t>
  </si>
  <si>
    <t>https://i.postimg.cc/DZ14yncn/077-STAMPEDE-Smoker.png</t>
  </si>
  <si>
    <t>Navy Infiltrator
Portgaz D. Ace</t>
  </si>
  <si>
    <t>https://i.postimg.cc/x8YJXhsH/076-Navy-Infiltrator-Portgaz-D-Ace.png</t>
  </si>
  <si>
    <t>Impel Down / Prisoner
Crocodile</t>
  </si>
  <si>
    <t>Defender(s)
The Seven Warlords of the Sea / Former Warlords of the Sea
Logia
Power users
The Grand Line</t>
  </si>
  <si>
    <t>https://i.postimg.cc/kGcVKsZH/075-Impel-Down-Prisoner-Crocodile.png</t>
  </si>
  <si>
    <t>Bikini
Boa Hancock</t>
  </si>
  <si>
    <t>Attacker(s)
The Seven Warlords of the Sea / Former Warlords of the Sea
Kuja Pirates
Paramecia
Captain
Power users
The Grand Line</t>
  </si>
  <si>
    <t>https://i.postimg.cc/fWjSGWLv/074-Bikini-Boa-Hancock.png</t>
  </si>
  <si>
    <t>Bikini
Nami</t>
  </si>
  <si>
    <t>https://i.postimg.cc/bNySpXSf/073-Bikini-Nami.png</t>
  </si>
  <si>
    <t>2 Years Later / Ship Carpenter
Franky</t>
  </si>
  <si>
    <t>https://i.postimg.cc/MGQvdqNV/072-2-Years-Later-Ship-Carpenter-Franky.png</t>
  </si>
  <si>
    <t>2 Years Later / Musician
Brook</t>
  </si>
  <si>
    <t>https://i.postimg.cc/wj3tRhkW/071-2-Years-Later-Musician-Brook.png</t>
  </si>
  <si>
    <t>2 Years Later / Archaeologist
Nico Robin</t>
  </si>
  <si>
    <t>https://i.postimg.cc/RZ8W7Nsv/070-2-Years-Later-Archaeologist-Nico-Robin.png</t>
  </si>
  <si>
    <t>2 Years Later / Doctor
Tony Tony Chopper</t>
  </si>
  <si>
    <t>Runner(s)
Straw Hat Pirates
Zoan
Power users
New World</t>
  </si>
  <si>
    <t>https://i.postimg.cc/fLQkP1QF/069-2-Years-Later-Doctor-Tony-Tony-Chopper.png</t>
  </si>
  <si>
    <t>Navy HQ / Admiral Kizaru
[Borsalino]</t>
  </si>
  <si>
    <t>Runner(s)
Navy
Logia
Power users
The Grand Line
Navy Admiral / Former Navy Admiral</t>
  </si>
  <si>
    <t>https://i.postimg.cc/W3mtcS24/068-Navy-HQ-Admiral-Kizaru-Borsalino.png</t>
  </si>
  <si>
    <t>Bonney Pirates / Captain
Jewelry Bonney</t>
  </si>
  <si>
    <t>Runner(s)
Paramecia
Captain
Power users
The Grand Line
Worst Generation</t>
  </si>
  <si>
    <t>https://i.postimg.cc/fywyzXLf/067-Bonney-Pirates-Captain-Jewelry-Bonney.png</t>
  </si>
  <si>
    <t>2 Years Later / Sharp Shooter
Usopp</t>
  </si>
  <si>
    <t>https://i.postimg.cc/RhXFNFJ5/066-2-Years-Later-Sharp-Shooter-Usopp.png</t>
  </si>
  <si>
    <t>2 Years Later / Cook
Sanji</t>
  </si>
  <si>
    <t>Defender(s)
Straw Hat Pirates
New World
Worst Generation</t>
  </si>
  <si>
    <t>https://i.postimg.cc/445n88LL/065-2-Years-Later-Cook-Sanji.png</t>
  </si>
  <si>
    <t>Revolutoonary Army / Chief of Staff
Sabo</t>
  </si>
  <si>
    <t>https://i.postimg.cc/SxwKXHRs/064-Revolutoonary-Army-Chief-of-Staff-Sabo.png</t>
  </si>
  <si>
    <t>2 Years Later / Navigator
Nami</t>
  </si>
  <si>
    <t>https://i.postimg.cc/pL9TLP24/063-2-Years-Later-Navigator-Nami.png</t>
  </si>
  <si>
    <t>2 Years Later / Combatant
Roronoa Zoro</t>
  </si>
  <si>
    <t>https://i.postimg.cc/cJwLfTtc/062-2-Years-Later-Combatant-Roronoa-Zoro.png</t>
  </si>
  <si>
    <t>Alabasta / Princess
Nefeltari Vivi</t>
  </si>
  <si>
    <t>Runner(s)
The Grand Line
Alabasta Kingdom
Royalty / Former Royalty</t>
  </si>
  <si>
    <t>https://i.postimg.cc/rmTFjWS2/061-Alabasta-Princess-Nefeltari-Vivi.png</t>
  </si>
  <si>
    <t>2 Years Later / Captain
Monkey D. Luffy</t>
  </si>
  <si>
    <t>https://i.postimg.cc/zvtzqc4q/060-2-Years-Later-Captain-Monkey-D-Luffy.png</t>
  </si>
  <si>
    <t>Heart Pirates / Captain
Trafalger Law</t>
  </si>
  <si>
    <t>https://i.postimg.cc/jd2qMRJ2/059-Heart-Pirates-Captain-Trafalger-Law.png</t>
  </si>
  <si>
    <t>Kid Pirates / Captain
Eustass Kid</t>
  </si>
  <si>
    <t>Attacker(s)
Paramecia
Captain
Power users
The Grand Line
Worst Generation</t>
  </si>
  <si>
    <t>https://i.postimg.cc/rwtVLgjL/058-Kid-Pirates-Captain-Eustass-Kid.png</t>
  </si>
  <si>
    <t>Bellamy Pirates / Captain
Bellamy</t>
  </si>
  <si>
    <t>https://i.postimg.cc/gk7z51vD/057-Bellamy-Pirates-Captain-Bellamy.png</t>
  </si>
  <si>
    <t>Arm Point
Tony Tony Chopper</t>
  </si>
  <si>
    <t>Attacker(s)
Straw Hat Pirates
Zoan
Power users
The Grand Line</t>
  </si>
  <si>
    <t>https://i.postimg.cc/cJys1Ykt/056-Arm-Point-Tony-Tony-Chopper.png</t>
  </si>
  <si>
    <t>108 Pound Phoenix
Roronoa Zoro</t>
  </si>
  <si>
    <t>https://i.postimg.cc/wv9gLzp6/055-108-Pound-Phoenix-Roronoa-Zoro.png</t>
  </si>
  <si>
    <t>The Seven Warlords of the Sea
Gecko Moria</t>
  </si>
  <si>
    <t>Defender(s)
The Seven Warlords of the Sea / Former Warlords of the Sea
Paramecia
Captain
Power users
The Grand Line</t>
  </si>
  <si>
    <t>https://i.postimg.cc/zvBN2kv6/054-The-Seven-Warlords-of-the-Sea-Gecko-Moria.png</t>
  </si>
  <si>
    <t>The Seven Warlords of the Sea
Hancock</t>
  </si>
  <si>
    <t>Attacker(s)
Baroque Works
Paramecia
Power users
The Grand Line</t>
  </si>
  <si>
    <t>https://i.postimg.cc/wMGpCssv/053-The-Seven-Warlords-of-the-Sea-Hancock.png</t>
  </si>
  <si>
    <t>Baroque Works / Vice President
Ms. All Sunday</t>
  </si>
  <si>
    <t>https://i.postimg.cc/ZY74BXDS/052-Baroque-Works-Vice-President-Ms-All-Sunday.png</t>
  </si>
  <si>
    <t>Baroque Works / Officer Agent
Bon Clay, aka Mr. 2</t>
  </si>
  <si>
    <t>https://i.postimg.cc/VLJ1j43b/051-Baroque-Works-Officer-Agent-Bon-Clay-aka-Mr-2.png</t>
  </si>
  <si>
    <t>Navy HQ / Admiral Aokiji
[Kuzan]</t>
  </si>
  <si>
    <t>Defender(s)
Navy
Logia
Power users
The Grand Line
Navy Admiral / Former Navy Admiral</t>
  </si>
  <si>
    <t>https://i.postimg.cc/pX3vkzHc/050-Navy-HQ-Admiral-Aokiji-Kuzan.png</t>
  </si>
  <si>
    <t>Navy HQ / Admiral Akainu
[Sakazuki]</t>
  </si>
  <si>
    <t>https://i.postimg.cc/y89HGx61/049-Navy-HQ-Admiral-Akainu-Sakazuki.png</t>
  </si>
  <si>
    <t>Whitebeard Pirates / 2nd Division Commander
Portgaz D. Ace</t>
  </si>
  <si>
    <t>Attacker(s)
Whitebeard Pirates
Logia
Power users
The Grand Line</t>
  </si>
  <si>
    <t>https://i.postimg.cc/fbNNQskx/048-Whitebeard-Pirates-2nd-Division-Commander-Portgaz-D-Ace.png</t>
  </si>
  <si>
    <t>Whitebeard Pirates / Captain Whitebeard
Edward Newgate</t>
  </si>
  <si>
    <t>Defender(s)
Whitebeard Pirates
Paramecia
Captain
Power users
The Grand Line</t>
  </si>
  <si>
    <t>https://i.postimg.cc/rmy2z91s/047-Whitebeard-Pirates-Captain-Whitebeard-Edward-Newgate.png</t>
  </si>
  <si>
    <t>Kami
Eneru</t>
  </si>
  <si>
    <t>Attacker(s)
Logia
Power users
The Grand Line</t>
  </si>
  <si>
    <t>Beginning of the Game</t>
  </si>
  <si>
    <t>https://i.postimg.cc/gJMFh6sD/046-Kami-Eneru.png</t>
  </si>
  <si>
    <t>The Seven Warlords of the Sea
Crocodile</t>
  </si>
  <si>
    <t>Defender(s)
The Seven Warlords of the Sea / Former Warlords of the Sea
Baroque Works
Logia
Power users
The Grand Line</t>
  </si>
  <si>
    <t>https://i.postimg.cc/x8cr3TFS/045-The-Seven-Warlords-of-the-Sea-Crocodile.png</t>
  </si>
  <si>
    <t>Peacock Slasher
Nefeltari Vivi</t>
  </si>
  <si>
    <t>https://i.postimg.cc/8k0gPMjk/044-Peacock-Slasher-Nefeltari-Vivi.png</t>
  </si>
  <si>
    <t>Gum-Gum Storm
Monkey D. Luffy</t>
  </si>
  <si>
    <t>https://i.postimg.cc/X7BSZqCf/043-Gum-Gum-Storm-Monkey-D-Luffy.png</t>
  </si>
  <si>
    <t>Drum Kingdom / Former Ruler
Wapol</t>
  </si>
  <si>
    <t>Defender(s)
Paramecia
Captain
Power users
The Grand Line
Royalty / Former Royalty</t>
  </si>
  <si>
    <t>https://i.postimg.cc/7ZSFVRXb/042-Drum-Kingdom-Former-Ruler-Wapol.png</t>
  </si>
  <si>
    <t>Navy HQ / Captain
Smoker</t>
  </si>
  <si>
    <t>Defender(s)
Navy
Logia
Power users
The Grand Line</t>
  </si>
  <si>
    <t>https://i.postimg.cc/cLqqfWRV/041-Navy-HQ-Captain-Smoker.png</t>
  </si>
  <si>
    <t>30 Million Berry Bounty
Monkey D. Luffy</t>
  </si>
  <si>
    <t>https://i.postimg.cc/mDgKTg4F/040-30-Million-Berry-Bounty-Monkey-D-Luffy.png</t>
  </si>
  <si>
    <t>Arlong Pirates / Captain
Arlong</t>
  </si>
  <si>
    <t>Attacker(s)
East Blue
Captain
Fish-Man</t>
  </si>
  <si>
    <t>https://i.postimg.cc/0NfLgJTs/039-Arlong-Pirates-Captain-Arlong.png</t>
  </si>
  <si>
    <t>The Seven Warlords of the Sea
Dracule Mihawk</t>
  </si>
  <si>
    <t>Attacker(s)
East Blue
The Seven Warlords of the Sea / Former Warlords of the Sea</t>
  </si>
  <si>
    <t>https://i.postimg.cc/269MyNj9/038-The-Seven-Warlords-of-the-Sea-Dracule-Mihawk.png</t>
  </si>
  <si>
    <t>Girl from Syrub Village
Kaya</t>
  </si>
  <si>
    <t>https://i.postimg.cc/vT1j62cY/037-Girl-from-Syrub-Village-Kaya.png</t>
  </si>
  <si>
    <t>Red-Haired Pirates / Sharp Shooter
Yasopp</t>
  </si>
  <si>
    <t>Runner(s)
East Blue
Red-Haired Pirates
Long-Range Normal Attacks</t>
  </si>
  <si>
    <t>https://i.postimg.cc/NFWn88H1/036-Red-Haired-Pirates-Sharp-Shooter-Yasopp.png</t>
  </si>
  <si>
    <t>Red-Haired Pirates / Captain
Shanks</t>
  </si>
  <si>
    <t>https://i.postimg.cc/9F7Kmk61/035-Red-Haired-Pirates-Captain-Shanks.png</t>
  </si>
  <si>
    <t>Obe-Sword Style Iai Lion Song
Roronoa Zoro</t>
  </si>
  <si>
    <t>Attacker(s)
Straw Hat Pirates
The Grand Line</t>
  </si>
  <si>
    <t>https://i.postimg.cc/jq9BrTFL/034-Obe-Sword-Style-Iai-Lion-Song-Roronoa-Zoro.png</t>
  </si>
  <si>
    <t>Veau Vengeance
Sanji</t>
  </si>
  <si>
    <t>3 Stars</t>
  </si>
  <si>
    <t>Defender(s)
Straw Hat Pirates
The Grand Line</t>
  </si>
  <si>
    <t>https://i.postimg.cc/y8C5kPBK/033-Veau-Vengeance-Sanji.png</t>
  </si>
  <si>
    <t>5t Hammer
Usopp</t>
  </si>
  <si>
    <t>https://i.postimg.cc/zfJckGVP/032-5t-Hammer-Usopp.png</t>
  </si>
  <si>
    <t>Climate Baton
Nami</t>
  </si>
  <si>
    <t>https://i.postimg.cc/XJq1T1Kf/031-Climate-Baton-Nami.png</t>
  </si>
  <si>
    <t>Baroque Works / Frontier Agents
Ms. Wednesday</t>
  </si>
  <si>
    <t>https://i.postimg.cc/hGp3ZRm4/030-Baroque-Works-Frontier-Agents-Ms-Wednesday.png</t>
  </si>
  <si>
    <t>Slip-Slip Fruit
Alvida</t>
  </si>
  <si>
    <t>https://i.postimg.cc/5yF7tHRj/029-Slip-Slip-Fruit-Alvida.png</t>
  </si>
  <si>
    <t>Navy HQ / Master Chief Petty Officer
Tashigi</t>
  </si>
  <si>
    <t>https://i.postimg.cc/zBQ25wp9/028-Navy-HQ-Master-Chief-Petty-Officer-Tashigi.png</t>
  </si>
  <si>
    <t>Arlong Pirates / Officer
Choo</t>
  </si>
  <si>
    <t>Attacker(s)
East Blue
Fish-Man
Long-Range Normal Attacks</t>
  </si>
  <si>
    <t>https://i.postimg.cc/jqwtfMVn/027-Arlong-Pirates-Officer-Choo.png</t>
  </si>
  <si>
    <t>Arlong Pirates / Officer
Kuroobi</t>
  </si>
  <si>
    <t>Defender(s)
East Blue
Fish-Man</t>
  </si>
  <si>
    <t>https://i.postimg.cc/SjFZYyBd/026-Arlong-Pirates-Officer-Kuroobi.png</t>
  </si>
  <si>
    <t>Arlong Pirates / Officer
Hatchan</t>
  </si>
  <si>
    <t>Attacker(s)
East Blue
Fish-Man</t>
  </si>
  <si>
    <t>https://i.postimg.cc/PfghQ1h3/025-Arlong-Pirates-Officer-Hatchan.png</t>
  </si>
  <si>
    <t>Krieg`s Pirate Armada / Admiral
Don Krieg</t>
  </si>
  <si>
    <t>Defender(s)
East Blue
Captain</t>
  </si>
  <si>
    <t>https://i.postimg.cc/c4fW96Ls/024-Krieg-s-Pirate-Armada-Admiral-Don-Krieg.png</t>
  </si>
  <si>
    <t>Krieg`s Pirate Armada / Battle Commander
Gin</t>
  </si>
  <si>
    <t>Attacker(s)
East Blue</t>
  </si>
  <si>
    <t>https://i.postimg.cc/0yxsLxz7/023-Krieg-s-Pirate-Armada-Battle-Commander-Gin.png</t>
  </si>
  <si>
    <t>Baratie / Head Chef
Zeff</t>
  </si>
  <si>
    <t>https://i.postimg.cc/xd1S1RyC/022-Baratie-Head-Chef-Zeff.png</t>
  </si>
  <si>
    <t>Black Cat Pirates / Former Captain
Captain Kuro</t>
  </si>
  <si>
    <t>Attacker(s)
East Blue
Captain</t>
  </si>
  <si>
    <t>https://i.postimg.cc/FKCXdLDx/021-Black-Cat-Pirates-Former-Captain-Captain-Kuro.png</t>
  </si>
  <si>
    <t>Buggy Pirates / Captain
Buggy</t>
  </si>
  <si>
    <t>Runner(s)
East Blue
Paramecia
Captain
Power users
Roger Pirates / Ex-Roger Pirates</t>
  </si>
  <si>
    <t>https://i.postimg.cc/k4V3xgHP/020-Buggy-Pirates-Captain-Buggy.png</t>
  </si>
  <si>
    <t>Bounty Hunter
Johnny</t>
  </si>
  <si>
    <t>Runner(s)
East Blue</t>
  </si>
  <si>
    <t>https://i.postimg.cc/brb7BF86/019-Bounty-Hunter-Johnny.png</t>
  </si>
  <si>
    <t>Bounty Hunter
Yosaku</t>
  </si>
  <si>
    <t>https://i.postimg.cc/J7kC0tJb/018-Bounty-Hunter-Yosaku.png</t>
  </si>
  <si>
    <t>Black Cat Pirates / Guard
Butchie</t>
  </si>
  <si>
    <t>https://i.postimg.cc/dtRMRX53/017-Black-Cat-Pirates-Guard-Butchie.png</t>
  </si>
  <si>
    <t>Black Cat Pirates / Captain
Django</t>
  </si>
  <si>
    <t>https://i.postimg.cc/J4CVkmcS/016-Black-Cat-Pirates-Captain-Django.png</t>
  </si>
  <si>
    <t>Buggy Pirates / Chief of Staff
Cabaji</t>
  </si>
  <si>
    <t>https://i.postimg.cc/3RPM9HM4/015-Buggy-Pirates-Chief-of-Staff-Cabaji.png</t>
  </si>
  <si>
    <t>Navy Captain
Morgan</t>
  </si>
  <si>
    <t>Defender(s)
East Blue
Navy</t>
  </si>
  <si>
    <t>https://i.postimg.cc/Qdj2fbzb/014-Navy-Captain-Morgan.png</t>
  </si>
  <si>
    <t>The Idiot Son
Helmeppo</t>
  </si>
  <si>
    <t>Runner(s)
East Blue
Long-Range Normal Attacks</t>
  </si>
  <si>
    <t>https://i.postimg.cc/BnNdkF9G/013-The-Idiot-Son-Helmeppo.png</t>
  </si>
  <si>
    <t>Alvida Pirates / Captain
Alvida</t>
  </si>
  <si>
    <t>https://i.postimg.cc/wMKPLcJD/012-Alvida-Pirates-Captain-Alvida.png</t>
  </si>
  <si>
    <t>Chore Boy
Koby</t>
  </si>
  <si>
    <t>https://i.postimg.cc/SsY3ntXy/011-Chore-Boy-Koby.png</t>
  </si>
  <si>
    <t>Mountain Bandits / Leader
Higuma the Bear</t>
  </si>
  <si>
    <t>https://i.postimg.cc/KjnWNkrw/010-Mountain-Bandits-Leader-Higuma-the-Bear.png</t>
  </si>
  <si>
    <t>Straw Hat Pirates / Musician
Brook</t>
  </si>
  <si>
    <t>Runner(s)
Straw Hat Pirates
Paramecia
Power users
The Grand Line</t>
  </si>
  <si>
    <t>https://i.postimg.cc/J7JSmvVx/009-Straw-Hat-Pirates-Musician-Brook.png</t>
  </si>
  <si>
    <t>Straw Hat Pirates / Ship Carpenter
Franky</t>
  </si>
  <si>
    <t>https://i.postimg.cc/3JTVw13T/008-Straw-Hat-Pirates-Ship-Carpenter-Franky.png</t>
  </si>
  <si>
    <t>Straw Hat Pirates / Archaeologist
Nico Robin</t>
  </si>
  <si>
    <t>Attacker(s)
Straw Hat Pirates
Paramecia
Power users
The Grand Line</t>
  </si>
  <si>
    <t>https://i.postimg.cc/bN9MSnv2/007-Straw-Hat-Pirates-Archaeologist-Nico-Robin.png</t>
  </si>
  <si>
    <t>Straw Hat Pirates / Doctor
Tony Tony Chopper</t>
  </si>
  <si>
    <t>Runner(s)
Straw Hat Pirates
Zoan
Power users
The Grand Line</t>
  </si>
  <si>
    <t>https://i.postimg.cc/kgMHQ5VY/006-Straw-Hat-Pirates-Doctor-Tony-Tony-Chopper.png</t>
  </si>
  <si>
    <t>Straw Hat Pirates / Cook
Sanji</t>
  </si>
  <si>
    <t>Defender(s)
East Blue
Straw Hat Pirates</t>
  </si>
  <si>
    <t>https://i.postimg.cc/P56R2kYX/005-Straw-Hat-Pirates-Cook-Sanji.png</t>
  </si>
  <si>
    <t>Straw Hat Pirates / Sharp Shooter
Usopp</t>
  </si>
  <si>
    <t>Runner(s)
East Blue
Straw Hat Pirates
Long-Range Normal Attacks</t>
  </si>
  <si>
    <t>https://i.postimg.cc/SRpTJQFr/004-Straw-Hat-Pirates-Sharp-Shooter-Usopp.png</t>
  </si>
  <si>
    <t>Straw Hat Pirates / Navigator
Nami</t>
  </si>
  <si>
    <t>Runner(s)
East Blue
Straw Hat Pirates</t>
  </si>
  <si>
    <t>https://i.postimg.cc/tRhv86Wm/003-Straw-Hat-Pirates-Navigator-Nami.png</t>
  </si>
  <si>
    <t>Straw Hat Pirates / Combatant
Roronoa Zoro</t>
  </si>
  <si>
    <t>https://i.postimg.cc/L8syq07r/002-Straw-Hat-Pirates-Combatant-Roronoa-Zoro.png</t>
  </si>
  <si>
    <t>Straw Hat Pirates / Captain
Monkey D. Luffy</t>
  </si>
  <si>
    <t>Attacker(s)
East Blue
Straw Hat Pirates
Paramecia
Captain
Power users</t>
  </si>
  <si>
    <t>https://i.postimg.cc/jdt3Tjhq/001-Straw-Hat-Pirates-Captain-Monkey-D-Luffy.png</t>
  </si>
  <si>
    <t>-</t>
  </si>
  <si>
    <t>BC A
S 169
26-02-01</t>
  </si>
  <si>
    <t>BC B
S 169
26-02-01</t>
  </si>
  <si>
    <t>BC C
S 169
26-02-01</t>
  </si>
  <si>
    <t>BC D
S 169
26-02-01</t>
  </si>
  <si>
    <t>https://i.postimg.cc/kX3sHzZ6/340-ASL-Ace-Sabo-Luffy-Bounty-Color-1.png</t>
  </si>
  <si>
    <t>https://i.postimg.cc/Prsy79cZ/340-ASL-Ace-Sabo-Luffy-Bounty-Color-2.png</t>
  </si>
  <si>
    <t>https://i.postimg.cc/xTD5Zh7N/340-ASL-Ace-Sabo-Luffy-Bounty-Color-3.png</t>
  </si>
  <si>
    <t>https://i.postimg.cc/28RGtMJW/340-ASL-Ace-Sabo-Luffy-Bounty-Color-4.png</t>
  </si>
  <si>
    <t>https://i.postimg.cc/pXbCS47f/341-The-Four-Emperors-Marshall-D-Teach-Bounty-Color-1.png</t>
  </si>
  <si>
    <t>https://i.postimg.cc/MK25LN40/341-The-Four-Emperors-Marshall-D-Teach-Bounty-Color-2.png</t>
  </si>
  <si>
    <t>https://i.postimg.cc/Prsy79cR/341-The-Four-Emperors-Marshall-D-Teach-Bounty-Color-3.png</t>
  </si>
  <si>
    <t>https://i.postimg.cc/qMVwFSYF/341-The-Four-Emperors-Marshall-D-Teach-Bounty-Color-4.png</t>
  </si>
  <si>
    <t>BC A
S 167
26-01-01</t>
  </si>
  <si>
    <t>BC B
S 167
26-01-01</t>
  </si>
  <si>
    <t>BC C
S 167
26-01-01</t>
  </si>
  <si>
    <t>https://i.postimg.cc/NM8kv4PP/339-Winner-Island-Trafalgar-Law-Bounty-Color-1.png</t>
  </si>
  <si>
    <t>https://i.postimg.cc/MT0mJDr3/339-Winner-Island-Trafalgar-Law-Bounty-Color-2.png</t>
  </si>
  <si>
    <t>https://i.postimg.cc/FRXV6qG2/339-Winner-Island-Trafalgar-Law-Bounty-Color-3.png</t>
  </si>
  <si>
    <t>https://i.postimg.cc/wvYQrPFZ/338-Winner-Island-Bepo-Bounty-Color-1.png</t>
  </si>
  <si>
    <t>https://i.postimg.cc/C1ps2tJ2/338-Winner-Island-Bepo-Bounty-Color-2.png</t>
  </si>
  <si>
    <t>https://i.postimg.cc/26N7tJTJ/338-Winner-Island-Bepo-Bounty-Color-3.png</t>
  </si>
  <si>
    <t>BC A
S 165
25-12-01
S 167
26-01-01</t>
  </si>
  <si>
    <t>BC B
S 165
25-12-01
S 167
26-01-01</t>
  </si>
  <si>
    <t>https://i.postimg.cc/fyhqxy6X/336-Father-and-Daughter-Kuma-Bonney-Bounty-Color-1.png</t>
  </si>
  <si>
    <t>https://i.postimg.cc/Y0fn8kH4/336-Father-and-Daughter-Kuma-Bonney-Bounty-Color-2.png</t>
  </si>
  <si>
    <t>BC C
S 165
25-12-01
S 167
26-01-01</t>
  </si>
  <si>
    <t>https://i.postimg.cc/qqdD8q9y/336-Father-and-Daughter-Kuma-Bonney-Bounty-Color-3.png</t>
  </si>
  <si>
    <t>https://i.postimg.cc/3w0RnQGL/335-Egghead-Jimbie-Bounty-Color-1.png</t>
  </si>
  <si>
    <t>https://i.postimg.cc/SKYsDb9v/335-Egghead-Jimbie-Bounty-Color-2.png</t>
  </si>
  <si>
    <t>https://i.postimg.cc/fbSLBQdp/335-Egghead-Jimbie-Bounty-Color-3.png</t>
  </si>
  <si>
    <t>BC A
S 163
25-11-01
S 167
26-01-01</t>
  </si>
  <si>
    <t>BC B
S 163
25-11-01
S 167
26-01-01</t>
  </si>
  <si>
    <t>BC C
S 163
25-11-01
S 167
26-01-01</t>
  </si>
  <si>
    <t>https://i.postimg.cc/Nfw9hhRf/334-Egghead-Franky-Bounty-Color-1.png</t>
  </si>
  <si>
    <t>https://i.postimg.cc/vHdgRR5Z/334-Egghead-Franky-Bounty-Color-2.png</t>
  </si>
  <si>
    <t>https://i.postimg.cc/RVz6rrKY/334-Egghead-Franky-Bounty-Color-3.png</t>
  </si>
  <si>
    <t>BC A
S 161
25-10-01
S 167
26-01-01</t>
  </si>
  <si>
    <t>BC B
S 161
25-10-01
S 167
26-01-01</t>
  </si>
  <si>
    <t>BC C
S 161
25-10-01
S 167
26-01-01</t>
  </si>
  <si>
    <t>https://i.postimg.cc/q7BV8c0J/332-Egghead-Nico-Robin-Bounty-Color-A.png</t>
  </si>
  <si>
    <t>https://i.postimg.cc/zfDZnw5V/332-Egghead-Nico-Robin-Bounty-Color-B.png</t>
  </si>
  <si>
    <t>https://i.postimg.cc/d0QP8Rvh/332-Egghead-Nico-Robin-Bounty-Color-C.png</t>
  </si>
  <si>
    <t>https://i.postimg.cc/3xFQ4fM0/331-Egghead-Tony-Tony-Chopper-Bounty-Color-A.png</t>
  </si>
  <si>
    <t>https://i.postimg.cc/jS4Yw3VL/331-Egghead-Tony-Tony-Chopper-Bounty-Color-B.png</t>
  </si>
  <si>
    <t>https://i.postimg.cc/BvZ9x5sZ/331-Egghead-Tony-Tony-Chopper-Bounty-Color-C.png</t>
  </si>
  <si>
    <t>https://i.postimg.cc/Nfw9hhmC/330-Egghead-Brook-Bounty-Color-1.png</t>
  </si>
  <si>
    <t>https://i.postimg.cc/tCHZ00Ww/330-Egghead-Brook-Bounty-Color-2.png</t>
  </si>
  <si>
    <t>https://i.postimg.cc/KvykXXBV/330-Egghead-Brook-Bounty-Color-3.png</t>
  </si>
  <si>
    <t>BC A
S 159
25-09-01
S 167
26-01-01</t>
  </si>
  <si>
    <t>BC B
S 159
25-09-01
S 167
26-01-01</t>
  </si>
  <si>
    <t>BC C
S 159
25-09-01
S 167
26-01-01</t>
  </si>
  <si>
    <t>BC D
S 159
25-09-01
S 167
26-01-01</t>
  </si>
  <si>
    <t>https://i.postimg.cc/8k4mNVNL/327-Egghead-Usopp-Bounty-Color-1.png</t>
  </si>
  <si>
    <t>https://i.postimg.cc/SNK7Ktx3/327-Egghead-Usopp-Bounty-Color-2.png</t>
  </si>
  <si>
    <t>https://i.postimg.cc/DyYQ4dWZ/327-Egghead-Usopp-Bounty-Color-3.png</t>
  </si>
  <si>
    <t>https://i.postimg.cc/htzLLzx0/327-Egghead-Usopp-Bounty-Color-4.png</t>
  </si>
  <si>
    <t>https://i.postimg.cc/9f9BhRQf/327-Egghead-Nami-Bounty-Color-1.png</t>
  </si>
  <si>
    <t>https://i.postimg.cc/V6cWLfJW/327-Egghead-Nami-Bounty-Color-2.png</t>
  </si>
  <si>
    <t>https://i.postimg.cc/0jkGDVd6/327-Egghead-Nami-Bounty-Color-3.png</t>
  </si>
  <si>
    <t>https://i.postimg.cc/zBSSysWZ/327-Egghead-Nami-Bounty-Color-4.png</t>
  </si>
  <si>
    <t>BC A
S 157
25-07-29</t>
  </si>
  <si>
    <t>BC B
S 157
25-07-29</t>
  </si>
  <si>
    <t>BC C
S 157
25-07-29</t>
  </si>
  <si>
    <t>BC D
S 157
25-07-29</t>
  </si>
  <si>
    <t>https://i.postimg.cc/gcD0kNPk/326-Blind-Swordsman-Fujitora-Issho-Bounty-Color-1.png</t>
  </si>
  <si>
    <t>https://i.postimg.cc/NjVFvFv6/326-Blind-Swordsman-Fujitora-Issho-Bounty-Color-2.png</t>
  </si>
  <si>
    <t>https://i.postimg.cc/K84jWLwc/326-Blind-Swordsman-Fujitora-Issho-Bounty-Color-3.png</t>
  </si>
  <si>
    <t>https://i.postimg.cc/cH7L3cgh/326-Blind-Swordsman-Fujitora-Issho-Bounty-Color-4.png</t>
  </si>
  <si>
    <t>BC A
S 155
25-07-01</t>
  </si>
  <si>
    <t>BC B
S 155
25-07-01</t>
  </si>
  <si>
    <t>BC C
S 155
25-07-01</t>
  </si>
  <si>
    <t>BC D
S 155
25-07-01</t>
  </si>
  <si>
    <t>https://i.postimg.cc/7YdfGCgS/325-Groves-of-Wrath-Ryokugyu-Aramaki-Bounty-Color-A.png</t>
  </si>
  <si>
    <t>https://i.postimg.cc/25fyGP96/325-Groves-of-Wrath-Ryokugyu-Aramaki-Bounty-Color-B.png</t>
  </si>
  <si>
    <t>https://i.postimg.cc/6pZTd90g/325-Groves-of-Wrath-Ryokugyu-Aramaki-Bounty-Color-C.png</t>
  </si>
  <si>
    <t>https://i.postimg.cc/B6S6920f/325-Groves-of-Wrath-Ryokugyu-Aramaki-Bounty-Color-D.png</t>
  </si>
  <si>
    <t>BC A
S 155
25-07-01
S 167
26-01-01</t>
  </si>
  <si>
    <t>BC B
S 155
25-07-01
S 167
26-01-01</t>
  </si>
  <si>
    <t>BC C
S 155
25-07-01
S 167
26-01-01</t>
  </si>
  <si>
    <t>BC D
S 155
25-07-01
S 167
26-01-01</t>
  </si>
  <si>
    <t>https://i.postimg.cc/DZ6S8Bgz/324-Ama-no-Murakumo-Sword-Kizaru-Borsalino-Bounty-Color-A.png</t>
  </si>
  <si>
    <t>https://i.postimg.cc/nrLC7BRG/324-Ama-no-Murakumo-Sword-Kizaru-Borsalino-Bounty-Color-B.png</t>
  </si>
  <si>
    <t>https://i.postimg.cc/cC56cCPy/324-Ama-no-Murakumo-Sword-Kizaru-Borsalino-Bounty-Color-C.png</t>
  </si>
  <si>
    <t>https://i.postimg.cc/qBmtrDqb/324-Ama-no-Murakumo-Sword-Kizaru-Borsalino-Bounty-Color-D.png</t>
  </si>
  <si>
    <t>BC A
S 151
25-05-01
S 167
26-01-01</t>
  </si>
  <si>
    <t>BC B
S 151
25-05-01
S 167
26-01-01</t>
  </si>
  <si>
    <t>BC C
S 151
25-05-01
S 167
26-01-01</t>
  </si>
  <si>
    <t>https://i.postimg.cc/43C7MKyX/317-Clear-Clear-Fruit-Shiryu-Bounty-Color-A.png</t>
  </si>
  <si>
    <t>https://i.postimg.cc/nLvjtH9B/317-Clear-Clear-Fruit-Shiryu-Bounty-Color-B.png</t>
  </si>
  <si>
    <t>https://i.postimg.cc/26rqkPnJ/317-Clear-Clear-Fruit-Shiryu-Bounty-Color-C.png</t>
  </si>
  <si>
    <t>https://i.postimg.cc/yYdZS42C/316-Strong-Strong-Fruit-Jesus-Burgess-Bounty-Color-A.png</t>
  </si>
  <si>
    <t>https://i.postimg.cc/jdFJH3rw/316-Strong-Strong-Fruit-Jesus-Burgess-Bounty-Color-B.png</t>
  </si>
  <si>
    <t>https://i.postimg.cc/RZJJX1MP/316-Strong-Strong-Fruit-Jesus-Burgess-Bounty-Color-C.png</t>
  </si>
  <si>
    <t>BC A
S 147
25-03-01
S 167
26-01-01</t>
  </si>
  <si>
    <t>BC B
S 147
25-03-01
S 167
26-01-01</t>
  </si>
  <si>
    <t>BC C
S 147
25-03-01
S 167
26-01-01</t>
  </si>
  <si>
    <t>https://i.postimg.cc/FRVL099N/312-Flame-Emperor-Sabo-Bounty-Color-A.png</t>
  </si>
  <si>
    <t>https://i.postimg.cc/QC6Kn09z/312-Flame-Emperor-Sabo-Bounty-Color-B.png</t>
  </si>
  <si>
    <t>https://i.postimg.cc/59pz0N7m/312-Flame-Emperor-Sabo-Bounty-Color-C.png</t>
  </si>
  <si>
    <t>https://i.postimg.cc/dQnWYFGb/310-Blackbeard-Pirates-Kuzan-Bounty-Color-A.png</t>
  </si>
  <si>
    <t>https://i.postimg.cc/Wb35pynh/310-Blackbeard-Pirates-Kuzan-Bounty-Color-B.png</t>
  </si>
  <si>
    <t>https://i.postimg.cc/Y02m3J9g/310-Blackbeard-Pirates-Kuzan-Bounty-Color-C.png</t>
  </si>
  <si>
    <t>BC A
S 149
25-04-01
S 167
26-01-01</t>
  </si>
  <si>
    <t>BC B
S 149
25-04-01
S 167
26-01-01</t>
  </si>
  <si>
    <t>BC C
S 149
25-04-01
S 167
26-01-01</t>
  </si>
  <si>
    <t>https://i.postimg.cc/V6WK5Qpb/309-Navy-HQ-Captain-Koby-Bounty-Color-A.png</t>
  </si>
  <si>
    <t>https://i.postimg.cc/90XJ7gHg/309-Navy-HQ-Captain-Koby-Bounty-Color-B.png</t>
  </si>
  <si>
    <t>https://i.postimg.cc/7hBXM1xH/309-Navy-HQ-Captain-Koby-Bounty-Color-C.png</t>
  </si>
  <si>
    <t>BC A
S 145
25-01-01
S 167
26-01-01</t>
  </si>
  <si>
    <t xml:space="preserve">
BC B
S 145
25-01-01
S 167
26-01-01</t>
  </si>
  <si>
    <t xml:space="preserve">
BC C
S 145
25-01-01
S 167
26-01-01</t>
  </si>
  <si>
    <t xml:space="preserve">
BC D
S 145
25-01-01
S 167
26-01-01</t>
  </si>
  <si>
    <t>https://i.postimg.cc/VkJZghr3/308-Legendary-Hero-Monkey-D-Garp-Bounty-Color-A.png</t>
  </si>
  <si>
    <t>https://i.postimg.cc/htNy50Vh/308-Legendary-Hero-Monkey-D-Garp-Bounty-Color-B.png</t>
  </si>
  <si>
    <t>https://i.postimg.cc/QM54GWqm/308-Legendary-Hero-Monkey-D-Garp-Bounty-Color-C.png</t>
  </si>
  <si>
    <t>https://i.postimg.cc/DZTC2yjT/308-Legendary-Hero-Monkey-D-Garp-Bounty-Color-D.png</t>
  </si>
  <si>
    <t>BC A
S 147
25-01-27
S 167
26-01-01</t>
  </si>
  <si>
    <t>BC B
S 147
25-01-27
S 167
26-01-01</t>
  </si>
  <si>
    <t xml:space="preserve">
BC C
S 147
25-01-27
S 167
26-01-01</t>
  </si>
  <si>
    <t>BC D
S 153
25-06-02
S 167
26-01-01</t>
  </si>
  <si>
    <t>https://i.postimg.cc/brLVVcRj/306-Egghead-Jewelry-Bonney-Bounty-Color-A.png</t>
  </si>
  <si>
    <t>https://i.postimg.cc/ZYLQ5pzD/306-Egghead-Jewelry-Bonney-Bounty-Color-B.png</t>
  </si>
  <si>
    <t>https://i.postimg.cc/RVVD6hMC/306-Egghead-Jewelry-Bonney-Bounty-Color-C.png</t>
  </si>
  <si>
    <t>https://i.postimg.cc/tCSmhbT3/306-Egghead-Jewelry-Bonney-Bounty-Color-D.png</t>
  </si>
  <si>
    <t xml:space="preserve">
BC A
S 153
25-06-02
S 167
26-01-01</t>
  </si>
  <si>
    <t xml:space="preserve">
BC B
S 153
25-06-02
S 167
26-01-01</t>
  </si>
  <si>
    <t xml:space="preserve">
BC C
S 153
25-06-02
S 167
26-01-01</t>
  </si>
  <si>
    <t>https://i.postimg.cc/FR567xKw/305-Egghead-Sanji-Bounty-Color-A.png</t>
  </si>
  <si>
    <t>https://i.postimg.cc/qRs5nChq/305-Egghead-Sanji-Bounty-Color-B.png</t>
  </si>
  <si>
    <t>https://i.postimg.cc/L5m0V6LT/305-Egghead-Sanji-Bounty-Color-C.png</t>
  </si>
  <si>
    <t xml:space="preserve">
BC A
S 147
25-01-27
S 167
26-01-01</t>
  </si>
  <si>
    <t xml:space="preserve">
BC B
S 147
25-01-27
S 167
26-01-01</t>
  </si>
  <si>
    <t>https://i.postimg.cc/mgkJqDqp/300-Punk-02-Lilith-Bounty-Color-A.png</t>
  </si>
  <si>
    <t>https://i.postimg.cc/fRPphsQz/300-Punk-02-Lilith-Bounty-Color-B.png</t>
  </si>
  <si>
    <t>https://i.postimg.cc/5tFG4rfw/300-Punk-02-Lilith-Bounty-Color-C.png</t>
  </si>
  <si>
    <t>https://i.postimg.cc/J419NKQL/298-The-Red-Broggy-Bounty-Color-A.png</t>
  </si>
  <si>
    <t>https://i.postimg.cc/jdZBZN8J/298-The-Red-Broggy-Bounty-Color-B.png</t>
  </si>
  <si>
    <t>https://i.postimg.cc/cCcPq802/297-The-Blue-Dorry-Bounty-Color-A.png</t>
  </si>
  <si>
    <t>https://i.postimg.cc/ryGBR7xj/297-The-Blue-Dorry-Bounty-Color-B.png</t>
  </si>
  <si>
    <t>BC A
S 137
24-10-01
S 167
26-01-01</t>
  </si>
  <si>
    <t>BC B
S 137
24-10-01
S 167
26-01-01</t>
  </si>
  <si>
    <t>https://i.postimg.cc/Jh9fjLp6/296-Divine-Departure-Shanks-Bounty-Color-A.png</t>
  </si>
  <si>
    <t>https://i.postimg.cc/MTVhDF4W/296-Divine-Departure-Shanks-Bounty-Color-B.png</t>
  </si>
  <si>
    <t>https://i.postimg.cc/sxzb0Jd5/296-Divine-Departure-Shanks-Bounty-Color-C.png</t>
  </si>
  <si>
    <t>https://i.postimg.cc/nc2fgNLr/289-Egghead-Roronoa-Zoro-Bounty-Color-A.png</t>
  </si>
  <si>
    <t>https://i.postimg.cc/pL1bX8zt/289-Egghead-Roronoa-Zoro-Bounty-Color-B.png</t>
  </si>
  <si>
    <t>https://i.postimg.cc/1znxgtrV/289-Egghead-Roronoa-Zoro-Bounty-Color-C.png</t>
  </si>
  <si>
    <t>https://i.postimg.cc/fLdhPL3Q/287-Egghead-Monkey-D-Luffy-Bounty-Color-A.png</t>
  </si>
  <si>
    <t>https://i.postimg.cc/J0WWCLJD/287-Egghead-Monkey-D-Luffy-Bounty-Color-B.png</t>
  </si>
  <si>
    <t>https://i.postimg.cc/5yqWxRqP/287-Egghead-Monkey-D-Luffy-Bounty-Color-C.png</t>
  </si>
  <si>
    <t xml:space="preserve">
BC A
S 145
25-01-01</t>
  </si>
  <si>
    <t xml:space="preserve">
BC B
S 145
25-01-01</t>
  </si>
  <si>
    <t>https://i.postimg.cc/7ZBDGjvd/279-Great-Pirate-Gol-D-Roger-Bounty-Color-A.png</t>
  </si>
  <si>
    <t>https://i.postimg.cc/5tTVpv2m/279-Great-Pirate-Gol-D-Roger-Bounty-Color-B.png</t>
  </si>
  <si>
    <t>BC A
S 135
24-09-01</t>
  </si>
  <si>
    <t>https://i.postimg.cc/xT39Yc60/276-Great-Pirate-Edward-Newgate-Bounty-Color-A.png</t>
  </si>
  <si>
    <t>BC A
S 131
24-07-01</t>
  </si>
  <si>
    <t>https://i.postimg.cc/Y01Mv9kz/275-Fire-Fist-Ogre-Princess-Ace-Yamato-Bounty-Color-A.png</t>
  </si>
  <si>
    <t>https://i.postimg.cc/gj9GcR90/274-Shogun-of-Wano-Kozuki-Momonosuke-Bounty-Color-A.png</t>
  </si>
  <si>
    <t>BC A
S 125
24-04-01
S 129
24-06-01</t>
  </si>
  <si>
    <t>https://i.postimg.cc/LXgHMDb7/271-Raid-on-Onigashima-Franky-Bounty-Color-A.png</t>
  </si>
  <si>
    <t>BC A
S 117
23-12-01
S 129
24-06-01</t>
  </si>
  <si>
    <t>https://i.postimg.cc/CKQFtXmk/270-Raid-on-Onigashima-Tony-Tony-Chopper-Bounty-Color-A.png</t>
  </si>
  <si>
    <t>BC A
S 127
24-05-01</t>
  </si>
  <si>
    <t>https://i.postimg.cc/5t04sbqf/263-Lunarian-Alber-Bounty-Color-A.png</t>
  </si>
  <si>
    <t>https://i.postimg.cc/3x9rjdGL/261-Raid-on-Onigashima-Sanji-Bounty-Color-A.png</t>
  </si>
  <si>
    <t>BC A
S 137
24-10-01
S 161
25-10-01</t>
  </si>
  <si>
    <t>BC B
S 161
25-10-01</t>
  </si>
  <si>
    <t>https://i.postimg.cc/YCtqm1vG/259-Singer-of-the-New-Genesis-Uta-Bounty-Color-A.png</t>
  </si>
  <si>
    <t>https://i.postimg.cc/q7BV8c03/259-Singer-of-the-New-Genesis-Uta-Bounty-Color-B.png</t>
  </si>
  <si>
    <t>BC A
S 119
24-01-01</t>
  </si>
  <si>
    <t>https://i.postimg.cc/HsDLTGHt/258-Raid-on-Onigashima-Killer-Bounty-Color-A.png</t>
  </si>
  <si>
    <t>BC A
S 119
24-01-01
S 131
24-07-01
S 141
24-12-01</t>
  </si>
  <si>
    <t>BC B
S 141
24-12-01</t>
  </si>
  <si>
    <t>https://i.postimg.cc/FKWRv7sf/257-Battle-of-Monsters-on-Onigashima-Kid-Law-Bounty-Color-A.png</t>
  </si>
  <si>
    <t>https://i.postimg.cc/Wzrb08mr/257-Battle-of-Monsters-on-Onigashima-Kid-Law-Bounty-Color-B.png</t>
  </si>
  <si>
    <t>https://i.postimg.cc/L8V5yxc3/252-Raid-on-Onigashima-Usopp-Bounty-Color-A.png</t>
  </si>
  <si>
    <t>BC A
S 115
23-11-01
S 129
24-06-01</t>
  </si>
  <si>
    <t>https://i.postimg.cc/Bn3tcrVv/251-Raid-on-Onigashima-Nami-Bounty-Color-A.png</t>
  </si>
  <si>
    <t>https://i.postimg.cc/65nyZWzS/249-Raid-on-Onigashima-Brook-Bounty-Color-A.png</t>
  </si>
  <si>
    <t>https://i.postimg.cc/NLqvYwH2/248-Raid-on-Onigashima-Nico-Robin-Bounty-Color-A.png</t>
  </si>
  <si>
    <t>BC A
S 123
24-03-01</t>
  </si>
  <si>
    <t>https://i.postimg.cc/c1KKsM3d/238-First-Act-as-a-Married-Couple-Charlotte-Pudding-Bounty-Color-A.png</t>
  </si>
  <si>
    <t>BC A
S 129
24-06-01</t>
  </si>
  <si>
    <t>https://i.postimg.cc/gcfxrXy8/236-Raid-on-Onigashima-Jinbe-Bounty-Color-A.png</t>
  </si>
  <si>
    <t>BC A
S 115
23-11-01
S 129
24-06-01
S 141
24-12-01
S 165
25-12-01</t>
  </si>
  <si>
    <t>BC B
S 141
24-12-01
S 165
25-12-01</t>
  </si>
  <si>
    <t>https://i.postimg.cc/pTrHJCvr/235-Raid-on-Onigashima-Roronoa-Zoro-Bounty-Color-A.png</t>
  </si>
  <si>
    <t>https://i.postimg.cc/cHzN931m/235-Raid-on-Onigashima-Roronoa-Zoro-Bounty-Color-B.png</t>
  </si>
  <si>
    <t>BC A
S 127
24-05-01
S 141
24-12-01</t>
  </si>
  <si>
    <t>https://i.postimg.cc/wB6H7Hbh/234-Battle-of-Monsters-on-Onigashima-Kaido-Bounty-Color-A.png</t>
  </si>
  <si>
    <t>https://i.postimg.cc/LsNSP7rG/234-Battle-of-Monsters-on-Onigashima-Kaido-Bounty-Color-B.png</t>
  </si>
  <si>
    <t>BC A
S 139
24-11-01</t>
  </si>
  <si>
    <t>https://i.postimg.cc/L8k29hv9/233-Battle-of-Monsters-on-Onigashima-Olin-the-Oiran-Bounty-Color-A.png</t>
  </si>
  <si>
    <t>https://i.postimg.cc/fb9LzsM6/215-FILM-Z-Zephyr-Bounty-Color-1.png</t>
  </si>
  <si>
    <t>https://i.postimg.cc/7hxYnTSk/215-FILM-Z-Zephyr-Bounty-Color-2.png</t>
  </si>
  <si>
    <t>https://i.postimg.cc/wM0xfTks/215-FILM-Z-Zephyr-Bounty-Color-3.png</t>
  </si>
  <si>
    <t>https://i.postimg.cc/ZK559pTP/215-FILM-Z-Zephyr-Bounty-Color-4.png</t>
  </si>
  <si>
    <t>BC A
S 121
24-02-01</t>
  </si>
  <si>
    <t>https://i.postimg.cc/wTm9rwms/211-Land-of-Wano-Marco-Bounty-Color-A.png</t>
  </si>
  <si>
    <t>https://i.postimg.cc/1RT9MkfQ/209-Animal-Kingdom-Pirates-Tobi-Roppo-Ulti-Bounty-Color-A.png</t>
  </si>
  <si>
    <t>https://i.postimg.cc/fy6DL96L/194-Kaido-s-Son-Yamato-Bounty-Color-A.png</t>
  </si>
  <si>
    <t>https://i.postimg.cc/SRXmkr13/193-Former-Whitebeard-Pirates-16th-Division-Commander-Izo-Bounty-Color-A.png</t>
  </si>
  <si>
    <t>BC A
S 133
24-08-01</t>
  </si>
  <si>
    <t>https://i.postimg.cc/Kzpm6Vft/191-Roger-Pirates-First-Mate-Silvers-Rayliegh-Bounty-Color-A.png</t>
  </si>
  <si>
    <t>BC A
S 147
25-03-01</t>
  </si>
  <si>
    <t>BC B
S 147
25-03-01</t>
  </si>
  <si>
    <t>BC C
S 147
25-03-01</t>
  </si>
  <si>
    <t>https://i.postimg.cc/fbZWmYkS/178-Navy-HQ-Fleet-ADmiral-Akainu-Sakazuki-Bounty-Color-A.png</t>
  </si>
  <si>
    <t>https://i.postimg.cc/yNP1PWSQ/178-Navy-HQ-Fleet-ADmiral-Akainu-Sakazuki-Bounty-Color-B.png</t>
  </si>
  <si>
    <t>https://i.postimg.cc/Y9Cpyk6p/178-Navy-HQ-Fleet-ADmiral-Akainu-Sakazuki-Bounty-Color-C.png</t>
  </si>
  <si>
    <t>https://i.postimg.cc/Jzj4sp7W/168-Raid-on-Onigashima-Monkey-D-Luffy-Bounty-Color-A.png</t>
  </si>
  <si>
    <t>https://i.postimg.cc/SxQkKkPc/278-Whole-Cake-Island-Carrot-Bounty-Color-A.png</t>
  </si>
  <si>
    <t>https://i.postimg.cc/jdpSqpbX/157-Hero-of-the-Navy-Monkey-D-Garb-Bounty-Color-A.png</t>
  </si>
  <si>
    <t>https://i.postimg.cc/5NYtVxZy/154-King-of-the-Pirates-Gol-D-Roger-Bounty-Color-A.png</t>
  </si>
  <si>
    <t>BC A
S 135
24-09-01
S 165
25-12-01</t>
  </si>
  <si>
    <t>BC B
S 165
25-12-01</t>
  </si>
  <si>
    <t>https://i.postimg.cc/wxbBZt4n/150-Daimyo-of-Kuri-Kozuki-Oden-Bounty-Color-A.png</t>
  </si>
  <si>
    <t>https://i.postimg.cc/XYzqfYrZ/150-Daimyo-of-Kuri-Kozuki-Oden-Bounty-Color-2.png</t>
  </si>
  <si>
    <t>https://i.postimg.cc/Y0VqWVmt/134-Hunger-Pangs-Charlotte-Linlin-Bounty-Color-A.png</t>
  </si>
  <si>
    <t>https://i.postimg.cc/7hbZbDhB/103-The-Seven-Warlords-of-the-Sea-Marshall-D-Teach-Bounty-Color-A.png</t>
  </si>
  <si>
    <t>https://i.postimg.cc/9MLfWzmR/100-Son-of-the-King-of-the-Pirates-Portgaz-D-Ace-Bounty-Color-A.png</t>
  </si>
  <si>
    <t>https://i.postimg.cc/zfSBc04k/086-Big-Mom-Pirates-Sweet-3-General-Charlotte-Katakuri-Bounty-Color-A.png</t>
  </si>
  <si>
    <t>July - 2024</t>
  </si>
  <si>
    <t>[6.5 Year Anniversary Final Thank You] #1
Once Daily Extreme Bounty Festival</t>
  </si>
  <si>
    <t>https://i.postimg.cc/vHYh7thD/Discounted-Scout.png</t>
  </si>
  <si>
    <t>[6.5 Year Anniversary Final Thank You] #1
Extreme Legendary Ticket Scout</t>
  </si>
  <si>
    <t>https://i.postimg.cc/BZcN1Vxd/Step-Up-Ticket-Scout.png</t>
  </si>
  <si>
    <t>[6.5 Year Anniversary Final Thank You] #1
Extreme Bounty Festival</t>
  </si>
  <si>
    <t>Anniversary</t>
  </si>
  <si>
    <t>https://i.postimg.cc/QM909Nbb/Normal-Scout.png</t>
  </si>
  <si>
    <t>[5.5 Year Anniversary Thank You] #1
Free Once Daily x10 Scout</t>
  </si>
  <si>
    <t>https://i.postimg.cc/Kvqn38xS/24-07-30-2.png</t>
  </si>
  <si>
    <t>[5.5 Year Anniversary Thank You] #1
Extreme Bounty Festival</t>
  </si>
  <si>
    <t>New Extreme
New Bounty Festival
Side Bounty Festival
Anniversary</t>
  </si>
  <si>
    <t>https://i.postimg.cc/jdF7d34R/24-07-30-1.png</t>
  </si>
  <si>
    <t>[2,000th Day Thank You] #3
Bounty Festival</t>
  </si>
  <si>
    <t>Bounty Festival Rerun</t>
  </si>
  <si>
    <t>https://i.postimg.cc/LsdgjqW7/24-07-23.png</t>
  </si>
  <si>
    <t>[Zoan]
Featured Scout</t>
  </si>
  <si>
    <t>https://i.postimg.cc/cLt8K7Fw/24-07-19.png</t>
  </si>
  <si>
    <t>[2,000th Day Thank You] #2
Scout</t>
  </si>
  <si>
    <t>Days Anniversary</t>
  </si>
  <si>
    <t>https://i.postimg.cc/LX2q0c23/24-07-17.png</t>
  </si>
  <si>
    <t>[ONE PIECE Day Celebration]
Scout</t>
  </si>
  <si>
    <t>https://i.postimg.cc/KvR1VrSw/24-07-15.png</t>
  </si>
  <si>
    <t>[Runner]
Featured Scout</t>
  </si>
  <si>
    <t>https://i.postimg.cc/htmf4DG0/24-07-12.png</t>
  </si>
  <si>
    <t>[2,000th Day Thank You] #1
Extreme Bounty Festival</t>
  </si>
  <si>
    <t>Extreme Rerun
Days Anniversary</t>
  </si>
  <si>
    <t>https://i.postimg.cc/138DG13g/24-07-11.png</t>
  </si>
  <si>
    <t>[Green Element]
Featured Scout</t>
  </si>
  <si>
    <t>https://i.postimg.cc/05CGxC4N/24-07-05.png</t>
  </si>
  <si>
    <t>[2024 Star Festival]
Scout</t>
  </si>
  <si>
    <t>https://i.postimg.cc/VLLqNCyW/24-07-04.png</t>
  </si>
  <si>
    <t>June - 2024</t>
  </si>
  <si>
    <t>[CP9]
Bounty Festival</t>
  </si>
  <si>
    <t>New Bounty Festival</t>
  </si>
  <si>
    <t>https://i.postimg.cc/RVvKqntZ/24-06-27.png</t>
  </si>
  <si>
    <t>[Red Element]
Featured Scout</t>
  </si>
  <si>
    <t>https://i.postimg.cc/BZT2qCXz/24-06-24.png</t>
  </si>
  <si>
    <t>[Almost 5.5 Year Anniversary]
Extreme Bounty Festival</t>
  </si>
  <si>
    <t>Extreme Rerun
Anniversary</t>
  </si>
  <si>
    <t>https://i.postimg.cc/fRLdfnB4/24-06-20.png</t>
  </si>
  <si>
    <t>[2024 Straw Hat Pirates Day Celebration] #3
Scout</t>
  </si>
  <si>
    <t>https://i.postimg.cc/k4rtCV99/24-06-17.png</t>
  </si>
  <si>
    <t>[Defender]
Featured Scout</t>
  </si>
  <si>
    <t>https://i.postimg.cc/cHQtLs43/24-06-14.png</t>
  </si>
  <si>
    <t>[2024 Straw Hat Pirates Day Celebration] #2
Scout</t>
  </si>
  <si>
    <t>https://i.postimg.cc/kGq6VkBp/24-06-11.png</t>
  </si>
  <si>
    <t>[Attacker]
Featured Scout</t>
  </si>
  <si>
    <t>https://i.postimg.cc/wM2tD0NT/24-06-07.png</t>
  </si>
  <si>
    <t>[2024 Straw Hat Pirates Day Celebration]
Extreme Bounty Festival</t>
  </si>
  <si>
    <t>Extreme Rerun</t>
  </si>
  <si>
    <t>https://i.postimg.cc/yYn9RYhX/24-06-03.png</t>
  </si>
  <si>
    <t>May - 2024</t>
  </si>
  <si>
    <t>[Early Summer]
Scout</t>
  </si>
  <si>
    <t>https://i.postimg.cc/bNrsvrBP/24-05-30.png</t>
  </si>
  <si>
    <t>[Egghead] #2
Bounty Festival</t>
  </si>
  <si>
    <t>https://i.postimg.cc/vZ6TWjyS/24-05-28.png</t>
  </si>
  <si>
    <t>[Blue Element]
Featured Scout</t>
  </si>
  <si>
    <t>https://i.postimg.cc/HsNj8mqy/24-05-24.png</t>
  </si>
  <si>
    <t>[Egghead]
Extreme Bounty Festival</t>
  </si>
  <si>
    <t>New Extreme</t>
  </si>
  <si>
    <t>https://i.postimg.cc/ZqtRjcKY/24-05-21.png</t>
  </si>
  <si>
    <t>[Captain Featured]
Scout</t>
  </si>
  <si>
    <t>https://i.postimg.cc/mDTrWgH0/24-05-17.png</t>
  </si>
  <si>
    <t>[Extreme Upgrade Support]
 Scout</t>
  </si>
  <si>
    <t>https://i.postimg.cc/QtSd8ZgV/24-05-16.png</t>
  </si>
  <si>
    <t>[2024 Luffy's Birthday Celebration] #2
Extreme Bounty Festival</t>
  </si>
  <si>
    <t>Extreme Rerun
Birthday Celebration</t>
  </si>
  <si>
    <t>https://i.postimg.cc/3NRJWf91/24-05-14.png</t>
  </si>
  <si>
    <t>[Long-Range Normal Attack Characters]
Featured Scout</t>
  </si>
  <si>
    <t>https://i.postimg.cc/RFTNWHmS/24-05-10.png</t>
  </si>
  <si>
    <t>[2024 Golden] #4
Scout</t>
  </si>
  <si>
    <t>Golden</t>
  </si>
  <si>
    <t>https://i.postimg.cc/ZYVWZpjj/24-05-08.png</t>
  </si>
  <si>
    <t>[2024 Luffy's Birthday Celebration]
Scout</t>
  </si>
  <si>
    <t>Birthday Celebration</t>
  </si>
  <si>
    <t>https://i.postimg.cc/x8x8RVqB/24-05-05-2.png</t>
  </si>
  <si>
    <t>[2024 Luffy's Birthday Celebration]
Bounty Festival</t>
  </si>
  <si>
    <t>New Bounty Festival
Solo Bounty Festival
Birthday Celebration</t>
  </si>
  <si>
    <t>https://i.postimg.cc/0j2rDy5p/24-05-05-1.png</t>
  </si>
  <si>
    <t>[2024 Kaido's Birthday Celebration]
Extreme Bounty Festival</t>
  </si>
  <si>
    <t>April - 2024</t>
  </si>
  <si>
    <t>[2024 Golden] #3
Scout</t>
  </si>
  <si>
    <t>https://i.postimg.cc/vHM0RL1T/24-04-29.png</t>
  </si>
  <si>
    <t>[2024 Golden] #2
Scout</t>
  </si>
  <si>
    <t>https://i.postimg.cc/c4mXdgYm/24-04-25.png</t>
  </si>
  <si>
    <t>[Sabaody Archipelago]
Bounty Festival</t>
  </si>
  <si>
    <t>https://i.postimg.cc/6qVz2TPB/24-04-23.png</t>
  </si>
  <si>
    <t>[Spring Head Start]
Free x10 Scout</t>
  </si>
  <si>
    <t>https://i.postimg.cc/m272HdQY/24-04-22-2.png</t>
  </si>
  <si>
    <t>[Spring Head Start]
Scout</t>
  </si>
  <si>
    <t>https://i.postimg.cc/tRZgXRJm/24-04-22-1.png</t>
  </si>
  <si>
    <t>[Land of Wano]
Featured Scout</t>
  </si>
  <si>
    <t>https://i.postimg.cc/52KgFhsQ/24-04-19.png</t>
  </si>
  <si>
    <t>[140 Million Downloads Celebration] #3
Scout</t>
  </si>
  <si>
    <t>Downloads Celebration</t>
  </si>
  <si>
    <t>https://i.postimg.cc/SQcgttxH/24-04-18.png</t>
  </si>
  <si>
    <t>[2024 Golden]
Extreme Bounty Festival</t>
  </si>
  <si>
    <t>Extreme Rerun
Golden</t>
  </si>
  <si>
    <t>https://i.postimg.cc/qqKqbM1n/24-04-16.png</t>
  </si>
  <si>
    <t>https://i.postimg.cc/vZ3yrCDV/24-04-15-2.png</t>
  </si>
  <si>
    <t>https://i.postimg.cc/HWyTqSvq/24-04-15-1.png</t>
  </si>
  <si>
    <t>[Worst Generation]
Featured Scout</t>
  </si>
  <si>
    <t>https://i.postimg.cc/zGrbQKZf/24-04-12.png</t>
  </si>
  <si>
    <t>[140 Million Downloads Celebration] #2
Scout</t>
  </si>
  <si>
    <t>https://i.postimg.cc/CKMZh0KT/24-04-11.png</t>
  </si>
  <si>
    <t>https://i.postimg.cc/kM0gDrtM/24-04-08-2.png</t>
  </si>
  <si>
    <t>https://i.postimg.cc/Z5ZYFrc1/24-04-08-1.png</t>
  </si>
  <si>
    <t>[1,900th Day Anniversary]
Scout</t>
  </si>
  <si>
    <t>https://i.postimg.cc/6pf2xqtf/24-04-05.png</t>
  </si>
  <si>
    <t>[140 Million Downloads Celebration]
Scout</t>
  </si>
  <si>
    <t>https://i.postimg.cc/xChq3b3n/24-04-03.png</t>
  </si>
  <si>
    <t>https://i.postimg.cc/d0WhDf77/24-04-01-2.png</t>
  </si>
  <si>
    <t>https://i.postimg.cc/zBVVhkWx/24-04-01-1.png</t>
  </si>
  <si>
    <t>March - 2024</t>
  </si>
  <si>
    <t>[130 Million Downloads Celebration] #5
Extreme Bounty Festival</t>
  </si>
  <si>
    <t>Extreme Rerun
Downloads Celebration</t>
  </si>
  <si>
    <t>https://i.postimg.cc/5tcSMHbD/24-03-29.png</t>
  </si>
  <si>
    <t>[Shandora]
Bounty Festival</t>
  </si>
  <si>
    <t>https://i.postimg.cc/rsZBwGp8/24-03-28.png</t>
  </si>
  <si>
    <t>[Character Upgrade Support]
Scout</t>
  </si>
  <si>
    <t>https://i.postimg.cc/WzCrNyz3/24-03-25.png</t>
  </si>
  <si>
    <t>[130 Million Downloads Celebration] #4
Extreme Bounty Festival</t>
  </si>
  <si>
    <t>https://i.postimg.cc/j25vZQ7S/24-03-21.png</t>
  </si>
  <si>
    <t>[130 Million Downloads Celebration] #3
Extreme Bounty Festival</t>
  </si>
  <si>
    <t>https://i.postimg.cc/bJd2qcQH/24-03-15.png</t>
  </si>
  <si>
    <t>[2024 White Day]
Scout</t>
  </si>
  <si>
    <t>https://i.postimg.cc/52CY0dkf/24-03-14.png</t>
  </si>
  <si>
    <t>[130 Million Downloads Celebration] #2
Scout</t>
  </si>
  <si>
    <t>https://i.postimg.cc/qRSYLK4f/24-03-11.png</t>
  </si>
  <si>
    <t>[2024 Shanks' Birthday Celebration]
Extreme Bounty Festival</t>
  </si>
  <si>
    <t>https://i.postimg.cc/YCH5ZQgM/24-03-09.png</t>
  </si>
  <si>
    <t>[The Three Brothers]
Featured Scout</t>
  </si>
  <si>
    <t>https://i.postimg.cc/Vv0gLZxp/24-03-07.png</t>
  </si>
  <si>
    <t>[Sky Island]
Scout</t>
  </si>
  <si>
    <t>New Step Up</t>
  </si>
  <si>
    <t>https://i.postimg.cc/rwXnzcFJ/24-03-05.png</t>
  </si>
  <si>
    <t>[130 Million Downloads Celebration] #1
Scout</t>
  </si>
  <si>
    <t>https://i.postimg.cc/76stL2fG/24-03-01.png</t>
  </si>
  <si>
    <t>February - 2024</t>
  </si>
  <si>
    <t>[Mighty Warriors of the New World]
Bounty Festival</t>
  </si>
  <si>
    <t>https://i.postimg.cc/BQdyDHN2/24-02-27.png</t>
  </si>
  <si>
    <t>[Paramecia]
Featured Scout</t>
  </si>
  <si>
    <t>https://i.postimg.cc/mDbKk4jq/24-02-22.png</t>
  </si>
  <si>
    <t>[5th Anniversary Heartfelt Thanks] #4
Scout</t>
  </si>
  <si>
    <t>https://i.postimg.cc/L6nKjHSF/24-02-20.png</t>
  </si>
  <si>
    <t>https://i.postimg.cc/xC5D38qn/24-02-16.png</t>
  </si>
  <si>
    <t>[5th Anniversary Heartfelt Thanks] #3
Extreme Bounty Festival</t>
  </si>
  <si>
    <t>https://i.postimg.cc/4y8GsyTB/24-02-14.png</t>
  </si>
  <si>
    <t>[2024 Valentine`s]
Scout</t>
  </si>
  <si>
    <t>https://i.postimg.cc/RVVCy5zg/24-02-07.png</t>
  </si>
  <si>
    <t>[The Seven Warlords of the Sea]
Featured Scout</t>
  </si>
  <si>
    <t>https://i.postimg.cc/nhWLqdg0/24-02-05.png</t>
  </si>
  <si>
    <t>[2024 Early Spring]
Scout</t>
  </si>
  <si>
    <t>https://i.postimg.cc/jdsCTnyQ/24-02-02.png</t>
  </si>
  <si>
    <t>January - 2024</t>
  </si>
  <si>
    <t>[5th Anniversary Heartfelt Thanks] #2
Bounty Festival</t>
  </si>
  <si>
    <t>New Bounty Festival
Solo Bounty Festival
Anniversary</t>
  </si>
  <si>
    <t>https://i.postimg.cc/XvTp62gp/24-01-31.png</t>
  </si>
  <si>
    <t>[2024 New Year`s] #3
Scout</t>
  </si>
  <si>
    <t>https://i.postimg.cc/3r2DYHV7/24-01-29.png</t>
  </si>
  <si>
    <t>[5th Anniversary Heartfelt Thanks] #1
Extreme Bounty Festival</t>
  </si>
  <si>
    <t>New Extreme
Anniversary</t>
  </si>
  <si>
    <t>https://i.postimg.cc/13vq2cTq/24-01-24.png</t>
  </si>
  <si>
    <t>[5th Anniversary] #3
Extreme Bounty Festival</t>
  </si>
  <si>
    <t>https://i.postimg.cc/VstXvtSx/24-01-18.png</t>
  </si>
  <si>
    <t>[2024 New Year`s] #2
Scout</t>
  </si>
  <si>
    <t>https://i.postimg.cc/4NCbQPk4/24-01-15.png</t>
  </si>
  <si>
    <t>[5th Anniversary] #2
Extreme Bounty Festival</t>
  </si>
  <si>
    <t>https://i.postimg.cc/sXv9w0gx/24-01-10.png</t>
  </si>
  <si>
    <t>[2024 New Year`s] #1
Scout</t>
  </si>
  <si>
    <t>https://i.postimg.cc/Vs24H1M8/24-01-05.png</t>
  </si>
  <si>
    <t>[2024 New Year`s]
Free Once Daily x10 Scout</t>
  </si>
  <si>
    <t>https://i.postimg.cc/HkD5bkMr/24-01-01-2.png</t>
  </si>
  <si>
    <t>[5th Anniversary]
Extreme Bounty Festival</t>
  </si>
  <si>
    <t>https://i.postimg.cc/j5dyC37v/24-01-01-1.png</t>
  </si>
  <si>
    <t>December - 2023</t>
  </si>
  <si>
    <t>[2023 Final]
Scout</t>
  </si>
  <si>
    <t>https://i.postimg.cc/sDB9pL0N/23-12-28.png</t>
  </si>
  <si>
    <t>[120 Million Downloads Celebration] #2
Extreme Bounty Festival</t>
  </si>
  <si>
    <t>https://i.postimg.cc/0N1f5CnH/23-12-26.png</t>
  </si>
  <si>
    <t>https://i.postimg.cc/MTxd5Yjj/23-12-22.png</t>
  </si>
  <si>
    <t>[Land of Wano Climax]
Bounty Festival</t>
  </si>
  <si>
    <t>https://i.postimg.cc/52Y72yVj/23-12-20.png</t>
  </si>
  <si>
    <t>[2023 Happy Holiday]
Scout</t>
  </si>
  <si>
    <t>https://i.postimg.cc/bwW5xbTQ/23-12-15.png</t>
  </si>
  <si>
    <t>[Land of Wano]
Scout</t>
  </si>
  <si>
    <t>https://i.postimg.cc/3rFzsk8T/23-12-12.png</t>
  </si>
  <si>
    <t>[2023 Winter] #2
Scout</t>
  </si>
  <si>
    <t>https://i.postimg.cc/MpHkbz88/23-12-07.png</t>
  </si>
  <si>
    <t>[120 Million Downloads Celebration] #1
Extreme Bounty Festival</t>
  </si>
  <si>
    <t>https://i.postimg.cc/q7tT04mG/23-12-05.png</t>
  </si>
  <si>
    <t>November - 2023</t>
  </si>
  <si>
    <t>[2023 Winter] #1
Scout</t>
  </si>
  <si>
    <t>https://i.postimg.cc/QNcjHNj4/23-11-30.png</t>
  </si>
  <si>
    <t>[Raid on Onigashima]
Bounty Festival</t>
  </si>
  <si>
    <t>https://i.postimg.cc/htD4FFWC/23-11-28.png</t>
  </si>
  <si>
    <t>https://i.postimg.cc/vBgHPWFb/23-11-24.png</t>
  </si>
  <si>
    <t>[2023 Black Friday]
Scout</t>
  </si>
  <si>
    <t>https://i.postimg.cc/G3THz1dG/23-11-21.png</t>
  </si>
  <si>
    <t>[Captain]
Featured Scout</t>
  </si>
  <si>
    <t>https://i.postimg.cc/pLHhp1N8/23-11-17.png</t>
  </si>
  <si>
    <t>[Tobi Roppo]
Scout</t>
  </si>
  <si>
    <t>https://i.postimg.cc/vmXQ80MQ/23-11-14.png</t>
  </si>
  <si>
    <t>[Logia]
Featured Scout</t>
  </si>
  <si>
    <t>https://i.postimg.cc/nrXVPByn/23-11-13.png</t>
  </si>
  <si>
    <t>[110 Million Downloads Celebration ] #4
Scout</t>
  </si>
  <si>
    <t>https://i.postimg.cc/g28jpynJ/23-11-09.png</t>
  </si>
  <si>
    <t>[Counter Battle (Trial) Celebration]
Scout</t>
  </si>
  <si>
    <t>https://i.postimg.cc/j22CYG70/23-11-07.png</t>
  </si>
  <si>
    <t>[2023 Yamato`s Birthday Celebration]
Extreme Bounty Festival</t>
  </si>
  <si>
    <t>https://i.postimg.cc/50x6nH9t/23-11-03.png</t>
  </si>
  <si>
    <t>October - 2023</t>
  </si>
  <si>
    <t>[110 Million Downloads Celebration] #3
Extreme Bounty Festival</t>
  </si>
  <si>
    <t>https://i.postimg.cc/kGY6Vnmg/23-10-30.png</t>
  </si>
  <si>
    <t>[Revolutionary Army] #3
Bounty Festival</t>
  </si>
  <si>
    <t>https://i.postimg.cc/XJ3ymHL4/23-10-26.png</t>
  </si>
  <si>
    <t>[2023 Halloween]
Scout</t>
  </si>
  <si>
    <t>https://i.postimg.cc/3x4pvDW5/23-10-24.png</t>
  </si>
  <si>
    <t>https://i.postimg.cc/65QCBPXQ/23-10-21-2.png</t>
  </si>
  <si>
    <t>[110 Million Downloads Celebration] #2
Extreme Bounty Festival</t>
  </si>
  <si>
    <t>https://i.postimg.cc/nLmv6QtY/23-10-21-1.png</t>
  </si>
  <si>
    <t>[FILM RED Return to Japanese Theaters Celebration]
Bounty Festival</t>
  </si>
  <si>
    <t>https://i.postimg.cc/6qtLV6gV/23-10-17.png</t>
  </si>
  <si>
    <t>https://i.postimg.cc/k5RcqpWS/23-10-13.png</t>
  </si>
  <si>
    <t>[Revolutionary Army] #2
Scout</t>
  </si>
  <si>
    <t>https://i.postimg.cc/VkVgy801/23-10-12.png</t>
  </si>
  <si>
    <t>[110 Million Downloads Celebration] #1
Extreme Bounty Festival</t>
  </si>
  <si>
    <t>https://i.postimg.cc/gjW4MHXZ/23-10-10.png</t>
  </si>
  <si>
    <t>[Zou / Whole Cake Island]
Featured Scout</t>
  </si>
  <si>
    <t>https://i.postimg.cc/QdxYGm6g/23-10-06.png</t>
  </si>
  <si>
    <t>[2023 Fall]
Scout</t>
  </si>
  <si>
    <t>https://i.postimg.cc/PqJ7ZyYf/23-10-05.png</t>
  </si>
  <si>
    <t>[Revolutionary Army] #1
Scout</t>
  </si>
  <si>
    <t>https://i.postimg.cc/V632ztSf/23-10-03.png</t>
  </si>
  <si>
    <t>Septemper - 2023</t>
  </si>
  <si>
    <t>[1,700th Day Anniversary]
Scout</t>
  </si>
  <si>
    <t>https://i.postimg.cc/sgmF51Lm/23-09-28.png</t>
  </si>
  <si>
    <t>[Lead Performers]
Bounty Festival</t>
  </si>
  <si>
    <t>https://i.postimg.cc/CLyVg3DG/23-09-26.png</t>
  </si>
  <si>
    <t>https://i.postimg.cc/02mPKkxX/23-09-19.png</t>
  </si>
  <si>
    <t>[Blue]
Featured Scout</t>
  </si>
  <si>
    <t>https://i.postimg.cc/t4hwp7yy/23-09-18.png</t>
  </si>
  <si>
    <t>[2023 Silver Campaign]
Scout</t>
  </si>
  <si>
    <t>https://i.postimg.cc/j58Bm9T7/23-09-14.png</t>
  </si>
  <si>
    <t>[100 Million Downloads Appreciation] #4
Extreme Bounty Festival</t>
  </si>
  <si>
    <t>https://i.postimg.cc/VvvPNwgg/23-09-12.png</t>
  </si>
  <si>
    <t>[Red]
Featured Scout</t>
  </si>
  <si>
    <t>https://i.postimg.cc/3J6YdkPv/23-09-11.png</t>
  </si>
  <si>
    <t>[Green]
Featured Scout</t>
  </si>
  <si>
    <t>https://i.postimg.cc/zv25wvv4/23-09-08.png</t>
  </si>
  <si>
    <t>[100 Million Downloads Appreciation] #3
Extreme Bounty Festival</t>
  </si>
  <si>
    <t>https://i.postimg.cc/rFzqV1YT/23-09-05.png</t>
  </si>
  <si>
    <t>August - 2023</t>
  </si>
  <si>
    <t>[2023 Late Summer]
Scout</t>
  </si>
  <si>
    <t>https://i.postimg.cc/FHdFZyjp/23-08-31.png</t>
  </si>
  <si>
    <t>[100 Million Downloads Appreciation] #2
Bounty Festival</t>
  </si>
  <si>
    <t>New Bounty Festival
Solo Bounty Festival
Downloads Celebration</t>
  </si>
  <si>
    <t>https://i.postimg.cc/fyzTj1KS/23-08-29.png</t>
  </si>
  <si>
    <t>[100 Million Downloads Appreciation] #1
Extreme Bounty Festival</t>
  </si>
  <si>
    <t>New Extreme
Downloads Celebration</t>
  </si>
  <si>
    <t>https://i.postimg.cc/JnWhtsHq/23-08-23.png</t>
  </si>
  <si>
    <t>https://i.postimg.cc/W3Mh7GcC/23-08-18.png</t>
  </si>
  <si>
    <t>[Sakazuki`s Birthday Celebration]
Extreme Bounty Festival</t>
  </si>
  <si>
    <t>https://i.postimg.cc/MZ7Q0SWH/23-08-16.png</t>
  </si>
  <si>
    <t>[FILM RED Japan Release 1st Anniversary Celebration] #3
Bounty Festival</t>
  </si>
  <si>
    <t>https://i.postimg.cc/Hn98TQSX/23-08-14.png</t>
  </si>
  <si>
    <t>[FILM RED Japan Release 1st Anniversary Celebration] #2
Extreme Bounty Festival</t>
  </si>
  <si>
    <t>https://i.postimg.cc/fRTmTrQL/23-08-10.png</t>
  </si>
  <si>
    <t>[FILM RED Japan Release 1st Anniversary Celebration] #1
Bounty Festival</t>
  </si>
  <si>
    <t>New Bounty Festival
Solo Bounty Festival</t>
  </si>
  <si>
    <t>https://i.postimg.cc/7YNS4ycd/23-08-06.png</t>
  </si>
  <si>
    <t>[4.5 Year Anniversary Thank You] #2
Eleven 4★ characters are guaranteed with x10 Rainbow Diamonds</t>
  </si>
  <si>
    <t>https://i.postimg.cc/SN4cHKZc/23-08-03-2.png</t>
  </si>
  <si>
    <t>[4.5 Anniversary Thank You] #2
Extreme Bounty Festival</t>
  </si>
  <si>
    <t>https://i.postimg.cc/7h30fvLC/23-08-03-1.png</t>
  </si>
  <si>
    <t>July - 2023</t>
  </si>
  <si>
    <t>[4.5 Year Anniversary Thank You] #1
Free Once Daily x10 Scout</t>
  </si>
  <si>
    <t>https://i.postimg.cc/bYtRKWqf/23-07-26-2.png</t>
  </si>
  <si>
    <t>[4.5 Anniversary Thank You] #1
Extreme Bounty Festival</t>
  </si>
  <si>
    <t>https://i.postimg.cc/mgRV3jff/23-07-26-1.png</t>
  </si>
  <si>
    <t>https://i.postimg.cc/jdfk4CDN/23-07-24.png</t>
  </si>
  <si>
    <t>[95 Million Downloads Celebration] #2
Scout</t>
  </si>
  <si>
    <t>https://i.postimg.cc/kgFScyJ8/23-07-20.png</t>
  </si>
  <si>
    <t>[ONE PIECE DAY '23 Celebration]
Scout</t>
  </si>
  <si>
    <t>https://i.postimg.cc/KcwtvzpK/23-07-18.png</t>
  </si>
  <si>
    <t>https://i.postimg.cc/HxLbj7CM/23-07-17.png</t>
  </si>
  <si>
    <t>[95 Million Downloads Celebration] #1
Scout</t>
  </si>
  <si>
    <t>https://i.postimg.cc/BvmKWQ1n/23-07-13.png</t>
  </si>
  <si>
    <t>https://i.postimg.cc/j5kPfdsF/23-07-10.png</t>
  </si>
  <si>
    <t>[4.5 Anniversary]
Extreme Bounty Festival</t>
  </si>
  <si>
    <t>https://i.postimg.cc/MG6QrjHL/23-07-06.png</t>
  </si>
  <si>
    <t>[2023 Star Festival]
Scout</t>
  </si>
  <si>
    <t>https://i.postimg.cc/qMKytTW1/23-07-04.png</t>
  </si>
  <si>
    <t>June - 2023</t>
  </si>
  <si>
    <t>https://i.postimg.cc/D05NRLfj/23-06-30.png</t>
  </si>
  <si>
    <t>[Fish-Man Island] #3
Bounty Festival</t>
  </si>
  <si>
    <t>https://i.postimg.cc/J0RgTP8H/23-06-29.png</t>
  </si>
  <si>
    <t>[Fish-Man]
Featured Scout</t>
  </si>
  <si>
    <t>https://i.postimg.cc/sDTFLdvj/23-06-23.png</t>
  </si>
  <si>
    <t>[Fish-Man Island] #2
Scout</t>
  </si>
  <si>
    <t>https://i.postimg.cc/DzbtmS50/23-06-22.png</t>
  </si>
  <si>
    <t>[90 Million Downloads Celebration] #2
Scout</t>
  </si>
  <si>
    <t>https://i.postimg.cc/pTf4Y3wt/23-06-20.png</t>
  </si>
  <si>
    <t>[1,600th Day Anniversary]
Scout</t>
  </si>
  <si>
    <t>https://i.postimg.cc/rmX74qYJ/23-06-15.png</t>
  </si>
  <si>
    <t>[Fish-Man Island] #1
Scout</t>
  </si>
  <si>
    <t>https://i.postimg.cc/bw57zxx4/23-06-13.png</t>
  </si>
  <si>
    <t>[Don Quixote Family]
Featured Scout</t>
  </si>
  <si>
    <t>https://i.postimg.cc/J4rVK47Y/23-06-09.png</t>
  </si>
  <si>
    <t>[90 Million Downloads Celebration] #1
Scout</t>
  </si>
  <si>
    <t>https://i.postimg.cc/hthFWyd9/23-06-06.png</t>
  </si>
  <si>
    <t>May - 2023</t>
  </si>
  <si>
    <t>https://i.postimg.cc/4xNKQb8c/23-05-30.png</t>
  </si>
  <si>
    <t>https://i.postimg.cc/Qxq97nqs/23-05-26.png</t>
  </si>
  <si>
    <t>[Luffy`s Birthday Celebration] #3
Scout</t>
  </si>
  <si>
    <t>https://i.postimg.cc/Nft25wmp/23-05-23.png</t>
  </si>
  <si>
    <t>[Golden] #4
Extreme Bounty Festival</t>
  </si>
  <si>
    <t>New Extreme
Golden</t>
  </si>
  <si>
    <t>https://i.postimg.cc/yxmJvf4m/23-05-17.png</t>
  </si>
  <si>
    <t>https://i.postimg.cc/BnqFwGvX/23-05-15.png</t>
  </si>
  <si>
    <t>[Luffy`s Birthday Celebration] #2
Scout</t>
  </si>
  <si>
    <t>https://i.postimg.cc/bJ2S2ymF/23-05-11.png</t>
  </si>
  <si>
    <t>[Golden] #3
Scout</t>
  </si>
  <si>
    <t>https://i.postimg.cc/HLN7xc9y/23-05-09.png</t>
  </si>
  <si>
    <t>https://i.postimg.cc/VkDCxHS4/23-05-08.png</t>
  </si>
  <si>
    <t>[Luffy`s Birthday Celebration] #1
Extreme Bounty Festival</t>
  </si>
  <si>
    <t>https://i.postimg.cc/c1w8xJgv/23-05-05.png</t>
  </si>
  <si>
    <t>[Golden] #2
Scout</t>
  </si>
  <si>
    <t>https://i.postimg.cc/BvbK4cH3/23-05-03.png</t>
  </si>
  <si>
    <t>[Kaido`s Birthday Celebration]
Extreme Bounty Festival</t>
  </si>
  <si>
    <t>https://i.postimg.cc/Fz5dyMqF/23-05-01.png</t>
  </si>
  <si>
    <t>April - 2023</t>
  </si>
  <si>
    <t>[85 Million Downloads Celebration] #2
Bounty Festival</t>
  </si>
  <si>
    <t>New Bounty Festival
Downloads Celebration</t>
  </si>
  <si>
    <t>https://i.postimg.cc/JzMy9Qzp/23-04-27.png</t>
  </si>
  <si>
    <t>[Golden] #1
Scout</t>
  </si>
  <si>
    <t>https://i.postimg.cc/WpqJr3yw/23-04-25.png</t>
  </si>
  <si>
    <t>[85 Million Downloads Celebration] #1
Bounty Festival</t>
  </si>
  <si>
    <t>Bounty Festival Rerun
Downloads Celebration</t>
  </si>
  <si>
    <t>https://i.postimg.cc/15pnCdsg/23-04-20.png</t>
  </si>
  <si>
    <t>https://i.postimg.cc/tgrVdVy2/23-04-14.png</t>
  </si>
  <si>
    <t>[Dressrosa] #3
Scout</t>
  </si>
  <si>
    <t>https://i.postimg.cc/fbW90v4V/23-04-13.png</t>
  </si>
  <si>
    <t>[Happy Spring]
Scout</t>
  </si>
  <si>
    <t>https://i.postimg.cc/YqcLx7KK/23-04-11.png</t>
  </si>
  <si>
    <t>[Whitebeard Pirates]
Featured Scout</t>
  </si>
  <si>
    <t>https://i.postimg.cc/wvZyZ81N/23-04-07.png</t>
  </si>
  <si>
    <t>[Dressrosa] #2
Scout</t>
  </si>
  <si>
    <t>https://i.postimg.cc/tJ6ZHS6M/23-04-06.png</t>
  </si>
  <si>
    <t>[Sabaody Archipelago / Island of Women]
Featured Scout</t>
  </si>
  <si>
    <t>https://i.postimg.cc/pTp5sXLx/23-04-03.png</t>
  </si>
  <si>
    <t>March - 2023</t>
  </si>
  <si>
    <t>https://i.postimg.cc/vT3d3swV/23-03-31.png</t>
  </si>
  <si>
    <t>[Dressrosa]
Bounty Festival</t>
  </si>
  <si>
    <t>https://i.postimg.cc/x802vdhQ/23-03-30.png</t>
  </si>
  <si>
    <t>https://i.postimg.cc/d1RFZCWn/23-03-24.png</t>
  </si>
  <si>
    <t>[80 Million Downloads Celebration]
Extreme Bounty Festival</t>
  </si>
  <si>
    <t>https://i.postimg.cc/hjRgGs0f/23-03-23.png</t>
  </si>
  <si>
    <t>[Whole Cake Island]
Scout</t>
  </si>
  <si>
    <t>https://i.postimg.cc/6Qvtwgnk/23-03-20.png</t>
  </si>
  <si>
    <t>[Minks]
Scout</t>
  </si>
  <si>
    <t>https://i.postimg.cc/4xMsDs7v/23-03-16.png</t>
  </si>
  <si>
    <t>[White Day]
Scout</t>
  </si>
  <si>
    <t>https://i.postimg.cc/dt5q98Jx/23-03-14.png</t>
  </si>
  <si>
    <t>[Shanks' Birthday Celebration]
Extreme Bounty Festival</t>
  </si>
  <si>
    <t>https://i.postimg.cc/vHYY9Pwn/23-03-09.png</t>
  </si>
  <si>
    <t>[1,500th Day Anniversary]
Scout</t>
  </si>
  <si>
    <t>https://i.postimg.cc/zvjq6hK3/23-03-06.png</t>
  </si>
  <si>
    <t>https://i.postimg.cc/6qw9Mc7D/23-03-03.png</t>
  </si>
  <si>
    <t>February - 2023</t>
  </si>
  <si>
    <t>[75 Million Downloads Celebration] #3
Bounty Festival</t>
  </si>
  <si>
    <t>https://i.postimg.cc/50845TtB/23-02-28.png</t>
  </si>
  <si>
    <t>https://i.postimg.cc/SNdKtBfV/23-02-24.png</t>
  </si>
  <si>
    <t>[75 Million Downloads Celebration] #2
Scout</t>
  </si>
  <si>
    <t>https://i.postimg.cc/8C2k6NTk/23-02-21.png</t>
  </si>
  <si>
    <t>[75 Million Downloads Celebration] #1
Extreme Bounty Festival</t>
  </si>
  <si>
    <t>https://i.postimg.cc/tgZCJYQm/23-02-16.png</t>
  </si>
  <si>
    <t>https://i.postimg.cc/Z5qqkwfm/23-02-13.png</t>
  </si>
  <si>
    <t>[Valentine`s]
Scout</t>
  </si>
  <si>
    <t>https://i.postimg.cc/T3H3TnSD/23-02-09.png</t>
  </si>
  <si>
    <t>https://i.postimg.cc/sx92zqdj/23-02-06.png</t>
  </si>
  <si>
    <t>[4th Anniversary Heartfelt Thanks] #2
Bounty Festival</t>
  </si>
  <si>
    <t>New Bounty Festival
Anniversary</t>
  </si>
  <si>
    <t>https://i.postimg.cc/c1QCfgKp/23-02-02.png</t>
  </si>
  <si>
    <t>January - 2023</t>
  </si>
  <si>
    <t>[Early Spring]
Scout</t>
  </si>
  <si>
    <t>https://i.postimg.cc/JnXn6tpB/23-01-31.png</t>
  </si>
  <si>
    <t>[4th Anniversary Heartfelt Thanks] #1
Extreme Bounty Festival</t>
  </si>
  <si>
    <t>https://i.postimg.cc/L8ynhcqh/23-01-26.png</t>
  </si>
  <si>
    <t>[2023 New Year`s] #4
Scout</t>
  </si>
  <si>
    <t>New Year</t>
  </si>
  <si>
    <t>https://i.postimg.cc/L84J998r/23-01-19.png</t>
  </si>
  <si>
    <t>[4th Anniversary] #2
Extreme Bounty Festival</t>
  </si>
  <si>
    <t>https://i.postimg.cc/9fK0YyYh/23-01-17.png</t>
  </si>
  <si>
    <t>[2023 New Year`s] #3
Scout</t>
  </si>
  <si>
    <t>https://i.postimg.cc/SNhXP7FQ/23-01-12.png</t>
  </si>
  <si>
    <t>[4th Anniversary] #1
Extreme Bounty Festival</t>
  </si>
  <si>
    <t>https://i.postimg.cc/QMHV7f5m/23-01-10.png</t>
  </si>
  <si>
    <t>[2023 New Year`s] #2
Scout</t>
  </si>
  <si>
    <t>https://i.postimg.cc/MZRMt3Lr/23-01-03.png</t>
  </si>
  <si>
    <t>[2023 New Year`s] #1
Free Once Daily x10 Scout</t>
  </si>
  <si>
    <t>https://i.postimg.cc/j2zD5CNr/23-01-01-2.png</t>
  </si>
  <si>
    <t>[2023 New Year`s] #1
Extreme Bounty Festival</t>
  </si>
  <si>
    <t>New Extreme
New Year</t>
  </si>
  <si>
    <t>https://i.postimg.cc/8PmFgJNR/23-01-01-1.png</t>
  </si>
  <si>
    <t>2 STARS</t>
  </si>
  <si>
    <t>3 STARS</t>
  </si>
  <si>
    <t>4 STARS</t>
  </si>
  <si>
    <t>Boost I</t>
  </si>
  <si>
    <t>HP</t>
  </si>
  <si>
    <t>Boost Orb [HP I]</t>
  </si>
  <si>
    <t>I2</t>
  </si>
  <si>
    <t>I6</t>
  </si>
  <si>
    <t>Bounty Coins</t>
  </si>
  <si>
    <t>0.4K</t>
  </si>
  <si>
    <t>0.8K</t>
  </si>
  <si>
    <t>I.6K</t>
  </si>
  <si>
    <t>3.2K</t>
  </si>
  <si>
    <t>2K</t>
  </si>
  <si>
    <t>4K</t>
  </si>
  <si>
    <t>8K</t>
  </si>
  <si>
    <t>ATK</t>
  </si>
  <si>
    <t>Boost Orb [ATK I]</t>
  </si>
  <si>
    <t>Boost Orb [Trait I]</t>
  </si>
  <si>
    <t>20K</t>
  </si>
  <si>
    <t>DEF</t>
  </si>
  <si>
    <t>Boost Orb [DEF I]</t>
  </si>
  <si>
    <t>TOTAL</t>
  </si>
  <si>
    <t>12.4K</t>
  </si>
  <si>
    <t>24.8K</t>
  </si>
  <si>
    <t>62K</t>
  </si>
  <si>
    <t>Boost II</t>
  </si>
  <si>
    <t>Boost Orb [HP II]</t>
  </si>
  <si>
    <t>I.2K</t>
  </si>
  <si>
    <t>2.8K</t>
  </si>
  <si>
    <t>4.8K</t>
  </si>
  <si>
    <t>2.4K</t>
  </si>
  <si>
    <t>9.6K</t>
  </si>
  <si>
    <t>6K</t>
  </si>
  <si>
    <t>12K</t>
  </si>
  <si>
    <t>24K</t>
  </si>
  <si>
    <t>Boost Orb [ATK II]</t>
  </si>
  <si>
    <t>Boost Orb [Trait II]</t>
  </si>
  <si>
    <t>I2K</t>
  </si>
  <si>
    <t>60K</t>
  </si>
  <si>
    <t>Boost Orb [DEF II]</t>
  </si>
  <si>
    <t>37.2K</t>
  </si>
  <si>
    <t>74.4K</t>
  </si>
  <si>
    <t>186K</t>
  </si>
  <si>
    <t>Hyper Boost I</t>
  </si>
  <si>
    <t>Boost Orb [HP lll]</t>
  </si>
  <si>
    <t>Character Fragment</t>
  </si>
  <si>
    <t>Special Boost Orb</t>
  </si>
  <si>
    <t>3.6K</t>
  </si>
  <si>
    <t>4.2K</t>
  </si>
  <si>
    <t xml:space="preserve"> 5.4K</t>
  </si>
  <si>
    <t>5.4K</t>
  </si>
  <si>
    <t>6.3K</t>
  </si>
  <si>
    <t>7.2K</t>
  </si>
  <si>
    <t>8.1K</t>
  </si>
  <si>
    <t>9K</t>
  </si>
  <si>
    <t>15K</t>
  </si>
  <si>
    <t>17.5K</t>
  </si>
  <si>
    <t>22.5K</t>
  </si>
  <si>
    <t>25K</t>
  </si>
  <si>
    <t>Boost Orb [ATK III]</t>
  </si>
  <si>
    <t>50K</t>
  </si>
  <si>
    <t>Boost Orb [DEF III]</t>
  </si>
  <si>
    <t>Boost Orb [HP III]</t>
  </si>
  <si>
    <t>84K</t>
  </si>
  <si>
    <t>132K</t>
  </si>
  <si>
    <t>350K</t>
  </si>
  <si>
    <t>Hyper Boost II</t>
  </si>
  <si>
    <t>Character Orb</t>
  </si>
  <si>
    <t>6.6K</t>
  </si>
  <si>
    <t>7.8K</t>
  </si>
  <si>
    <t>8.4K</t>
  </si>
  <si>
    <t>9.9K</t>
  </si>
  <si>
    <t>10.8K</t>
  </si>
  <si>
    <t>11.7K</t>
  </si>
  <si>
    <t>12.6K</t>
  </si>
  <si>
    <t>13.5K</t>
  </si>
  <si>
    <t>18K</t>
  </si>
  <si>
    <t>27K</t>
  </si>
  <si>
    <t>100K</t>
  </si>
  <si>
    <t>135K</t>
  </si>
  <si>
    <t>202.5K</t>
  </si>
  <si>
    <t>700K</t>
  </si>
  <si>
    <t>Skills</t>
  </si>
  <si>
    <t>Skill 1</t>
  </si>
  <si>
    <t>Skill 2</t>
  </si>
  <si>
    <t>Level 2</t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</si>
  <si>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</si>
  <si>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</si>
  <si>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10.0"/>
      </rPr>
      <t>[Attacker-Defender Runner]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</si>
  <si>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</si>
  <si>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</si>
  <si>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</si>
  <si>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</si>
  <si>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</si>
  <si>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10.0"/>
      </rPr>
      <t>[Red -Blue-Green]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</si>
  <si>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</si>
  <si>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</si>
  <si>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[Red -Blue-Green]</t>
    </r>
  </si>
  <si>
    <t>0.5K</t>
  </si>
  <si>
    <t>1K</t>
  </si>
  <si>
    <t>Level 3</t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</si>
  <si>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</si>
  <si>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</si>
  <si>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10.0"/>
      </rPr>
      <t>[Attacker-Defender Runner]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</si>
  <si>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</si>
  <si>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</si>
  <si>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</si>
  <si>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</si>
  <si>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</si>
  <si>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10.0"/>
      </rPr>
      <t>[Red -Blue-Green]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</si>
  <si>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</si>
  <si>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</si>
  <si>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</si>
  <si>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</si>
  <si>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</si>
  <si>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10.0"/>
      </rPr>
      <t>[Attacker-Defender Runner]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</si>
  <si>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</si>
  <si>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</si>
  <si>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</si>
  <si>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</si>
  <si>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</si>
  <si>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10.0"/>
      </rPr>
      <t>[Red -Blue-Green]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</si>
  <si>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</si>
  <si>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</si>
  <si>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[Red -Blue-Green]</t>
    </r>
  </si>
  <si>
    <t>Level 4</t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</si>
  <si>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</si>
  <si>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</si>
  <si>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10.0"/>
      </rPr>
      <t>[Attacker-Defender Runner]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</si>
  <si>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</si>
  <si>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</si>
  <si>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</si>
  <si>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</si>
  <si>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</si>
  <si>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10.0"/>
      </rPr>
      <t>[Red -Blue-Green]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</si>
  <si>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</si>
  <si>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</si>
  <si>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</si>
  <si>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</si>
  <si>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</si>
  <si>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10.0"/>
      </rPr>
      <t>[Attacker-Defender Runner]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</si>
  <si>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</si>
  <si>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</si>
  <si>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</si>
  <si>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</si>
  <si>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</si>
  <si>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10.0"/>
      </rPr>
      <t>[Red -Blue-Green]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</si>
  <si>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</si>
  <si>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</si>
  <si>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[Red -Blue-Green]</t>
    </r>
  </si>
  <si>
    <t>Level 5</t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</si>
  <si>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</si>
  <si>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</si>
  <si>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10.0"/>
      </rPr>
      <t>[Attacker-Defender Runner]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</si>
  <si>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</si>
  <si>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</si>
  <si>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</si>
  <si>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</si>
  <si>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</si>
  <si>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10.0"/>
      </rPr>
      <t>[Red -Blue-Green]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</si>
  <si>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</si>
  <si>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</si>
  <si>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[Red -Blue-Green]</t>
    </r>
  </si>
  <si>
    <t>Special Skill Orb</t>
  </si>
  <si>
    <t>16K</t>
  </si>
  <si>
    <t>Total</t>
  </si>
  <si>
    <r>
      <rPr>
        <rFont val="Changa"/>
        <color theme="1"/>
      </rPr>
      <t xml:space="preserve">Skill Orb 1
</t>
    </r>
    <r>
      <rPr>
        <rFont val="Changa"/>
        <color theme="1"/>
        <sz val="6.0"/>
      </rPr>
      <t>[Attacker-Defender Runner]</t>
    </r>
  </si>
  <si>
    <r>
      <rPr>
        <rFont val="Changa"/>
        <color theme="1"/>
      </rPr>
      <t xml:space="preserve">Skill Orb 2
</t>
    </r>
    <r>
      <rPr>
        <rFont val="Changa"/>
        <color theme="1"/>
        <sz val="6.0"/>
      </rPr>
      <t>[Attacker-Defender Runner]</t>
    </r>
  </si>
  <si>
    <r>
      <rPr>
        <rFont val="Changa"/>
        <color theme="1"/>
      </rPr>
      <t xml:space="preserve">Skill Orb 1
</t>
    </r>
    <r>
      <rPr>
        <rFont val="Changa"/>
        <color theme="1"/>
        <sz val="6.0"/>
      </rPr>
      <t>[Attacker-Defender Runner]</t>
    </r>
  </si>
  <si>
    <r>
      <rPr>
        <rFont val="Changa"/>
        <color theme="1"/>
      </rPr>
      <t xml:space="preserve">Skill Orb 2
</t>
    </r>
    <r>
      <rPr>
        <rFont val="Changa"/>
        <color theme="1"/>
        <sz val="6.0"/>
      </rPr>
      <t>[Attacker-Defender Runner]</t>
    </r>
  </si>
  <si>
    <r>
      <rPr>
        <rFont val="Changa"/>
        <color theme="1"/>
      </rPr>
      <t xml:space="preserve">Skill Orb 1
</t>
    </r>
    <r>
      <rPr>
        <rFont val="Changa"/>
        <color theme="1"/>
        <sz val="6.0"/>
      </rPr>
      <t>[Attacker-Defender Runner]</t>
    </r>
  </si>
  <si>
    <r>
      <rPr>
        <rFont val="Changa"/>
        <color theme="1"/>
      </rPr>
      <t xml:space="preserve">Skill Orb 2
</t>
    </r>
    <r>
      <rPr>
        <rFont val="Changa"/>
        <color theme="1"/>
        <sz val="6.0"/>
      </rPr>
      <t>[Attacker-Defender Runner]</t>
    </r>
  </si>
  <si>
    <r>
      <rPr>
        <rFont val="Changa"/>
        <color theme="1"/>
      </rPr>
      <t xml:space="preserve">Skill Orb 1
</t>
    </r>
    <r>
      <rPr>
        <rFont val="Changa"/>
        <color theme="1"/>
        <sz val="6.0"/>
      </rPr>
      <t>[Red -Blue-Green]</t>
    </r>
  </si>
  <si>
    <r>
      <rPr>
        <rFont val="Changa"/>
        <color theme="1"/>
      </rPr>
      <t xml:space="preserve">Skill Orb 2
</t>
    </r>
    <r>
      <rPr>
        <rFont val="Changa"/>
        <color theme="1"/>
        <sz val="6.0"/>
      </rPr>
      <t>[Red -Blue-Green]</t>
    </r>
  </si>
  <si>
    <r>
      <rPr>
        <rFont val="Changa"/>
        <color theme="1"/>
      </rPr>
      <t xml:space="preserve">Skill Orb 1
</t>
    </r>
    <r>
      <rPr>
        <rFont val="Changa"/>
        <color theme="1"/>
        <sz val="6.0"/>
      </rPr>
      <t>[Red -Blue-Green]</t>
    </r>
  </si>
  <si>
    <r>
      <rPr>
        <rFont val="Changa"/>
        <color theme="1"/>
      </rPr>
      <t xml:space="preserve">Skill Orb 2
</t>
    </r>
    <r>
      <rPr>
        <rFont val="Changa"/>
        <color theme="1"/>
        <sz val="6.0"/>
      </rPr>
      <t>[Red -Blue-Green]</t>
    </r>
  </si>
  <si>
    <t>30K</t>
  </si>
  <si>
    <r>
      <rPr>
        <rFont val="Changa"/>
        <color theme="1"/>
      </rPr>
      <t xml:space="preserve">Skill Orb 1
</t>
    </r>
    <r>
      <rPr>
        <rFont val="Changa"/>
        <color theme="1"/>
        <sz val="6.0"/>
      </rPr>
      <t>[Red -Blue-Green]</t>
    </r>
  </si>
  <si>
    <r>
      <rPr>
        <rFont val="Changa"/>
        <color theme="1"/>
      </rPr>
      <t xml:space="preserve">Skill Orb 2
</t>
    </r>
    <r>
      <rPr>
        <rFont val="Changa"/>
        <color theme="1"/>
        <sz val="6.0"/>
      </rPr>
      <t>[Red -Blue-Green]</t>
    </r>
  </si>
  <si>
    <t>Characters Database</t>
  </si>
  <si>
    <r>
      <rPr>
        <rFont val="JetBrains Mono"/>
        <color theme="1"/>
        <sz val="12.0"/>
      </rPr>
      <t xml:space="preserve">Added Character </t>
    </r>
    <r>
      <rPr>
        <rFont val="JetBrains Mono"/>
        <b/>
        <color theme="1"/>
        <sz val="12.0"/>
      </rPr>
      <t xml:space="preserve">"The Four Emperors - Marshall D. Teach"
</t>
    </r>
  </si>
  <si>
    <t>Bounty Colors</t>
  </si>
  <si>
    <r>
      <rPr>
        <rFont val="JetBrains Mono"/>
        <color theme="1"/>
        <sz val="12.0"/>
      </rPr>
      <t xml:space="preserve">Added Bounty Colors (A, B, C, D) for </t>
    </r>
    <r>
      <rPr>
        <rFont val="JetBrains Mono"/>
        <b/>
        <color theme="1"/>
        <sz val="12.0"/>
      </rPr>
      <t>"The Four Emperors - Marshall D. Teach"</t>
    </r>
    <r>
      <rPr>
        <rFont val="JetBrains Mono"/>
        <color theme="1"/>
        <sz val="12.0"/>
      </rPr>
      <t xml:space="preserve">
Added Bounty Colors (A, B, C, D) for </t>
    </r>
    <r>
      <rPr>
        <rFont val="JetBrains Mono"/>
        <b/>
        <color theme="1"/>
        <sz val="12.0"/>
      </rPr>
      <t xml:space="preserve">"ASL - Ace &amp; Sabo &amp; Luffy"
</t>
    </r>
  </si>
  <si>
    <r>
      <rPr>
        <rFont val="JetBrains Mono"/>
        <color theme="1"/>
        <sz val="12.0"/>
      </rPr>
      <t xml:space="preserve">Added Character </t>
    </r>
    <r>
      <rPr>
        <rFont val="JetBrains Mono"/>
        <b/>
        <color theme="1"/>
        <sz val="12.0"/>
      </rPr>
      <t xml:space="preserve">"ASL - Ace &amp; Sabo &amp; Luffy"
</t>
    </r>
  </si>
  <si>
    <r>
      <rPr>
        <rFont val="JetBrains Mono"/>
        <color theme="1"/>
        <sz val="12.0"/>
      </rPr>
      <t xml:space="preserve">Added Bounty Colors (A, B, C) for </t>
    </r>
    <r>
      <rPr>
        <rFont val="JetBrains Mono"/>
        <b/>
        <color theme="1"/>
        <sz val="12.0"/>
      </rPr>
      <t>"Winner Island - Trafalgar Law"</t>
    </r>
    <r>
      <rPr>
        <rFont val="JetBrains Mono"/>
        <color theme="1"/>
        <sz val="12.0"/>
      </rPr>
      <t xml:space="preserve">
Added Bounty Colors (A, B, C) for </t>
    </r>
    <r>
      <rPr>
        <rFont val="JetBrains Mono"/>
        <b/>
        <color theme="1"/>
        <sz val="12.0"/>
      </rPr>
      <t xml:space="preserve">"Winner Island - Bepo"
</t>
    </r>
  </si>
  <si>
    <r>
      <rPr>
        <rFont val="JetBrains Mono"/>
        <color theme="1"/>
        <sz val="12.0"/>
      </rPr>
      <t xml:space="preserve">Added Character </t>
    </r>
    <r>
      <rPr>
        <rFont val="JetBrains Mono"/>
        <b/>
        <color theme="1"/>
        <sz val="12.0"/>
      </rPr>
      <t xml:space="preserve">"Winner Island - Trafalgar Law"
</t>
    </r>
  </si>
  <si>
    <r>
      <rPr>
        <rFont val="JetBrains Mono"/>
        <color theme="1"/>
        <sz val="12.0"/>
      </rPr>
      <t xml:space="preserve">Added Character </t>
    </r>
    <r>
      <rPr>
        <rFont val="JetBrains Mono"/>
        <b/>
        <color theme="1"/>
        <sz val="12.0"/>
      </rPr>
      <t xml:space="preserve">"Winner Island - Bepo"
</t>
    </r>
  </si>
  <si>
    <r>
      <rPr>
        <rFont val="JetBrains Mono"/>
        <color theme="1"/>
        <sz val="12.0"/>
      </rPr>
      <t xml:space="preserve">Added Character </t>
    </r>
    <r>
      <rPr>
        <rFont val="JetBrains Mono"/>
        <b/>
        <color theme="1"/>
        <sz val="12.0"/>
      </rPr>
      <t xml:space="preserve">"Father and Daughter - Kuma &amp; Bonney"
</t>
    </r>
    <r>
      <rPr>
        <rFont val="JetBrains Mono"/>
        <color theme="1"/>
        <sz val="12.0"/>
      </rPr>
      <t xml:space="preserve">Added Character </t>
    </r>
    <r>
      <rPr>
        <rFont val="JetBrains Mono"/>
        <b/>
        <color theme="1"/>
        <sz val="12.0"/>
      </rPr>
      <t xml:space="preserve">"Genius Scientist - Vegapunk"
</t>
    </r>
  </si>
  <si>
    <r>
      <rPr>
        <rFont val="JetBrains Mono"/>
        <color theme="1"/>
        <sz val="12.0"/>
      </rPr>
      <t xml:space="preserve">Added Bounty Colors (A, B, C) for </t>
    </r>
    <r>
      <rPr>
        <rFont val="JetBrains Mono"/>
        <b/>
        <color theme="1"/>
        <sz val="12.0"/>
      </rPr>
      <t>"Father and Daughter - Kuma &amp; Bonney"</t>
    </r>
    <r>
      <rPr>
        <rFont val="JetBrains Mono"/>
        <color theme="1"/>
        <sz val="12.0"/>
      </rPr>
      <t xml:space="preserve">
Added Bounty Colors (A, B, C) for </t>
    </r>
    <r>
      <rPr>
        <rFont val="JetBrains Mono"/>
        <b/>
        <color theme="1"/>
        <sz val="12.0"/>
      </rPr>
      <t xml:space="preserve">"Genius Scientist - Vegapunk"
</t>
    </r>
    <r>
      <rPr>
        <rFont val="JetBrains Mono"/>
        <color theme="1"/>
        <sz val="12.0"/>
      </rPr>
      <t xml:space="preserve">Added Bounty Colors (B)       for </t>
    </r>
    <r>
      <rPr>
        <rFont val="JetBrains Mono"/>
        <b/>
        <color theme="1"/>
        <sz val="12.0"/>
      </rPr>
      <t xml:space="preserve">"Daimyo of Kuri - Kozuki Oden"
</t>
    </r>
  </si>
  <si>
    <r>
      <rPr>
        <rFont val="JetBrains Mono"/>
        <color theme="1"/>
        <sz val="12.0"/>
      </rPr>
      <t xml:space="preserve">Added Character </t>
    </r>
    <r>
      <rPr>
        <rFont val="JetBrains Mono"/>
        <b/>
        <color theme="1"/>
        <sz val="12.0"/>
      </rPr>
      <t xml:space="preserve">"Egghead - Franky"
</t>
    </r>
    <r>
      <rPr>
        <rFont val="JetBrains Mono"/>
        <color theme="1"/>
        <sz val="12.0"/>
      </rPr>
      <t xml:space="preserve">Added Character </t>
    </r>
    <r>
      <rPr>
        <rFont val="JetBrains Mono"/>
        <b/>
        <color theme="1"/>
        <sz val="12.0"/>
      </rPr>
      <t xml:space="preserve">"Egghead - Jinbe"
</t>
    </r>
  </si>
  <si>
    <r>
      <rPr>
        <rFont val="JetBrains Mono"/>
        <color theme="1"/>
        <sz val="12.0"/>
      </rPr>
      <t xml:space="preserve">Added Bounty Colors (A, B, C) for </t>
    </r>
    <r>
      <rPr>
        <rFont val="JetBrains Mono"/>
        <b/>
        <color theme="1"/>
        <sz val="12.0"/>
      </rPr>
      <t>"Egghead - Brook"</t>
    </r>
    <r>
      <rPr>
        <rFont val="JetBrains Mono"/>
        <color theme="1"/>
        <sz val="12.0"/>
      </rPr>
      <t xml:space="preserve">
Added Bounty Colors (A, B, C) for </t>
    </r>
    <r>
      <rPr>
        <rFont val="JetBrains Mono"/>
        <b/>
        <color theme="1"/>
        <sz val="12.0"/>
      </rPr>
      <t xml:space="preserve">"Egghead - Franky"
</t>
    </r>
  </si>
  <si>
    <r>
      <rPr>
        <rFont val="JetBrains Mono"/>
        <color theme="1"/>
        <sz val="12.0"/>
      </rPr>
      <t xml:space="preserve">Added Character </t>
    </r>
    <r>
      <rPr>
        <rFont val="JetBrains Mono"/>
        <b/>
        <color theme="1"/>
        <sz val="12.0"/>
      </rPr>
      <t xml:space="preserve">"The Five Elders - St. Jaygarcia Saturn"
</t>
    </r>
  </si>
  <si>
    <r>
      <rPr>
        <rFont val="JetBrains Mono"/>
        <color theme="1"/>
        <sz val="12.0"/>
      </rPr>
      <t xml:space="preserve">Added Character </t>
    </r>
    <r>
      <rPr>
        <rFont val="JetBrains Mono"/>
        <b/>
        <color theme="1"/>
        <sz val="12.0"/>
      </rPr>
      <t xml:space="preserve">"Egghead - Tony Tony Chopper"
</t>
    </r>
    <r>
      <rPr>
        <rFont val="JetBrains Mono"/>
        <color theme="1"/>
        <sz val="12.0"/>
      </rPr>
      <t xml:space="preserve">Added Character </t>
    </r>
    <r>
      <rPr>
        <rFont val="JetBrains Mono"/>
        <b/>
        <color theme="1"/>
        <sz val="12.0"/>
      </rPr>
      <t xml:space="preserve">"Egghead - Nico Robin"
</t>
    </r>
  </si>
  <si>
    <r>
      <rPr>
        <rFont val="JetBrains Mono"/>
        <color theme="1"/>
        <sz val="12.0"/>
      </rPr>
      <t xml:space="preserve">Added Bounty Colors (A, B, C) for </t>
    </r>
    <r>
      <rPr>
        <rFont val="JetBrains Mono"/>
        <b/>
        <color theme="1"/>
        <sz val="12.0"/>
      </rPr>
      <t>"Egghead - Tony Tony Chopper"</t>
    </r>
    <r>
      <rPr>
        <rFont val="JetBrains Mono"/>
        <color theme="1"/>
        <sz val="12.0"/>
      </rPr>
      <t xml:space="preserve">
Added Bounty Colors (A, B, C) for </t>
    </r>
    <r>
      <rPr>
        <rFont val="JetBrains Mono"/>
        <b/>
        <color theme="1"/>
        <sz val="12.0"/>
      </rPr>
      <t xml:space="preserve">"Egghead - Nico Robin"
</t>
    </r>
    <r>
      <rPr>
        <rFont val="JetBrains Mono"/>
        <color theme="1"/>
        <sz val="12.0"/>
      </rPr>
      <t xml:space="preserve">Added Bounty Colors (B)       for </t>
    </r>
    <r>
      <rPr>
        <rFont val="JetBrains Mono"/>
        <b/>
        <color theme="1"/>
        <sz val="12.0"/>
      </rPr>
      <t xml:space="preserve">"Singer of the New Genesis - Uta"
</t>
    </r>
  </si>
  <si>
    <r>
      <rPr>
        <rFont val="JetBrains Mono"/>
        <color theme="1"/>
        <sz val="12.0"/>
      </rPr>
      <t xml:space="preserve">Added Character </t>
    </r>
    <r>
      <rPr>
        <rFont val="JetBrains Mono"/>
        <b/>
        <color theme="1"/>
        <sz val="12.0"/>
      </rPr>
      <t xml:space="preserve">"Egghead - Brook"
</t>
    </r>
  </si>
  <si>
    <r>
      <rPr>
        <rFont val="JetBrains Mono"/>
        <color theme="1"/>
        <sz val="12.0"/>
      </rPr>
      <t xml:space="preserve">Added Character </t>
    </r>
    <r>
      <rPr>
        <rFont val="JetBrains Mono"/>
        <b/>
        <color theme="1"/>
        <sz val="12.0"/>
      </rPr>
      <t xml:space="preserve">"The Four Emperors - Monkey D. Luffy"
</t>
    </r>
  </si>
  <si>
    <r>
      <rPr>
        <rFont val="JetBrains Mono"/>
        <color theme="1"/>
        <sz val="12.0"/>
      </rPr>
      <t xml:space="preserve">Added Bounty Colors (A, B, C, D) for </t>
    </r>
    <r>
      <rPr>
        <rFont val="JetBrains Mono"/>
        <b/>
        <color theme="1"/>
        <sz val="12.0"/>
      </rPr>
      <t>"Egghead - Nami"</t>
    </r>
    <r>
      <rPr>
        <rFont val="JetBrains Mono"/>
        <color theme="1"/>
        <sz val="12.0"/>
      </rPr>
      <t xml:space="preserve">
Added Bounty Colors (A, B, C, D) for </t>
    </r>
    <r>
      <rPr>
        <rFont val="JetBrains Mono"/>
        <b/>
        <color theme="1"/>
        <sz val="12.0"/>
      </rPr>
      <t>"Egghead - Usopp"</t>
    </r>
    <r>
      <rPr>
        <rFont val="JetBrains Mono"/>
        <color theme="1"/>
        <sz val="12.0"/>
      </rPr>
      <t xml:space="preserve"> 
</t>
    </r>
  </si>
  <si>
    <r>
      <rPr>
        <rFont val="JetBrains Mono"/>
        <color theme="1"/>
        <sz val="12.0"/>
      </rPr>
      <t xml:space="preserve">Added Character </t>
    </r>
    <r>
      <rPr>
        <rFont val="JetBrains Mono"/>
        <b/>
        <color theme="1"/>
        <sz val="12.0"/>
      </rPr>
      <t xml:space="preserve">"Egghead - Nami"
</t>
    </r>
    <r>
      <rPr>
        <rFont val="JetBrains Mono"/>
        <color theme="1"/>
        <sz val="12.0"/>
      </rPr>
      <t xml:space="preserve">Added Character </t>
    </r>
    <r>
      <rPr>
        <rFont val="JetBrains Mono"/>
        <b/>
        <color theme="1"/>
        <sz val="12.0"/>
      </rPr>
      <t xml:space="preserve">"Egghead - Usopp"
</t>
    </r>
  </si>
  <si>
    <r>
      <rPr>
        <rFont val="JetBrains Mono"/>
        <color theme="1"/>
        <sz val="12.0"/>
      </rPr>
      <t xml:space="preserve">Added Bounty Colors (A, B, C, D) for </t>
    </r>
    <r>
      <rPr>
        <rFont val="JetBrains Mono"/>
        <b/>
        <color theme="1"/>
        <sz val="12.0"/>
      </rPr>
      <t>"FILM Z - Zephyr"</t>
    </r>
    <r>
      <rPr>
        <rFont val="JetBrains Mono"/>
        <color theme="1"/>
        <sz val="12.0"/>
      </rPr>
      <t xml:space="preserve">
Added Bounty Colors (A, B, C, D) for </t>
    </r>
    <r>
      <rPr>
        <rFont val="JetBrains Mono"/>
        <b/>
        <color theme="1"/>
        <sz val="12.0"/>
      </rPr>
      <t>"Blind Swordsman Fujitora - [Issho]"</t>
    </r>
    <r>
      <rPr>
        <rFont val="JetBrains Mono"/>
        <color theme="1"/>
        <sz val="12.0"/>
      </rPr>
      <t xml:space="preserve"> 
</t>
    </r>
  </si>
  <si>
    <t>Character_ID</t>
  </si>
  <si>
    <t>Character_Image_Link</t>
  </si>
  <si>
    <t>Character_Name</t>
  </si>
  <si>
    <t>Character_Stars</t>
  </si>
  <si>
    <t>Character_Class</t>
  </si>
  <si>
    <t>Character_Tags</t>
  </si>
  <si>
    <t>Character_Type</t>
  </si>
  <si>
    <t>Character_Type_Image_Link</t>
  </si>
  <si>
    <t>Character_Date</t>
  </si>
  <si>
    <t>https://i.postimg.cc/D0LvxKT3/img-chara-ace-mari01-m.png</t>
  </si>
  <si>
    <t>Navy Infiltrator ~ Portgaz D. Ace</t>
  </si>
  <si>
    <t>076</t>
  </si>
  <si>
    <t>076 Navy Infiltrator - Portgaz D. Ace</t>
  </si>
  <si>
    <t>https://i.postimg.cc/T1gdtX6X/img-chara-ace-mera01-m.png</t>
  </si>
  <si>
    <t>Fire Fist ~ Portgaz D. Ace</t>
  </si>
  <si>
    <t>149</t>
  </si>
  <si>
    <t>149 Fire Fist - Portgaz D. Ace 1</t>
  </si>
  <si>
    <t>https://i.postimg.cc/1XwmvZQQ/img-chara-ace-mera01-str-m.png</t>
  </si>
  <si>
    <t>149 Fire Fist - Portgaz D. Ace 2</t>
  </si>
  <si>
    <t>https://i.postimg.cc/Xqdjs0bW/img-chara-ace-orig01-m.png</t>
  </si>
  <si>
    <t>Whitebeard Pirates / 2nd Division Commander ~ Portgaz D. Ace</t>
  </si>
  <si>
    <t>048</t>
  </si>
  <si>
    <t>048 Whitebeard Pirates / 2nd Division Commander - Portgaz D. Ace</t>
  </si>
  <si>
    <t>https://i.postimg.cc/yxc1LzHs/img-chara-ace-topw01-m.png</t>
  </si>
  <si>
    <t>Son of the King of the Pirates ~ Portgaz D. Ace</t>
  </si>
  <si>
    <t>100</t>
  </si>
  <si>
    <t>100 Son of the King of the Pirates - Portgaz D. Ace</t>
  </si>
  <si>
    <t>https://i.postimg.cc/nrBF3tJH/img-chara-acesaboluffy-trip01-m.png</t>
  </si>
  <si>
    <t>ASL ~ Ace &amp; Sabo &amp; Luffy</t>
  </si>
  <si>
    <t>340</t>
  </si>
  <si>
    <t>340 ASL - Ace &amp; Sabo &amp; Luffy</t>
  </si>
  <si>
    <t>https://i.postimg.cc/7h0HKykP/img-chara-aceyamato-doub01-01-m.png</t>
  </si>
  <si>
    <t>Fire Fist Ogre Princess ~ Ace &amp; Yamato</t>
  </si>
  <si>
    <t>275</t>
  </si>
  <si>
    <t>275 Fire Fist Ogre Princess - Ace &amp; Yamato 2 1</t>
  </si>
  <si>
    <t>https://i.postimg.cc/x8Mf6S21/img-chara-aceyamato-doub01-02-m.png</t>
  </si>
  <si>
    <t>275 Fire Fist Ogre Princess - Ace &amp; Yamato 2 2</t>
  </si>
  <si>
    <t>https://i.postimg.cc/ZnpbwhSR/img-chara-aceyamato-doub01-m.png</t>
  </si>
  <si>
    <t>275 Fire Fist Ogre Princess - Ace &amp; Yamato 1</t>
  </si>
  <si>
    <t>https://i.postimg.cc/yxc1LzH3/img-chara-adio-orig01-m.png</t>
  </si>
  <si>
    <t>ODYSSEY ~ Adio Suerte</t>
  </si>
  <si>
    <t>232</t>
  </si>
  <si>
    <t>232 ODYSSEY - Adio Suerte</t>
  </si>
  <si>
    <t>https://i.postimg.cc/HnXY6Cg7/img-chara-akainu-gens01-m.png</t>
  </si>
  <si>
    <t>Navy HQ / Fleet Admiral Akainu ~ [Sakazuki]</t>
  </si>
  <si>
    <t>178</t>
  </si>
  <si>
    <t>178 Navy HQ / Fleet Admiral Akainu - [Sakazuki]</t>
  </si>
  <si>
    <t>https://i.postimg.cc/brkymjht/img-chara-akainu-orig01-m.png</t>
  </si>
  <si>
    <t>Navy HQ / Admiral Akainu ~ [Sakazuki]</t>
  </si>
  <si>
    <t>049</t>
  </si>
  <si>
    <t>049 Navy HQ / Admiral Akainu - [Sakazuki]</t>
  </si>
  <si>
    <t>https://i.postimg.cc/SRCSgph9/img-chara-alvida-orig01-m.png</t>
  </si>
  <si>
    <t>Alvida Pirates / Captain ~ Alvida</t>
  </si>
  <si>
    <t>012</t>
  </si>
  <si>
    <t>012 Alvida Pirates / Captain - Alvida</t>
  </si>
  <si>
    <t>https://i.postimg.cc/zvKzx1rS/img-chara-alvida-sube01-m.png</t>
  </si>
  <si>
    <t>Slip-Slip Fruit ~ Alvida</t>
  </si>
  <si>
    <t>029</t>
  </si>
  <si>
    <t>029 Slip-Slip Fruit - Alvida</t>
  </si>
  <si>
    <t>https://i.postimg.cc/WzgN5Pvw/img-chara-aokiji-casu01-m.png</t>
  </si>
  <si>
    <t>Former Navy Admiral ~ Kuzan</t>
  </si>
  <si>
    <t>144</t>
  </si>
  <si>
    <t>144 Former Navy Admiral - Kuzan</t>
  </si>
  <si>
    <t>https://i.postimg.cc/przWstHf/img-chara-aokiji-hach01-m.png</t>
  </si>
  <si>
    <t>Blackbeard Pirates ~ Kuzan</t>
  </si>
  <si>
    <t>310</t>
  </si>
  <si>
    <t>310 Blackbeard Pirates - Kuzan</t>
  </si>
  <si>
    <t>https://i.postimg.cc/GtGLX1CP/img-chara-aokiji-orig01-m.png</t>
  </si>
  <si>
    <t>Navy HQ / Admiral Aokiji ~ [Kuzan]</t>
  </si>
  <si>
    <t>050</t>
  </si>
  <si>
    <t>050 Navy HQ / Admiral Aokiji - [Kuzan]</t>
  </si>
  <si>
    <t>https://i.postimg.cc/jq7SxyJ1/img-chara-apoo-2yaf01-m.png</t>
  </si>
  <si>
    <t>On-Air Pirates / Captain ~ Scratchmen Apoo</t>
  </si>
  <si>
    <t>123</t>
  </si>
  <si>
    <t>123 On-Air Pirates / Captain - Scratchmen Apoo</t>
  </si>
  <si>
    <t>https://i.postimg.cc/qB3vJ23f/img-chara-arlong-orig01-m.png</t>
  </si>
  <si>
    <t>Arlong Pirates / Captain ~ Arlong</t>
  </si>
  <si>
    <t>039</t>
  </si>
  <si>
    <t>039 Arlong Pirates / Captain - Arlong</t>
  </si>
  <si>
    <t>https://i.postimg.cc/bYtwy124/img-chara-ashuradoji-orig01-m.png</t>
  </si>
  <si>
    <t>Kozuki Clan / Servant ~ Ashura Doji</t>
  </si>
  <si>
    <t>156</t>
  </si>
  <si>
    <t>156 Kozuki Clan / Servant - Ashura Doji</t>
  </si>
  <si>
    <t>https://i.postimg.cc/mZHgL7Fq/img-chara-atlas-orig01-m.png</t>
  </si>
  <si>
    <t>Punk-05 ~ Atlas</t>
  </si>
  <si>
    <t>302</t>
  </si>
  <si>
    <t>302 Punk-05 - Atlas</t>
  </si>
  <si>
    <t>https://i.postimg.cc/449xfp9s/img-chara-baby5-orig01-m.png</t>
  </si>
  <si>
    <t>Don Quixote Pirates / Servant Assassin ~ Baby 5</t>
  </si>
  <si>
    <t>181</t>
  </si>
  <si>
    <t>181 Don Quixote Pirates / Servant Assassin - Baby 5</t>
  </si>
  <si>
    <t>https://i.postimg.cc/7P2ZHS2D/img-chara-bartolomeo-orig01-m.png</t>
  </si>
  <si>
    <t>Barto Club / Captain ~ Bartolomeo</t>
  </si>
  <si>
    <t>106</t>
  </si>
  <si>
    <t>106 Barto Club / Captain - Bartolomeo</t>
  </si>
  <si>
    <t>https://i.postimg.cc/QNTd8cTj/img-chara-bege-orig01-m.png</t>
  </si>
  <si>
    <t>Firetank Pirates / Godfather ~ Capone Bege</t>
  </si>
  <si>
    <t>093</t>
  </si>
  <si>
    <t>093 Firetank Pirates / Godfather - Capone Bege</t>
  </si>
  <si>
    <t>https://i.postimg.cc/qB3vJ23k/img-chara-bellamy-2yaf01-m.png</t>
  </si>
  <si>
    <t>The Bullet of Dressrosa ~ Bellamy</t>
  </si>
  <si>
    <t>224</t>
  </si>
  <si>
    <t>224 The Bullet of Dressrosa - Bellamy</t>
  </si>
  <si>
    <t>https://i.postimg.cc/dQyVsGyV/img-chara-bellamy-orig01-m.png</t>
  </si>
  <si>
    <t>Bellamy Pirates / Captain ~ Bellamy</t>
  </si>
  <si>
    <t>057</t>
  </si>
  <si>
    <t>057 Bellamy Pirates / Captain - Bellamy</t>
  </si>
  <si>
    <t>https://i.postimg.cc/tRx4qFxT/img-chara-belobetty-orig01-m.png</t>
  </si>
  <si>
    <t>Revolutionary Army / Captain of the Eastern Forces ~ Belo Betty</t>
  </si>
  <si>
    <t>268</t>
  </si>
  <si>
    <t>268 Revolutionary Army / Captain of the Eastern Forces - Belo Betty</t>
  </si>
  <si>
    <t>https://i.postimg.cc/gcZ2z3Zj/img-chara-bennbeckman-tera01-m.png</t>
  </si>
  <si>
    <t>FILM RED ~ Ben Beckman</t>
  </si>
  <si>
    <t>219</t>
  </si>
  <si>
    <t>219 FILM RED - Ben Beckman</t>
  </si>
  <si>
    <t>https://i.postimg.cc/c1nLxfnJ/img-chara-bepo-orig01-m.png</t>
  </si>
  <si>
    <t>Winner Island ~ Bepo</t>
  </si>
  <si>
    <t>338</t>
  </si>
  <si>
    <t>338 Winner Island - Bepo</t>
  </si>
  <si>
    <t>https://i.postimg.cc/h4dtDVdX/img-chara-bigmom-orig01-m.png</t>
  </si>
  <si>
    <t>Big Mom Pirates / Captain ~ Charlotte Linlin</t>
  </si>
  <si>
    <t>085</t>
  </si>
  <si>
    <t>085 Big Mom Pirates / Captain - Charlotte Linlin</t>
  </si>
  <si>
    <t>https://i.postimg.cc/xjz1fLzN/img-chara-bigmom-slim01-m.png</t>
  </si>
  <si>
    <t>Hunger Pangs ~ Charlotte Linlin</t>
  </si>
  <si>
    <t>134</t>
  </si>
  <si>
    <t>134 Hunger Pangs - Charlotte Linlin</t>
  </si>
  <si>
    <t>https://i.postimg.cc/xTVTcqvf/img-chara-bigmom-wano01-m.png</t>
  </si>
  <si>
    <t>Battle of Monsters on Onigashima ~ Olin the Oiran</t>
  </si>
  <si>
    <t>233</t>
  </si>
  <si>
    <t>233 Battle of Monsters on Onigashima - Olin the Oiran</t>
  </si>
  <si>
    <t>https://i.postimg.cc/1515f4GR/img-chara-bkuma-orig01-m.png</t>
  </si>
  <si>
    <t>The Seven Warlords of the Sea ~ Bartholomew Kuma</t>
  </si>
  <si>
    <t>095</t>
  </si>
  <si>
    <t>095 The Seven Warlords of the Sea - Bartholomew Kuma</t>
  </si>
  <si>
    <t>https://i.postimg.cc/rF4MTT7t/img-chara-blackmaria-orig01-m.png</t>
  </si>
  <si>
    <t>Animal Kingdom Pirates / Tobi Roppo ~ Black Maria</t>
  </si>
  <si>
    <t>269</t>
  </si>
  <si>
    <t>269 Animal Kingdom Pirates / Tobi Roppo - Black Maria</t>
  </si>
  <si>
    <t>https://i.postimg.cc/65ZtKKF4/img-chara-blueno-orig01-m.png</t>
  </si>
  <si>
    <t>CP9 ~ Blueno</t>
  </si>
  <si>
    <t>291</t>
  </si>
  <si>
    <t>291 CP9 - Blueno</t>
  </si>
  <si>
    <t>https://i.postimg.cc/3JGYhhzv/img-chara-boahancock-2yaf01-m.png</t>
  </si>
  <si>
    <t>Kuja Pirates / Captain ~ Boa Hancock</t>
  </si>
  <si>
    <t>139</t>
  </si>
  <si>
    <t>139 Kuja Pirates / Captain - Boa Hancock</t>
  </si>
  <si>
    <t>https://i.postimg.cc/NfXBttZX/img-chara-boahancock-orig01-m.png</t>
  </si>
  <si>
    <t>The Seven Warlords of the Sea ~ Hancock</t>
  </si>
  <si>
    <t>053</t>
  </si>
  <si>
    <t>053 The Seven Warlords of the Sea - Hancock</t>
  </si>
  <si>
    <t>https://i.postimg.cc/28WrYYgv/img-chara-boahancock-stam01-m.png</t>
  </si>
  <si>
    <t>STAMPEDE ~ Boa Hancock</t>
  </si>
  <si>
    <t>212</t>
  </si>
  <si>
    <t>212 STAMPEDE - Boa Hancock</t>
  </si>
  <si>
    <t>https://i.postimg.cc/fTdDss1m/img-chara-boahancock-swim01-m.png</t>
  </si>
  <si>
    <t>Bikini ~ Boa Hancock</t>
  </si>
  <si>
    <t>074</t>
  </si>
  <si>
    <t>074 Bikini - Boa Hancock</t>
  </si>
  <si>
    <t>https://i.postimg.cc/pXjRvv3K/img-chara-bonie-eggh01-m.png</t>
  </si>
  <si>
    <t>Egghead ~ Jewelry Bonney</t>
  </si>
  <si>
    <t>306</t>
  </si>
  <si>
    <t>306 Egghead - Jewelry Bonney</t>
  </si>
  <si>
    <t>https://i.postimg.cc/4NcsGGj6/img-chara-bonie-orig01-m.png</t>
  </si>
  <si>
    <t>Bonney Pirates / Captain ~ Jewelry Bonney</t>
  </si>
  <si>
    <t>067</t>
  </si>
  <si>
    <t>067 Bonney Pirates / Captain - Jewelry Bonney</t>
  </si>
  <si>
    <t>https://i.postimg.cc/fRhZTFht/img-chara-brogy-eggh01-m.png</t>
  </si>
  <si>
    <t>The Red ~ Broggy</t>
  </si>
  <si>
    <t>298</t>
  </si>
  <si>
    <t>298 The Red - Broggy</t>
  </si>
  <si>
    <t>https://i.postimg.cc/RZz9V8zJ/img-chara-brook-2yaf01-m.png</t>
  </si>
  <si>
    <t>2 Years Later / Musician ~ Brook</t>
  </si>
  <si>
    <t>071</t>
  </si>
  <si>
    <t>071 2 Years Later / Musician - Brook</t>
  </si>
  <si>
    <t>https://i.postimg.cc/t4HyCfHV/img-chara-brook-atta01-m.png</t>
  </si>
  <si>
    <t>Raid on Onigashima ~ Brook</t>
  </si>
  <si>
    <t>249</t>
  </si>
  <si>
    <t>249 Raid on Onigashima - Brook</t>
  </si>
  <si>
    <t>https://i.postimg.cc/kgd9XZdS/img-chara-brook-cake01-m.png</t>
  </si>
  <si>
    <t>Whole Cake Island ~ Brook</t>
  </si>
  <si>
    <t>188</t>
  </si>
  <si>
    <t>188 Whole Cake Island - Brook</t>
  </si>
  <si>
    <t>https://i.postimg.cc/W1PjbKP0/img-chara-brook-eggh01-m.png</t>
  </si>
  <si>
    <t>Egghead ~ Brook</t>
  </si>
  <si>
    <t>330</t>
  </si>
  <si>
    <t>330 Egghead - Brook</t>
  </si>
  <si>
    <t>https://i.postimg.cc/fRhZTFhc/img-chara-brook-orig01-m.png</t>
  </si>
  <si>
    <t>Straw Hat Pirates / Musician ~ Brook</t>
  </si>
  <si>
    <t>009</t>
  </si>
  <si>
    <t>009 Straw Hat Pirates / Musician - Brook</t>
  </si>
  <si>
    <t>https://i.postimg.cc/13ZP5TZ0/img-chara-brook-wano01-m.png</t>
  </si>
  <si>
    <t>Land of Wano ~ Bonekichi</t>
  </si>
  <si>
    <t>177</t>
  </si>
  <si>
    <t>177 Land of Wano - Bonekichi</t>
  </si>
  <si>
    <t>https://i.postimg.cc/QdrsxPrk/img-chara-brulee-orig01-m.png</t>
  </si>
  <si>
    <t>Big Mom Pirates / Crewmate ~ Charlotte Brulee</t>
  </si>
  <si>
    <t>240</t>
  </si>
  <si>
    <t>240 Big Mom Pirates / Crewmate - Charlotte Brulee</t>
  </si>
  <si>
    <t>https://i.postimg.cc/CxVYLtVm/img-chara-buggy-2yaf01-m.png</t>
  </si>
  <si>
    <t>The Seven Warlords of the Sea ~ Buggy</t>
  </si>
  <si>
    <t>136</t>
  </si>
  <si>
    <t>136 The Seven Warlords of the Sea - Buggy</t>
  </si>
  <si>
    <t>https://i.postimg.cc/QdrsxPrf/img-chara-buggy-orig01-m.png</t>
  </si>
  <si>
    <t>Buggy Pirates / Captain ~ Buggy</t>
  </si>
  <si>
    <t>020</t>
  </si>
  <si>
    <t>020 Buggy Pirates / Captain - Buggy</t>
  </si>
  <si>
    <t>https://i.postimg.cc/cLNZ4jN9/img-chara-bullet-stam01-m.png</t>
  </si>
  <si>
    <t>STAMPEDE ~ Douglas Bullet</t>
  </si>
  <si>
    <t>113</t>
  </si>
  <si>
    <t>113 STAMPEDE - Douglas Bullet</t>
  </si>
  <si>
    <t>https://i.postimg.cc/4xTZNMT2/img-chara-burgess-hach01-m.png</t>
  </si>
  <si>
    <t>Strong-Strong Fruit ~ Jesus Burgess</t>
  </si>
  <si>
    <t>316</t>
  </si>
  <si>
    <t>316 Strong-Strong Fruit - Jesus Burgess</t>
  </si>
  <si>
    <t>https://i.postimg.cc/XY037h0P/img-chara-burgess-orig01-m.png</t>
  </si>
  <si>
    <t>Blackbeard Pirates / Helsman "Champ" ~ Jesus Burgess</t>
  </si>
  <si>
    <t>201</t>
  </si>
  <si>
    <t>201 Blackbeard Pirates / Helsman "Champ" - Jesus Burgess</t>
  </si>
  <si>
    <t>https://i.postimg.cc/dVKvtXKx/img-chara-butchie-orig01-m.png</t>
  </si>
  <si>
    <t>Black Cat Pirates / Guard ~ Butchie</t>
  </si>
  <si>
    <t>017</t>
  </si>
  <si>
    <t>017 Black Cat Pirates / Guard - Butchie</t>
  </si>
  <si>
    <t>https://i.postimg.cc/kgd9XZdZ/img-chara-cabaji-orig01-m.png</t>
  </si>
  <si>
    <t>Buggy Pirates / Chief of Staff ~ Cabaji</t>
  </si>
  <si>
    <t>015</t>
  </si>
  <si>
    <t>015 Buggy Pirates / Chief of Staff - Cabaji</t>
  </si>
  <si>
    <t>https://i.postimg.cc/SxpqN5pH/img-chara-caesar-orig01-m.png</t>
  </si>
  <si>
    <t>Former World Government / Science Division Member ~ Caesar Clown</t>
  </si>
  <si>
    <t>137</t>
  </si>
  <si>
    <t>137 Former World Government / Science Division Member - Caesar Clown</t>
  </si>
  <si>
    <t>https://i.postimg.cc/3xH7J6HP/img-chara-caribou-orig01-m.png</t>
  </si>
  <si>
    <t>Caribou Pirates / Captain ~ Caribou</t>
  </si>
  <si>
    <t>254</t>
  </si>
  <si>
    <t>254 Caribou Pirates / Captain - Caribou</t>
  </si>
  <si>
    <t>https://i.postimg.cc/JzWm4gWf/img-chara-carrot-cake01-m.png</t>
  </si>
  <si>
    <t>Whole Cake Island ~ Carrot</t>
  </si>
  <si>
    <t>278</t>
  </si>
  <si>
    <t>278 Whole Cake Island - Carrot</t>
  </si>
  <si>
    <t>https://i.postimg.cc/y8XKJPVn/img-chara-carrot-orig01-m.png</t>
  </si>
  <si>
    <t>Minks ~ Carrot</t>
  </si>
  <si>
    <t>159</t>
  </si>
  <si>
    <t>159 Minks - Carrot</t>
  </si>
  <si>
    <t>https://i.postimg.cc/rwCTdJ8h/img-chara-cavendish-dres01-m.png</t>
  </si>
  <si>
    <t>Slicing Winds of Rommel ~ Hakuba</t>
  </si>
  <si>
    <t>244</t>
  </si>
  <si>
    <t>244 Slicing Winds of Rommel - Hakuba</t>
  </si>
  <si>
    <t>https://i.postimg.cc/P5zHL4t7/img-chara-cavendish-orig01-m.png</t>
  </si>
  <si>
    <t>Beautiful Pirates / Captain ~ Cavendish</t>
  </si>
  <si>
    <t>107</t>
  </si>
  <si>
    <t>107 Beautiful Pirates / Captain - Cavendish</t>
  </si>
  <si>
    <t>https://i.postimg.cc/pLYv9Z26/img-chara-charlos-orig01-m.png</t>
  </si>
  <si>
    <t>Celestial Dragon ~ St. Charlos</t>
  </si>
  <si>
    <t>318</t>
  </si>
  <si>
    <t>318 Celestial Dragon - St. Charlos</t>
  </si>
  <si>
    <t>https://i.postimg.cc/RZQm3RM8/img-chara-chinjao-orig01-m.png</t>
  </si>
  <si>
    <t>Former Happosui Army / 12th Chief ~ Chin Jao</t>
  </si>
  <si>
    <t>243</t>
  </si>
  <si>
    <t>243 Former Happosui Army / 12th Chief - Chin Jao</t>
  </si>
  <si>
    <t>https://i.postimg.cc/g2qpwDYf/img-chara-choo-orig01-m.png</t>
  </si>
  <si>
    <t>Arlong Pirates / Officer ~ Choo</t>
  </si>
  <si>
    <t>027</t>
  </si>
  <si>
    <t>027 Arlong Pirates / Officer - Choo</t>
  </si>
  <si>
    <t>https://i.postimg.cc/fRjs3Kw1/img-chara-chopper-2yaf01-m.png</t>
  </si>
  <si>
    <t>2 Years Later / Doctor ~ Tony Tony Chopper</t>
  </si>
  <si>
    <t>069</t>
  </si>
  <si>
    <t>069 2 Years Later / Doctor - Tony Tony Chopper</t>
  </si>
  <si>
    <t>https://i.postimg.cc/Z5Fm9cTG/img-chara-chopper-armp01-m.png</t>
  </si>
  <si>
    <t>Arm Point ~ Tony Tony Chopper</t>
  </si>
  <si>
    <t>056</t>
  </si>
  <si>
    <t>056 Arm Point - Tony Tony Chopper</t>
  </si>
  <si>
    <t>https://i.postimg.cc/kgFCVcJ3/img-chara-chopper-atta01-m.png</t>
  </si>
  <si>
    <t>Raid on Onigashima ~ Tony Tony Chopper</t>
  </si>
  <si>
    <t>270</t>
  </si>
  <si>
    <t>270 Raid on Onigashima - Tony Tony Chopper</t>
  </si>
  <si>
    <t>https://i.postimg.cc/qvXrtLJH/img-chara-chopper-eggh01-m.png</t>
  </si>
  <si>
    <t>Egghead ~ Tony Tony Chopper</t>
  </si>
  <si>
    <t>331</t>
  </si>
  <si>
    <t>331 Egghead - Tony Tony Chopper</t>
  </si>
  <si>
    <t>https://i.postimg.cc/XYcWZ8j0/img-chara-chopper-fish01-m.png</t>
  </si>
  <si>
    <t>Monster Point ~ Tony Tony Chopper</t>
  </si>
  <si>
    <t>166</t>
  </si>
  <si>
    <t>166 Monster Point - Tony Tony Chopper</t>
  </si>
  <si>
    <t>https://i.postimg.cc/13cSgHmS/img-chara-chopper-holi01-m.png</t>
  </si>
  <si>
    <t>Happy Holiday ~ Tony Tony Chopper</t>
  </si>
  <si>
    <t>096</t>
  </si>
  <si>
    <t>096 Happy Holiday - Tony Tony Chopper</t>
  </si>
  <si>
    <t>https://i.postimg.cc/x1yQkRff/img-chara-chopper-orig01-m.png</t>
  </si>
  <si>
    <t>Straw Hat Pirates / Doctor ~ Tony Tony Chopper</t>
  </si>
  <si>
    <t>006</t>
  </si>
  <si>
    <t>006 Straw Hat Pirates / Doctor - Tony Tony Chopper</t>
  </si>
  <si>
    <t>https://i.postimg.cc/g2qpwDz2/img-chara-chopper-tera01-m.png</t>
  </si>
  <si>
    <t>FILM RED ~ Tony Tony Chopper</t>
  </si>
  <si>
    <t>221</t>
  </si>
  <si>
    <t>221 FILM RED - Tony Tony Chopper</t>
  </si>
  <si>
    <t>https://i.postimg.cc/0ydv6fk2/img-chara-chopper-wano01-m.png</t>
  </si>
  <si>
    <t>Land of Wano ~ Chopperemon</t>
  </si>
  <si>
    <t>153</t>
  </si>
  <si>
    <t>153 Land of Wano - Chopperemon</t>
  </si>
  <si>
    <t>https://i.postimg.cc/mgN4cwLh/img-chara-coby-capt01-m.png</t>
  </si>
  <si>
    <t>Navy HQ / Captain ~ Koby</t>
  </si>
  <si>
    <t>309</t>
  </si>
  <si>
    <t>309 Navy HQ / Captain - Koby</t>
  </si>
  <si>
    <t>https://i.postimg.cc/y8XKJP1k/img-chara-coby-orig01-m.png</t>
  </si>
  <si>
    <t>Chore Boy ~ Koby</t>
  </si>
  <si>
    <t>011</t>
  </si>
  <si>
    <t>011 Chore Boy - Koby</t>
  </si>
  <si>
    <t>https://i.postimg.cc/9fmhy70V/img-chara-coby-serg01-m.png</t>
  </si>
  <si>
    <t>Navy HQ / Master Chief Petty Officer ~ Koby</t>
  </si>
  <si>
    <t>179</t>
  </si>
  <si>
    <t>179 Navy HQ / Master Chief Petty Officer - Koby</t>
  </si>
  <si>
    <t>https://i.postimg.cc/hGDBVdvc/img-chara-corazon-orig01-m.png</t>
  </si>
  <si>
    <t>Don Quixote Family / Officer ~ Corazon</t>
  </si>
  <si>
    <t>133</t>
  </si>
  <si>
    <t>133 Don Quixote Family / Officer - Corazon</t>
  </si>
  <si>
    <t>https://i.postimg.cc/QM83cTCj/img-chara-cracker-orig01-m.png</t>
  </si>
  <si>
    <t>Big Mom Pirates / "Sweet 3" General ~ Charlotte Cracker</t>
  </si>
  <si>
    <t>239</t>
  </si>
  <si>
    <t>239 Big Mom Pirates / "Sweet 3" General - Charlotte Cracker</t>
  </si>
  <si>
    <t>https://i.postimg.cc/MG6S1QHZ/img-chara-demaroblack-orig01-m.png</t>
  </si>
  <si>
    <t>Fake Straw Hat Pirates / Captain ~ Demaro Black</t>
  </si>
  <si>
    <t>284</t>
  </si>
  <si>
    <t>284 Fake Straw Hat Pirates / Captain - Demaro Black</t>
  </si>
  <si>
    <t>https://i.postimg.cc/JhrLjk04/img-chara-diamante-orig01-m.png</t>
  </si>
  <si>
    <t>Don Quixote Pirates / Supreme Officer ~ Diamante</t>
  </si>
  <si>
    <t>225</t>
  </si>
  <si>
    <t>225 Don Quixote Pirates / Supreme Officer - Diamante</t>
  </si>
  <si>
    <t>https://i.postimg.cc/YSrHQW0C/img-chara-django-orig01-m.png</t>
  </si>
  <si>
    <t>Black Cat Pirates / Captain ~ Django</t>
  </si>
  <si>
    <t>016</t>
  </si>
  <si>
    <t>016 Black Cat Pirates / Captain - Django</t>
  </si>
  <si>
    <t>https://i.postimg.cc/tgqjFxJ7/img-chara-doflamingo-orig01-bs01-m.png</t>
  </si>
  <si>
    <t>The Seven Warlords of the Sea ~ Don Quixote Doflamingo</t>
  </si>
  <si>
    <t>081</t>
  </si>
  <si>
    <t>081 The Seven Warlords of the Sea - Don Quixote Doflamingo</t>
  </si>
  <si>
    <t>https://i.postimg.cc/YSrHQW04/img-chara-doflamingo-youn01-m.png</t>
  </si>
  <si>
    <t>Don Quixote Pirates / Captain ~ Don Quixote Doflamingo</t>
  </si>
  <si>
    <t>183</t>
  </si>
  <si>
    <t>183 Don Quixote Pirates / Captain - Don Quixote Doflamingo</t>
  </si>
  <si>
    <t>https://i.postimg.cc/BvS02KbH/img-chara-donkrieg-orig01-m.png</t>
  </si>
  <si>
    <t>Krieg`s Pirate Armada / Admiral ~ Don Krieg</t>
  </si>
  <si>
    <t>024</t>
  </si>
  <si>
    <t>024 Krieg`s Pirate Armada / Admiral - Don Krieg</t>
  </si>
  <si>
    <t>https://i.postimg.cc/25kDnZyn/img-chara-dorry-eggh01-m.png</t>
  </si>
  <si>
    <t>The Blue ~ Dorry</t>
  </si>
  <si>
    <t>297</t>
  </si>
  <si>
    <t>297 The Blue - Dorry</t>
  </si>
  <si>
    <t>https://i.postimg.cc/YSrHQW06/img-chara-elizabello-orig01-m.png</t>
  </si>
  <si>
    <t>The Kingdom of Prodence / King ~ Elizabello II</t>
  </si>
  <si>
    <t>246</t>
  </si>
  <si>
    <t>246 The Kingdom of Prodence / King - Elizabello II</t>
  </si>
  <si>
    <t>https://i.postimg.cc/vmYs5VT7/img-chara-enel-amal01-m.png</t>
  </si>
  <si>
    <t>Amaru ~ Eneru</t>
  </si>
  <si>
    <t>130</t>
  </si>
  <si>
    <t>130 Amaru - Eneru</t>
  </si>
  <si>
    <t>https://i.postimg.cc/nLFJqDrY/img-chara-enel-orig01-m.png</t>
  </si>
  <si>
    <t>Kami ~ Eneru</t>
  </si>
  <si>
    <t>046</t>
  </si>
  <si>
    <t>046 Kami - Eneru</t>
  </si>
  <si>
    <t>https://i.postimg.cc/N0scRHFk/img-chara-foxy-orig01-m.png</t>
  </si>
  <si>
    <t>Foxy Pirates / Captain ~ Foxy</t>
  </si>
  <si>
    <t>322</t>
  </si>
  <si>
    <t>322 Foxy Pirates / Captain - Foxy</t>
  </si>
  <si>
    <t>https://i.postimg.cc/TPd6nD10/img-chara-franky-2yaf01-m.png</t>
  </si>
  <si>
    <t>2 Years Later / Ship Carpenter ~ Franky</t>
  </si>
  <si>
    <t>072</t>
  </si>
  <si>
    <t>072 2 Years Later / Ship Carpenter - Franky</t>
  </si>
  <si>
    <t>https://i.postimg.cc/TPd6nD1Q/img-chara-franky-atta01-m.png</t>
  </si>
  <si>
    <t>Raid on Onigashima ~ Franky</t>
  </si>
  <si>
    <t>271</t>
  </si>
  <si>
    <t>271 Raid on Onigashima - Franky</t>
  </si>
  <si>
    <t>https://i.postimg.cc/MG985pfB/img-chara-franky-eggh01-m.png</t>
  </si>
  <si>
    <t>Egghead ~ Franky</t>
  </si>
  <si>
    <t>334</t>
  </si>
  <si>
    <t>334 Egghead - Franky</t>
  </si>
  <si>
    <t>https://i.postimg.cc/0NVqnyKw/img-chara-franky-holi01-m.png</t>
  </si>
  <si>
    <t>Happy Holiday ~ Franky</t>
  </si>
  <si>
    <t>097</t>
  </si>
  <si>
    <t>097 Happy Holiday - Franky</t>
  </si>
  <si>
    <t>https://i.postimg.cc/ZqwhH5v6/img-chara-franky-orig01-m.png</t>
  </si>
  <si>
    <t>Straw Hat Pirates / Ship Carpenter ~ Franky</t>
  </si>
  <si>
    <t>008</t>
  </si>
  <si>
    <t>008 Straw Hat Pirates / Ship Carpenter - Franky</t>
  </si>
  <si>
    <t>https://i.postimg.cc/GpX1KmTk/img-chara-franky-punk01-m.png</t>
  </si>
  <si>
    <t>Iron Pirate ~ General Franky</t>
  </si>
  <si>
    <t>162</t>
  </si>
  <si>
    <t>162 Iron Pirate - General Franky</t>
  </si>
  <si>
    <t>https://i.postimg.cc/TPtX0359/img-chara-franky-wano01-m.png</t>
  </si>
  <si>
    <t>Land of Wano ~ Franosuke</t>
  </si>
  <si>
    <t>206</t>
  </si>
  <si>
    <t>206 Land of Wano - Franosuke</t>
  </si>
  <si>
    <t>https://i.postimg.cc/hG2qstQ0/img-chara-fujitora-nonc01-m.png</t>
  </si>
  <si>
    <t>Navy HQ / Admiral Fujitora ~ [Issho]</t>
  </si>
  <si>
    <t>108</t>
  </si>
  <si>
    <t>108 Navy HQ / Admiral Fujitora - [Issho]</t>
  </si>
  <si>
    <t>https://i.postimg.cc/rpfLjwRj/img-chara-fujitora-orig01-m.png</t>
  </si>
  <si>
    <t>Blind Swordsman Fujitora ~ [Issho]</t>
  </si>
  <si>
    <t>326</t>
  </si>
  <si>
    <t>326 Blind Swordsman Fujitora - [Issho]</t>
  </si>
  <si>
    <t>https://i.postimg.cc/mrmGjg1V/img-chara-gaimon-orig01-m.png</t>
  </si>
  <si>
    <t>The Guardian of the Forest ~ Gaimon</t>
  </si>
  <si>
    <t>163</t>
  </si>
  <si>
    <t>163 The Guardian of the Forest - Gaimon</t>
  </si>
  <si>
    <t>https://i.postimg.cc/zfx17GHd/img-chara-ganfall-orig01-m.png</t>
  </si>
  <si>
    <t>The Sky Knight ~ Ganfor</t>
  </si>
  <si>
    <t>281</t>
  </si>
  <si>
    <t>281 The Sky Knight - Ganfor</t>
  </si>
  <si>
    <t>https://i.postimg.cc/SKgpdxYg/img-chara-garp-hach01-m.png</t>
  </si>
  <si>
    <t>Legendary Hero ~ Monkey D. Garp</t>
  </si>
  <si>
    <t>308</t>
  </si>
  <si>
    <t>308 Legendary Hero - Monkey D. Garp</t>
  </si>
  <si>
    <t>https://i.postimg.cc/FKTQpHkn/img-chara-garp-mari01-m.png</t>
  </si>
  <si>
    <t>Navy HQ / Vice Admiral ~ Monkey D. Garb</t>
  </si>
  <si>
    <t>102</t>
  </si>
  <si>
    <t>102 Navy HQ / Vice Admiral - Monkey D. Garb</t>
  </si>
  <si>
    <t>https://i.postimg.cc/1zvZB3Vj/img-chara-garp-youn01-m.png</t>
  </si>
  <si>
    <t>Hero of the Navy ~ Monkey D. Garb</t>
  </si>
  <si>
    <t>157</t>
  </si>
  <si>
    <t>157 Hero of the Navy - Monkey D. Garb</t>
  </si>
  <si>
    <t>https://i.postimg.cc/QMfrmdKP/img-chara-geckomoria-orig01-m.png</t>
  </si>
  <si>
    <t>The Seven Warlords of the Sea ~ Gecko Moria</t>
  </si>
  <si>
    <t>054</t>
  </si>
  <si>
    <t>054 The Seven Warlords of the Sea - Gecko Moria</t>
  </si>
  <si>
    <t>https://i.postimg.cc/QMfrmdKv/img-chara-geckomoria-topw01-m.png</t>
  </si>
  <si>
    <t>The Parmount War ~ Gecko Moria</t>
  </si>
  <si>
    <t>142</t>
  </si>
  <si>
    <t>142 The Parmount War - Gecko Moria</t>
  </si>
  <si>
    <t>https://i.postimg.cc/PqSky58G/img-chara-gin-orig01-m.png</t>
  </si>
  <si>
    <t>Krieg`s Pirate Armada / Battle Commander ~ Gin</t>
  </si>
  <si>
    <t>023</t>
  </si>
  <si>
    <t>023 Krieg`s Pirate Armada / Battle Commander - Gin</t>
  </si>
  <si>
    <t>https://i.postimg.cc/6QMNcp4D/img-chara-goldenweek-orig01-m.png</t>
  </si>
  <si>
    <t>Baroque Works / Officer Agent ~ Ms. Goldenweek</t>
  </si>
  <si>
    <t>173</t>
  </si>
  <si>
    <t>173 Baroque Works / Officer Agent - Ms. Goldenweek</t>
  </si>
  <si>
    <t>https://i.postimg.cc/vm0dhZ6w/img-chara-hachi-orig01-m.png</t>
  </si>
  <si>
    <t>Arlong Pirates / Officer ~ Hatchan</t>
  </si>
  <si>
    <t>025</t>
  </si>
  <si>
    <t>025 Arlong Pirates / Officer - Hatchan</t>
  </si>
  <si>
    <t>https://i.postimg.cc/SsjbvbcP/img-chara-hack-orig01-m.png</t>
  </si>
  <si>
    <t>Revolutionary Army / Solider ~ Hack</t>
  </si>
  <si>
    <t>265</t>
  </si>
  <si>
    <t>265 Revolutionary Army / Solider - Hack</t>
  </si>
  <si>
    <t>https://i.postimg.cc/B6tfVf2d/img-chara-hawkins-wano01-m.png</t>
  </si>
  <si>
    <t>Land of Wano ~ Basil Hawkins</t>
  </si>
  <si>
    <t>083</t>
  </si>
  <si>
    <t>083 Land of Wano - Basil Hawkins</t>
  </si>
  <si>
    <t>https://i.postimg.cc/0Qr1B1pR/img-chara-helmeppo-ltco01-m.png</t>
  </si>
  <si>
    <t>Navy HQ / Lt. Commander ~ Helmeppo</t>
  </si>
  <si>
    <t>307</t>
  </si>
  <si>
    <t>307 Navy HQ / Lt. Commander - Helmeppo</t>
  </si>
  <si>
    <t>https://i.postimg.cc/63TxmxCk/img-chara-helmeppo-orig01-m.png</t>
  </si>
  <si>
    <t>The Idiot Son ~ Helmeppo</t>
  </si>
  <si>
    <t>013</t>
  </si>
  <si>
    <t>013 The Idiot Son - Helmeppo</t>
  </si>
  <si>
    <t>https://i.postimg.cc/sX1CNCpC/img-chara-higuma-orig01-m.png</t>
  </si>
  <si>
    <t>Mountain Bandits / Leader ~ Higuma the Bear</t>
  </si>
  <si>
    <t>010</t>
  </si>
  <si>
    <t>010 Mountain Bandits / Leader - Higuma the Bear</t>
  </si>
  <si>
    <t>https://i.postimg.cc/d1Dcxc8K/img-chara-hina-2yaf01-m.png</t>
  </si>
  <si>
    <t>Navy HQ / Rear Admiral ~ Hina</t>
  </si>
  <si>
    <t>114</t>
  </si>
  <si>
    <t>114 Navy HQ / Rear Admiral - Hina</t>
  </si>
  <si>
    <t>https://i.postimg.cc/Y9jBsB1H/img-chara-hody-orig01-m.png</t>
  </si>
  <si>
    <t>New Fish-Man Pirates / Captain ~ Hody Jones</t>
  </si>
  <si>
    <t>256</t>
  </si>
  <si>
    <t>256 New Fish-Man Pirates / Captain - Hody Jones</t>
  </si>
  <si>
    <t>https://i.postimg.cc/76brWrg4/img-chara-hyogoro-orig01-m.png</t>
  </si>
  <si>
    <t>Hyogoro Family / Big Boss ~ Hyogoro</t>
  </si>
  <si>
    <t>229</t>
  </si>
  <si>
    <t>229 Hyogoro Family / Big Boss - Hyogoro</t>
  </si>
  <si>
    <t>https://i.postimg.cc/Kz4hHhnF/img-chara-ichiji-orig01-m.png</t>
  </si>
  <si>
    <t>Germa 66 ~ Vinsmoke Ichiji</t>
  </si>
  <si>
    <t>313</t>
  </si>
  <si>
    <t>313 Germa 66 - Vinsmoke Ichiji</t>
  </si>
  <si>
    <t>https://i.postimg.cc/mDhW5WQB/img-chara-ideo-orig01-m.png</t>
  </si>
  <si>
    <t>Triple-X-Level Boxer ~ Ideo</t>
  </si>
  <si>
    <t>247</t>
  </si>
  <si>
    <t>247 Triple-X-Level Boxer - Ideo</t>
  </si>
  <si>
    <t>https://i.postimg.cc/XJX6z6wn/img-chara-inazuma-orig01-m.png</t>
  </si>
  <si>
    <t>Revolutionary Army / Officer ~ Inazuma</t>
  </si>
  <si>
    <t>266</t>
  </si>
  <si>
    <t>266 Revolutionary Army / Officer - Inazuma</t>
  </si>
  <si>
    <t>https://i.postimg.cc/3RWQcQgK/img-chara-inuarashi-orig01-m.png</t>
  </si>
  <si>
    <t>King of the Day ~ Dogstorm</t>
  </si>
  <si>
    <t>164</t>
  </si>
  <si>
    <t>164 King of the Day - Dogstorm</t>
  </si>
  <si>
    <t>https://i.postimg.cc/k4DPpPxJ/img-chara-ivankov-orig01-m.png</t>
  </si>
  <si>
    <t>Revolutoonary Army ~ Emporio Ivankov</t>
  </si>
  <si>
    <t>118</t>
  </si>
  <si>
    <t>118 Revolutoonary Army - Emporio Ivankov</t>
  </si>
  <si>
    <t>https://i.postimg.cc/ZR0zMzrR/img-chara-izo-orig01-m.png</t>
  </si>
  <si>
    <t>Former Whitebeard Pirates / 16th Division Commander ~ Izo</t>
  </si>
  <si>
    <t>193</t>
  </si>
  <si>
    <t>193 Former Whitebeard Pirates / 16th Division Commander - Izo</t>
  </si>
  <si>
    <t>https://i.postimg.cc/85sg0ghC/img-chara-jabra-jinj01-m.png</t>
  </si>
  <si>
    <t>CP9 ~ Jabra</t>
  </si>
  <si>
    <t>292</t>
  </si>
  <si>
    <t>292 CP9 - Jabra</t>
  </si>
  <si>
    <t>https://i.postimg.cc/Hxj1h1Qj/img-chara-jack-orig01-m.png</t>
  </si>
  <si>
    <t>Animal Kingdom Pirates / Lead Performer ~ Jack</t>
  </si>
  <si>
    <t>195</t>
  </si>
  <si>
    <t>195 Animal Kingdom Pirates / Lead Performer - Jack</t>
  </si>
  <si>
    <t>https://i.postimg.cc/G29n5nkH/img-chara-jinbe-2yaf01-m.png</t>
  </si>
  <si>
    <t>Whole Cake Island ~ Jinbe</t>
  </si>
  <si>
    <t>190</t>
  </si>
  <si>
    <t>190 Whole Cake Island - Jinbe</t>
  </si>
  <si>
    <t>https://i.postimg.cc/JntC2Cbs/img-chara-jinbe-atta01-m.png</t>
  </si>
  <si>
    <t>Raid on Onigashima ~ Jinbe</t>
  </si>
  <si>
    <t>236</t>
  </si>
  <si>
    <t>236 Raid on Onigashima - Jinbe</t>
  </si>
  <si>
    <t>https://i.postimg.cc/wv3YGYhy/img-chara-jinbe-eggh01-m.png</t>
  </si>
  <si>
    <t>Egghead ~ Jinbe</t>
  </si>
  <si>
    <t>335</t>
  </si>
  <si>
    <t>335 Egghead - Jinbe</t>
  </si>
  <si>
    <t>https://i.postimg.cc/XJX6z6wB/img-chara-jinbe-orig01-m.png</t>
  </si>
  <si>
    <t>The Seven Warlords of the Sea ~ Jinbe</t>
  </si>
  <si>
    <t>091</t>
  </si>
  <si>
    <t>091 The Seven Warlords of the Sea - Jinbe</t>
  </si>
  <si>
    <t>https://i.postimg.cc/PxNnRnm8/img-chara-johnny-orig01-m.png</t>
  </si>
  <si>
    <t>Bounty Hunter ~ Johnny</t>
  </si>
  <si>
    <t>019</t>
  </si>
  <si>
    <t>019 Bounty Hunter - Johnny</t>
  </si>
  <si>
    <t>https://i.postimg.cc/V6TPyZRs/img-chara-jozu-orig01-m.png</t>
  </si>
  <si>
    <t>Whitebeard Pirates / 3rd Division Commander ~ Jozu</t>
  </si>
  <si>
    <t>203</t>
  </si>
  <si>
    <t>203 Whitebeard Pirates / 3rd Division Commander - Jozu</t>
  </si>
  <si>
    <t>https://i.postimg.cc/j59YV3Xj/img-chara-judge-orig01-m.png</t>
  </si>
  <si>
    <t>Germa 66 / Generalissimo ~ Vinsmoke Judge</t>
  </si>
  <si>
    <t>199</t>
  </si>
  <si>
    <t>199 Germa 66 / Generalissimo - Vinsmoke Judge 1</t>
  </si>
  <si>
    <t>https://i.postimg.cc/0Q31gXfQ/img-chara-judge-orig01-str-m.png</t>
  </si>
  <si>
    <t>199 Germa 66 / Generalissimo - Vinsmoke Judge 2</t>
  </si>
  <si>
    <t>https://i.postimg.cc/fLFQ4qKy/img-chara-kaido-drag01-m.png</t>
  </si>
  <si>
    <t>The Strongest Creature Alive ~ Kaido</t>
  </si>
  <si>
    <t>197</t>
  </si>
  <si>
    <t>197 The Strongest Creature Alive - Kaido</t>
  </si>
  <si>
    <t>https://i.postimg.cc/QtPZLYbH/img-chara-kaido-jinj01-m.png</t>
  </si>
  <si>
    <t>Battle of Monsters on Onigashima ~ Kaido</t>
  </si>
  <si>
    <t>234</t>
  </si>
  <si>
    <t>234 Battle of Monsters on Onigashima - Kaido</t>
  </si>
  <si>
    <t>https://i.postimg.cc/nz5f8Sks/img-chara-kaido-orig01-m.png</t>
  </si>
  <si>
    <t>Animal Kingdom Pirates / Supreme Commander ~ Kaido</t>
  </si>
  <si>
    <t>099</t>
  </si>
  <si>
    <t>099 Animal Kingdom Pirates / Supreme Commander - Kaido</t>
  </si>
  <si>
    <t>https://i.postimg.cc/sX8CFHcZ/img-chara-kaku-eggh01-m.png</t>
  </si>
  <si>
    <t>Awakened Form ~ Kaku</t>
  </si>
  <si>
    <t>294</t>
  </si>
  <si>
    <t>294 Awakened Form - Kaku</t>
  </si>
  <si>
    <t>https://i.postimg.cc/V6TPyZRr/img-chara-kaku-orig01-m.png</t>
  </si>
  <si>
    <t>CP9 ~ Kaku</t>
  </si>
  <si>
    <t>111</t>
  </si>
  <si>
    <t>111 CP9 - Kaku</t>
  </si>
  <si>
    <t>https://i.postimg.cc/fLFQ4qK9/img-chara-kalgara-sora01-m.png</t>
  </si>
  <si>
    <t>The Great Warrior of Shandora ~ Kalgara</t>
  </si>
  <si>
    <t>282</t>
  </si>
  <si>
    <t>282 The Great Warrior of Shandora - Kalgara</t>
  </si>
  <si>
    <t>https://i.postimg.cc/JngCwYqX/img-chara-kanjuro-orig01-m.png</t>
  </si>
  <si>
    <t>Kurozumi Spy ~ Kurozumi Kanjuro</t>
  </si>
  <si>
    <t>192</t>
  </si>
  <si>
    <t>192 Kurozumi Spy - Kurozumi Kanjuro</t>
  </si>
  <si>
    <t>https://i.postimg.cc/TwSv8N9n/img-chara-karasu-orig01-m.png</t>
  </si>
  <si>
    <t>Revolutionary Army / Captain of the Northern Forces ~ Karasu</t>
  </si>
  <si>
    <t>267</t>
  </si>
  <si>
    <t>267 Revolutionary Army / Captain of the Northern Forces - Karasu</t>
  </si>
  <si>
    <t>https://i.postimg.cc/rmb26ZJS/img-chara-katakuri-face01-m.png</t>
  </si>
  <si>
    <t>Superhuman ~ Charlotte Katakuri</t>
  </si>
  <si>
    <t>135</t>
  </si>
  <si>
    <t>135 Superhuman - Charlotte Katakuri</t>
  </si>
  <si>
    <t>https://i.postimg.cc/FRqXtCZg/img-chara-katakuri-orig01-m.png</t>
  </si>
  <si>
    <t>Big Mom Pirates / "Sweet 3" General ~ Charlotte Katakuri</t>
  </si>
  <si>
    <t>086</t>
  </si>
  <si>
    <t>086 Big Mom Pirates / "Sweet 3" General - Charlotte Katakuri</t>
  </si>
  <si>
    <t>https://i.postimg.cc/QtPZLYbm/img-chara-kawamatsu-orig01-m.png</t>
  </si>
  <si>
    <t>Kozuki Clan / Servant ~ Kawamatsu</t>
  </si>
  <si>
    <t>152</t>
  </si>
  <si>
    <t>152 Kozuki Clan / Servant - Kawamatsu</t>
  </si>
  <si>
    <t>https://i.postimg.cc/76crvtVN/img-chara-kaya-orig01-m.png</t>
  </si>
  <si>
    <t>Girl from Syrub Village ~ Kaya</t>
  </si>
  <si>
    <t>037</t>
  </si>
  <si>
    <t>037 Girl from Syrub Village - Kaya</t>
  </si>
  <si>
    <t>https://i.postimg.cc/853g8XHw/img-chara-kid-2yaf01-m.png</t>
  </si>
  <si>
    <t>New World ~ Eustass Kid</t>
  </si>
  <si>
    <t>125</t>
  </si>
  <si>
    <t>125 New World - Eustass Kid</t>
  </si>
  <si>
    <t>https://i.postimg.cc/mDqWxpw8/img-chara-kid-atta01-m.png</t>
  </si>
  <si>
    <t>Raid on Onigashima ~ Eustass Kid</t>
  </si>
  <si>
    <t>170</t>
  </si>
  <si>
    <t>170 Raid on Onigashima - Eustass Kid</t>
  </si>
  <si>
    <t>https://i.postimg.cc/qRYHfDL1/img-chara-kid-orig01-m.png</t>
  </si>
  <si>
    <t>Kid Pirates / Captain ~ Eustass Kid</t>
  </si>
  <si>
    <t>058</t>
  </si>
  <si>
    <t>058 Kid Pirates / Captain - Eustass Kid</t>
  </si>
  <si>
    <t>https://i.postimg.cc/JngCwYqT/img-chara-kidlaw-doub01-01-m.png</t>
  </si>
  <si>
    <t>Battle of Monsters on Onigashima ~ Kid &amp; Law</t>
  </si>
  <si>
    <t>257</t>
  </si>
  <si>
    <t>257 Battle of Monsters on Onigashima - Kid &amp; Law 2 1</t>
  </si>
  <si>
    <t>https://i.postimg.cc/vBjwR2z2/img-chara-kidlaw-doub01-02-m.png</t>
  </si>
  <si>
    <t>257 Battle of Monsters on Onigashima - Kid &amp; Law 2 2</t>
  </si>
  <si>
    <t>https://i.postimg.cc/j59YV3Xk/img-chara-kidlaw-doub01-m.png</t>
  </si>
  <si>
    <t>257 Battle of Monsters on Onigashima - Kid &amp; Law 1</t>
  </si>
  <si>
    <t>https://i.postimg.cc/zvgZqwtC/img-chara-kikunojo-orig01-m.png</t>
  </si>
  <si>
    <t>Most Handsome Swordman in the Land of Wano ~ Kikunojo</t>
  </si>
  <si>
    <t>151</t>
  </si>
  <si>
    <t>151 Most Handsome Swordman in the Land of Wano - Kikunojo</t>
  </si>
  <si>
    <t>https://i.postimg.cc/MHQ2z0Pb/img-chara-killer-2yaf01-m.png</t>
  </si>
  <si>
    <t>Kid Pirates / Fighter ~ Killer</t>
  </si>
  <si>
    <t>124</t>
  </si>
  <si>
    <t>124 Kid Pirates / Fighter - Killer</t>
  </si>
  <si>
    <t>https://i.postimg.cc/ZndtJP7f/img-chara-killer-atta01-m.png</t>
  </si>
  <si>
    <t>Raid on Onigashima ~ Killer</t>
  </si>
  <si>
    <t>258</t>
  </si>
  <si>
    <t>258 Raid on Onigashima - Killer</t>
  </si>
  <si>
    <t>https://i.postimg.cc/NFHqQ8JD/img-chara-kinemon-orig01-m.png</t>
  </si>
  <si>
    <t>Kozuki Clan / Servant ~ Kin'emon</t>
  </si>
  <si>
    <t>145</t>
  </si>
  <si>
    <t>145 Kozuki Clan / Servant - Kin'emon</t>
  </si>
  <si>
    <t>https://i.postimg.cc/8c6QTdKw/img-chara-king-face01-m.png</t>
  </si>
  <si>
    <t>Lunarian ~ Alber</t>
  </si>
  <si>
    <t>263</t>
  </si>
  <si>
    <t>263 Lunarian - Alber</t>
  </si>
  <si>
    <t>https://i.postimg.cc/4y9kXvLL/img-chara-king-orig01-bs01-m.png</t>
  </si>
  <si>
    <t>Animal Kingdom Pirates / Lead Performer ~ King</t>
  </si>
  <si>
    <t>231</t>
  </si>
  <si>
    <t>231 Animal Kingdom Pirates / Lead Performer - King</t>
  </si>
  <si>
    <t>https://i.postimg.cc/x8zD9Gx7/img-chara-kizaru-orig01-m.png</t>
  </si>
  <si>
    <t>Navy HQ / Admiral Kizaru ~ [Borsalino]</t>
  </si>
  <si>
    <t>068</t>
  </si>
  <si>
    <t>068 Navy HQ / Admiral Kizaru - [Borsalino]</t>
  </si>
  <si>
    <t>https://i.postimg.cc/L51KmkCW/img-chara-kizaru-swor01-m.png</t>
  </si>
  <si>
    <t>Ama no Murakumo Sword Kizaru ~ [Borsalino]</t>
  </si>
  <si>
    <t>324</t>
  </si>
  <si>
    <t>324 Ama no Murakumo Sword Kizaru - [Borsalino]</t>
  </si>
  <si>
    <t>https://i.postimg.cc/XqCSnKHT/img-chara-koala-orig01-m.png</t>
  </si>
  <si>
    <t>Assistant Fish-Man Karate Master ~ Koala</t>
  </si>
  <si>
    <t>311</t>
  </si>
  <si>
    <t>311 Assistant Fish-Man Karate Master - Koala</t>
  </si>
  <si>
    <t>https://i.postimg.cc/1Xqhy0Ck/img-chara-koala-orig01-str-m.png</t>
  </si>
  <si>
    <t>311 Assistant Fish-Man Karate Master - Koala 2</t>
  </si>
  <si>
    <t>https://i.postimg.cc/FzL5hbC5/img-chara-koala-vale01-m.png</t>
  </si>
  <si>
    <t>Revolutionary Army / Officer ~ Koala</t>
  </si>
  <si>
    <t>160</t>
  </si>
  <si>
    <t>160 Revolutionary Army / Officer - Koala 1</t>
  </si>
  <si>
    <t>https://i.postimg.cc/d3yPJRNY/img-chara-kumabonie-doub01-01-m.png</t>
  </si>
  <si>
    <t>Father and Daughter ~ Kuma &amp; Bonney</t>
  </si>
  <si>
    <t>336</t>
  </si>
  <si>
    <t>336 Father and Daughter - Kuma &amp; Bonney 2 1</t>
  </si>
  <si>
    <t>https://i.postimg.cc/BbK9J574/img-chara-kumabonie-doub01-02-m.png</t>
  </si>
  <si>
    <t>336 Father and Daughter - Kuma &amp; Bonney 2 2</t>
  </si>
  <si>
    <t>https://i.postimg.cc/NFHqQ8CG/img-chara-kumabonie-doub01-m.png</t>
  </si>
  <si>
    <t>336 Father and Daughter - Kuma &amp; Bonney 1</t>
  </si>
  <si>
    <t>https://i.postimg.cc/5jWcyHTh/img-chara-kungfudugong-orig01-m.png</t>
  </si>
  <si>
    <t>Disciple of the Martial Arts ~ Kung Fu Jugon</t>
  </si>
  <si>
    <t>245</t>
  </si>
  <si>
    <t>245 Disciple of the Martial Arts - Kung Fu Jugon</t>
  </si>
  <si>
    <t>https://i.postimg.cc/Sjb0RXH0/img-chara-kuro-orig01-m.png</t>
  </si>
  <si>
    <t>Black Cat Pirates / Former Captain ~ Captain Kuro</t>
  </si>
  <si>
    <t>021</t>
  </si>
  <si>
    <t>021 Black Cat Pirates / Former Captain - Captain Kuro</t>
  </si>
  <si>
    <t>https://i.postimg.cc/bdfXrG4j/img-chara-kuroobi-orig01-m.png</t>
  </si>
  <si>
    <t>Arlong Pirates / Officer ~ Kuroobi</t>
  </si>
  <si>
    <t>026</t>
  </si>
  <si>
    <t>026 Arlong Pirates / Officer - Kuroobi</t>
  </si>
  <si>
    <t>https://i.postimg.cc/yWCqxJ2H/img-chara-kyoshiro-orig01-m.png</t>
  </si>
  <si>
    <t>Kyoshiro Family / Boss ~ Napping Kyoshiro</t>
  </si>
  <si>
    <t>155</t>
  </si>
  <si>
    <t>155 Kyoshiro Family / Boss - Napping Kyoshiro</t>
  </si>
  <si>
    <t>https://i.postimg.cc/mhWxkcK4/img-chara-law-2yaf01-m.png</t>
  </si>
  <si>
    <t>Surgeon of Death ~ Trafalger Law</t>
  </si>
  <si>
    <t>131</t>
  </si>
  <si>
    <t>131 Surgeon of Death - Trafalger Law</t>
  </si>
  <si>
    <t>https://i.postimg.cc/F1XtzfwN/img-chara-law-atta01-m.png</t>
  </si>
  <si>
    <t>Raid on Onigashima ~ Trafalger Law</t>
  </si>
  <si>
    <t>171</t>
  </si>
  <si>
    <t>171 Raid on Onigashima - Trafalger Law</t>
  </si>
  <si>
    <t>https://i.postimg.cc/vDwRT1C8/img-chara-law-orig01-m.png</t>
  </si>
  <si>
    <t>Heart Pirates / Captain ~ Trafalger Law</t>
  </si>
  <si>
    <t>059</t>
  </si>
  <si>
    <t>059 Heart Pirates / Captain - Trafalger Law</t>
  </si>
  <si>
    <t>https://i.postimg.cc/Z0zkn9XK/img-chara-law-wano01-m.png</t>
  </si>
  <si>
    <t>Land of Wano ~ Trafalgar Law</t>
  </si>
  <si>
    <t>082</t>
  </si>
  <si>
    <t>082 Land of Wano - Trafalgar Law</t>
  </si>
  <si>
    <t>https://i.postimg.cc/XX6MqZtv/img-chara-law-winn01-m.png</t>
  </si>
  <si>
    <t>Winner Island ~ Trafalgar Law</t>
  </si>
  <si>
    <t>339</t>
  </si>
  <si>
    <t>339 Winner Island - Trafalgar Law</t>
  </si>
  <si>
    <t>https://i.postimg.cc/0r1gj6hQ/img-chara-leo-orig01-m.png</t>
  </si>
  <si>
    <t>Tontatta Pirates / Captain ~ Leo</t>
  </si>
  <si>
    <t>319</t>
  </si>
  <si>
    <t>319 Tontatta Pirates / Captain - Leo</t>
  </si>
  <si>
    <t>https://i.postimg.cc/XX6MqZtq/img-chara-lilith-orig01-m.png</t>
  </si>
  <si>
    <t>Punk-02 ~ Lilith</t>
  </si>
  <si>
    <t>300</t>
  </si>
  <si>
    <t>300 Punk-02 - Lilith</t>
  </si>
  <si>
    <t>https://i.postimg.cc/fkQ4y31J/img-chara-lucci-2yaf01-m.png</t>
  </si>
  <si>
    <t>CP0 ~ Rob Lucci</t>
  </si>
  <si>
    <t>129</t>
  </si>
  <si>
    <t>129 CP0 - Rob Lucci</t>
  </si>
  <si>
    <t>https://i.postimg.cc/7brvhCjC/img-chara-lucci-eggh01-m.png</t>
  </si>
  <si>
    <t>Awakened Form ~ Rob Lucci</t>
  </si>
  <si>
    <t>293</t>
  </si>
  <si>
    <t>293 Awakened Form - Rob Lucci</t>
  </si>
  <si>
    <t>https://i.postimg.cc/pyMNr93h/img-chara-lucci-orig01-m.png</t>
  </si>
  <si>
    <t>CP9 ~ Rob Lucci</t>
  </si>
  <si>
    <t>110</t>
  </si>
  <si>
    <t>110 CP9 - Rob Lucci</t>
  </si>
  <si>
    <t>https://i.postimg.cc/qgHfqtWK/img-chara-luffy-2yaf01-m.png</t>
  </si>
  <si>
    <t>2 Years Later / Captain ~ Monkey D. Luffy</t>
  </si>
  <si>
    <t>060</t>
  </si>
  <si>
    <t>060 2 Years Later / Captain - Monkey D. Luffy</t>
  </si>
  <si>
    <t>https://i.postimg.cc/Thv81yBm/img-chara-luffy-afro01-m.png</t>
  </si>
  <si>
    <t>Davy Back Fight ~ Monkey D. Luffy</t>
  </si>
  <si>
    <t>321</t>
  </si>
  <si>
    <t>321 Davy Back Fight - Monkey D. Luffy</t>
  </si>
  <si>
    <t>https://i.postimg.cc/8sg8cFxM/img-chara-luffy-alab01-m.png</t>
  </si>
  <si>
    <t>Gum-Gum Storm ~ Monkey D. Luffy</t>
  </si>
  <si>
    <t>043</t>
  </si>
  <si>
    <t>043 Gum-Gum Storm - Monkey D. Luffy</t>
  </si>
  <si>
    <t>https://i.postimg.cc/s1CFxBb5/img-chara-luffy-atta01-m.png</t>
  </si>
  <si>
    <t>Raid on Onigashima ~ Monkey D. Luffy</t>
  </si>
  <si>
    <t>168</t>
  </si>
  <si>
    <t>168 Raid on Onigashima - Monkey D. Luffy</t>
  </si>
  <si>
    <t>https://i.postimg.cc/Z0zkn9Xr/img-chara-luffy-boun01-m.png</t>
  </si>
  <si>
    <t>Gear Four / Bounceman ~ Monkey D. Luffy</t>
  </si>
  <si>
    <t>080</t>
  </si>
  <si>
    <t>080 Gear Four / Bounceman - Monkey D. Luffy</t>
  </si>
  <si>
    <t>https://i.postimg.cc/05MbzLhf/img-chara-luffy-dres01-m.png</t>
  </si>
  <si>
    <t>Luffy &amp; Law Pirate Alliance ~ Monkey D. Luffy</t>
  </si>
  <si>
    <t>146</t>
  </si>
  <si>
    <t>146 Luffy &amp; Law Pirate Alliance - Monkey D. Luffy 1</t>
  </si>
  <si>
    <t>https://i.postimg.cc/wxy71Sn2/img-chara-luffy-dres01-str-m.png</t>
  </si>
  <si>
    <t>146 Luffy &amp; Law Pirate Alliance - Monkey D. Luffy 2</t>
  </si>
  <si>
    <t>https://i.postimg.cc/v8gc4pCX/img-chara-luffy-eg5n01-m.png</t>
  </si>
  <si>
    <t>The Four Emperors ~ Monkey D. Luffy</t>
  </si>
  <si>
    <t>329</t>
  </si>
  <si>
    <t>329 The Four Emperors - Monkey D. Luffy</t>
  </si>
  <si>
    <t>https://i.postimg.cc/7PGf5pjB/img-chara-luffy-eggh01-m.png</t>
  </si>
  <si>
    <t>Egghead ~ Monkey D. Luffy</t>
  </si>
  <si>
    <t>287</t>
  </si>
  <si>
    <t>287 Egghead - Monkey D. Luffy</t>
  </si>
  <si>
    <t>https://i.postimg.cc/DfJ8StRB/img-chara-luffy-fift01-m.png</t>
  </si>
  <si>
    <t>Gear Five ~ Monkey D. Luffy</t>
  </si>
  <si>
    <t>260</t>
  </si>
  <si>
    <t>260 Gear Five - Monkey D. Luffy</t>
  </si>
  <si>
    <t>https://i.postimg.cc/xjJcXWBx/img-chara-luffy-nigh01-m.png</t>
  </si>
  <si>
    <t>Ray of Hope ~ Nightmare Luffy</t>
  </si>
  <si>
    <t>087</t>
  </si>
  <si>
    <t>087 Ray of Hope - Nightmare Luffy</t>
  </si>
  <si>
    <t>https://i.postimg.cc/XNGprTt1/img-chara-luffy-nost01-m.png</t>
  </si>
  <si>
    <t>30 Million Berry Bounty ~ Monkey D. Luffy</t>
  </si>
  <si>
    <t>040</t>
  </si>
  <si>
    <t>040 30 Million Berry Bounty - Monkey D. Luffy</t>
  </si>
  <si>
    <t>https://i.postimg.cc/BZLXjdRw/img-chara-luffy-orig01-m.png</t>
  </si>
  <si>
    <t>Straw Hat Pirates / Captain ~ Monkey D. Luffy</t>
  </si>
  <si>
    <t>001</t>
  </si>
  <si>
    <t>001 Straw Hat Pirates / Captain - Monkey D. Luffy</t>
  </si>
  <si>
    <t>https://i.postimg.cc/bYDsZK4B/img-chara-luffy-snak01-m.png</t>
  </si>
  <si>
    <t>Gear Four / Snakeman ~ Monkey D. Luffy</t>
  </si>
  <si>
    <t>119</t>
  </si>
  <si>
    <t>119 Gear Four / Snakeman - Monkey D. Luffy</t>
  </si>
  <si>
    <t>https://i.postimg.cc/pVhpmg3S/img-chara-luffy-stam01-m.png</t>
  </si>
  <si>
    <t>STAMPEDE ~ Monkey D. Luffy</t>
  </si>
  <si>
    <t>078</t>
  </si>
  <si>
    <t>078 STAMPEDE - Monkey D. Luffy</t>
  </si>
  <si>
    <t>https://i.postimg.cc/1Rnf8LbT/img-chara-luffy-tera01-m.png</t>
  </si>
  <si>
    <t>FILM RED ~ Monkey D. Luffy</t>
  </si>
  <si>
    <t>217</t>
  </si>
  <si>
    <t>217 FILM RED - Monkey D. Luffy</t>
  </si>
  <si>
    <t>https://i.postimg.cc/ry0KDv73/img-chara-luffy-thou01-m.png</t>
  </si>
  <si>
    <t>Man Who Dreams of Becoming the King of the Pirates ~ Monkey D. Luffy</t>
  </si>
  <si>
    <t>198</t>
  </si>
  <si>
    <t>198 Man Who Dreams of Becoming the King of the Pirates - Monkey D. Luffy</t>
  </si>
  <si>
    <t>https://i.postimg.cc/sfQvMtbk/img-chara-luffy-topw01-m.png</t>
  </si>
  <si>
    <t>The Parmount War ~ Monkey D. Luffy</t>
  </si>
  <si>
    <t>105</t>
  </si>
  <si>
    <t>105 The Parmount War - Monkey D. Luffy 1</t>
  </si>
  <si>
    <t>https://i.postimg.cc/sfQvMttd/img-chara-luffy-topw01-str-m.png</t>
  </si>
  <si>
    <t>105 The Parmount War - Monkey D. Luffy 2</t>
  </si>
  <si>
    <t>https://i.postimg.cc/gcXnxffb/img-chara-luffy-wano01-m.png</t>
  </si>
  <si>
    <t>Land of Wano ~ Luffytaro</t>
  </si>
  <si>
    <t>128</t>
  </si>
  <si>
    <t>128 Land of Wano - Luffytaro</t>
  </si>
  <si>
    <t>https://i.postimg.cc/2jbV1PPf/img-chara-magellan-orig01-m.png</t>
  </si>
  <si>
    <t>Impel Down / Warden ~ Magellan</t>
  </si>
  <si>
    <t>117</t>
  </si>
  <si>
    <t>117 Impel Down / Warden - Magellan</t>
  </si>
  <si>
    <t>https://i.postimg.cc/MZMvnhhw/img-chara-marco-bird01-m.png</t>
  </si>
  <si>
    <t>Land of Wano ~ Marco</t>
  </si>
  <si>
    <t>211</t>
  </si>
  <si>
    <t>211 Land of Wano - Marco</t>
  </si>
  <si>
    <t>https://i.postimg.cc/FFd7Y22m/img-chara-marco-orig01-m.png</t>
  </si>
  <si>
    <t>Whitebeard Pirates / 1st Division Commander ~ Marco</t>
  </si>
  <si>
    <t>101</t>
  </si>
  <si>
    <t>101 Whitebeard Pirates / 1st Division Commander - Marco</t>
  </si>
  <si>
    <t>https://i.postimg.cc/05MbzLLQ/img-chara-mihawk-orig01-m.png</t>
  </si>
  <si>
    <t>The Seven Warlords of the Sea ~ Dracule Mihawk</t>
  </si>
  <si>
    <t>038</t>
  </si>
  <si>
    <t>038 The Seven Warlords of the Sea - Dracule Mihawk</t>
  </si>
  <si>
    <t>https://i.postimg.cc/qBhzN99q/img-chara-mihawk-shik01-m.png</t>
  </si>
  <si>
    <t>The Greatest Swordman in the World ~ Dracule Mihawk</t>
  </si>
  <si>
    <t>138</t>
  </si>
  <si>
    <t>138 The Greatest Swordman in the World - Dracule Mihawk</t>
  </si>
  <si>
    <t>https://i.postimg.cc/7PFb0Kky/img-chara-momonosuke-orig01-m.png</t>
  </si>
  <si>
    <t>Shogun of Wano ~ Kozuki Momonosuke</t>
  </si>
  <si>
    <t>274</t>
  </si>
  <si>
    <t>274 Shogun of Wano - Kozuki Momonosuke</t>
  </si>
  <si>
    <t>https://i.postimg.cc/mZvhCmss/img-chara-monet-orig01-m.png</t>
  </si>
  <si>
    <t>Don Quixote Pirates / Officer ~ Monet</t>
  </si>
  <si>
    <t>186</t>
  </si>
  <si>
    <t>186 Don Quixote Pirates / Officer - Monet</t>
  </si>
  <si>
    <t>https://i.postimg.cc/dQbDr5YJ/img-chara-morgan-orig01-m.png</t>
  </si>
  <si>
    <t>Navy Captain ~ Morgan</t>
  </si>
  <si>
    <t>014</t>
  </si>
  <si>
    <t>014 Navy Captain - Morgan</t>
  </si>
  <si>
    <t>https://i.postimg.cc/59hjLsV9/img-chara-mr2bonkure-impe01-m.png</t>
  </si>
  <si>
    <t>Impel Down / Prisoner ~ Bon Clay, aka Mr. 2</t>
  </si>
  <si>
    <t>169</t>
  </si>
  <si>
    <t>169 Impel Down / Prisoner - Bon Clay, aka Mr. 2</t>
  </si>
  <si>
    <t>https://i.postimg.cc/c1p6wFS4/img-chara-mr2bonkure-orig01-m.png</t>
  </si>
  <si>
    <t>Baroque Works / Officer Agent ~ Bon Clay, aka Mr. 2</t>
  </si>
  <si>
    <t>051</t>
  </si>
  <si>
    <t>051 Baroque Works / Officer Agent - Bon Clay, aka Mr. 2</t>
  </si>
  <si>
    <t>https://i.postimg.cc/7PFb0KkH/img-chara-mr3galdino-orig01-m.png</t>
  </si>
  <si>
    <t>Baroque Works / Officer Agent ~ Mr. 3</t>
  </si>
  <si>
    <t>172</t>
  </si>
  <si>
    <t>172 Baroque Works / Officer Agent - Mr. 3</t>
  </si>
  <si>
    <t>https://i.postimg.cc/bY7dkmhw/img-chara-nami-2yaf01-m.png</t>
  </si>
  <si>
    <t>2 Years Later / Navigator ~ Nami</t>
  </si>
  <si>
    <t>063</t>
  </si>
  <si>
    <t>063 2 Years Later / Navigator - Nami</t>
  </si>
  <si>
    <t>https://i.postimg.cc/FFM13T4z/img-chara-nami-alab01-m.png</t>
  </si>
  <si>
    <t>Climate Baton ~ Nami</t>
  </si>
  <si>
    <t>031</t>
  </si>
  <si>
    <t>031 Climate Baton - Nami</t>
  </si>
  <si>
    <t>https://i.postimg.cc/xjwqM62q/img-chara-nami-atta01-m.png</t>
  </si>
  <si>
    <t>Raid on Onigashima ~ Nami</t>
  </si>
  <si>
    <t>251</t>
  </si>
  <si>
    <t>251 Raid on Onigashima - Nami</t>
  </si>
  <si>
    <t>https://i.postimg.cc/gcCr8gWn/img-chara-nami-brid01-m.png</t>
  </si>
  <si>
    <t>Imprisoned Bride ~ Nami</t>
  </si>
  <si>
    <t>090</t>
  </si>
  <si>
    <t>090 Imprisoned Bride - Nami</t>
  </si>
  <si>
    <t>https://i.postimg.cc/L4chLxpq/img-chara-nami-cake01-m.png</t>
  </si>
  <si>
    <t>Whole Cake Island ~ Nami</t>
  </si>
  <si>
    <t>187</t>
  </si>
  <si>
    <t>187 Whole Cake Island - Nami</t>
  </si>
  <si>
    <t>https://i.postimg.cc/pVwyzsHF/img-chara-nami-eggh01-m.png</t>
  </si>
  <si>
    <t>Egghead ~ Nami</t>
  </si>
  <si>
    <t>327</t>
  </si>
  <si>
    <t>327 Egghead - Nami</t>
  </si>
  <si>
    <t>https://i.postimg.cc/Y25jYdHF/img-chara-nami-orig01-m.png</t>
  </si>
  <si>
    <t>Straw Hat Pirates / Navigator ~ Nami</t>
  </si>
  <si>
    <t>003</t>
  </si>
  <si>
    <t>003 Straw Hat Pirates / Navigator - Nami</t>
  </si>
  <si>
    <t>https://i.postimg.cc/y6MWcLHF/img-chara-nami-swim01-m.png</t>
  </si>
  <si>
    <t>Bikini ~ Nami</t>
  </si>
  <si>
    <t>073</t>
  </si>
  <si>
    <t>073 Bikini - Nami</t>
  </si>
  <si>
    <t>https://i.postimg.cc/RCkqKgB1/img-chara-nami-tera01-m.png</t>
  </si>
  <si>
    <t>FILM RED ~ Nami</t>
  </si>
  <si>
    <t>220</t>
  </si>
  <si>
    <t>220 FILM RED - Nami</t>
  </si>
  <si>
    <t>https://i.postimg.cc/MZCXV9Sb/img-chara-nami-wano01-m.png</t>
  </si>
  <si>
    <t>Land of Wano ~ Onami</t>
  </si>
  <si>
    <t>127</t>
  </si>
  <si>
    <t>127 Land of Wano - Onami</t>
  </si>
  <si>
    <t>https://i.postimg.cc/MZCXV9Sm/img-chara-nekomamushi-orig01-m.png</t>
  </si>
  <si>
    <t>King of the Night ~ Cat Viper</t>
  </si>
  <si>
    <t>165</t>
  </si>
  <si>
    <t>165 King of the Night - Cat Viper</t>
  </si>
  <si>
    <t>https://i.postimg.cc/FFM13T4Z/img-chara-neptune-orig01-m.png</t>
  </si>
  <si>
    <t>Ryugu Kingdom / King ~ Neptune</t>
  </si>
  <si>
    <t>255</t>
  </si>
  <si>
    <t>255 Ryugu Kingdom / King - Neptune</t>
  </si>
  <si>
    <t>https://i.postimg.cc/65Cq0CWG/img-chara-niji-orig01-m.png</t>
  </si>
  <si>
    <t>Germa 66 ~ Vinsmoke Neji</t>
  </si>
  <si>
    <t>314</t>
  </si>
  <si>
    <t>314 Germa 66 - Vinsmoke Neji</t>
  </si>
  <si>
    <t>https://i.postimg.cc/vH5Tz5Yf/img-chara-noland-sora01-m.png</t>
  </si>
  <si>
    <t>Lvneel Kingdom / Exploration Ship Admiral ~ Mont Blanc Noland</t>
  </si>
  <si>
    <t>283</t>
  </si>
  <si>
    <t>283 Lvneel Kingdom / Exploration Ship Admiral - Mont Blanc Noland</t>
  </si>
  <si>
    <t>https://i.postimg.cc/pXKrZKW8/img-chara-oden-haor01-m.png</t>
  </si>
  <si>
    <t>Heir to the Shogun of Wano ~ Kozuki Oden</t>
  </si>
  <si>
    <t>277</t>
  </si>
  <si>
    <t>277 Heir to the Shogun of Wano - Kozuki Oden</t>
  </si>
  <si>
    <t>https://i.postimg.cc/ncqrkqFm/img-chara-oden-orig01-m.png</t>
  </si>
  <si>
    <t>Daimyo of Kuri ~ Kozuki Oden</t>
  </si>
  <si>
    <t>150</t>
  </si>
  <si>
    <t>150 Daimyo of Kuri - Kozuki Oden</t>
  </si>
  <si>
    <t>https://i.postimg.cc/4Npy5pfp/img-chara-otama-orig01-m.png</t>
  </si>
  <si>
    <t>Land of Wano ~ Otama &amp; Komachiyo</t>
  </si>
  <si>
    <t>272</t>
  </si>
  <si>
    <t>272 Land of Wano - Otama &amp; Komachiyo</t>
  </si>
  <si>
    <t>https://i.postimg.cc/ZK6nc6br/img-chara-oven-orig01-m.png</t>
  </si>
  <si>
    <t>Big Mom Pirates / Crewmate ~ Charoltte Oven</t>
  </si>
  <si>
    <t>242</t>
  </si>
  <si>
    <t>242 Big Mom Pirates / Crewmate - Charoltte Oven</t>
  </si>
  <si>
    <t>https://i.postimg.cc/zXTvjTzC/img-chara-pacifista-orig01-m.png</t>
  </si>
  <si>
    <t>The Navy's Human Weapon ~ Pacifista</t>
  </si>
  <si>
    <t>286</t>
  </si>
  <si>
    <t>286 The Navy's Human Weapon - Pacifista</t>
  </si>
  <si>
    <t>https://i.postimg.cc/wTDMVDqc/img-chara-pageone-orig01-m.png</t>
  </si>
  <si>
    <t>Animal Kingdom Pirates / Tobi Roppo ~ Page One</t>
  </si>
  <si>
    <t>208</t>
  </si>
  <si>
    <t>208 Animal Kingdom Pirates / Tobi Roppo - Page One</t>
  </si>
  <si>
    <t>https://i.postimg.cc/rF5sJ5VN/img-chara-pedro-orig01-m.png</t>
  </si>
  <si>
    <t>Leader of the Whale Forest Guardians ~ Pedro</t>
  </si>
  <si>
    <t>241</t>
  </si>
  <si>
    <t>241 Leader of the Whale Forest Guardians - Pedro</t>
  </si>
  <si>
    <t>https://i.postimg.cc/BQ2bg2Sg/img-chara-pell-orig01-m.png</t>
  </si>
  <si>
    <t>Lieutenant Royal Guard of Alabasta ~ Pell</t>
  </si>
  <si>
    <t>174</t>
  </si>
  <si>
    <t>174 Lieutenant Royal Guard of Alabasta - Pell</t>
  </si>
  <si>
    <t>https://i.postimg.cc/65Cq0CWz/img-chara-perona-2yaf01-m.png</t>
  </si>
  <si>
    <t>Ghost Princess ~ Perona</t>
  </si>
  <si>
    <t>140</t>
  </si>
  <si>
    <t>140 Ghost Princess - Perona</t>
  </si>
  <si>
    <t>https://i.postimg.cc/GhvtQvLX/img-chara-perona-orig01-m.png</t>
  </si>
  <si>
    <t>Thriller Park Pirates / Mysterious Four ~ Perona</t>
  </si>
  <si>
    <t>089</t>
  </si>
  <si>
    <t>089 Thriller Park Pirates / Mysterious Four - Perona</t>
  </si>
  <si>
    <t>https://i.postimg.cc/sD5xc5j6/img-chara-perospero-orig01-m.png</t>
  </si>
  <si>
    <t>Big Mom Pirates / Crewmate ~ Charlotte Perospero</t>
  </si>
  <si>
    <t>210</t>
  </si>
  <si>
    <t>210 Big Mom Pirates / Crewmate - Charlotte Perospero</t>
  </si>
  <si>
    <t>https://i.postimg.cc/Dy10g1vp/img-chara-pudding-cook01-m.png</t>
  </si>
  <si>
    <t>First Act as a Married Couple ~ Charlotte Pudding</t>
  </si>
  <si>
    <t>238</t>
  </si>
  <si>
    <t>238 First Act as a Married Couple - Charlotte Pudding</t>
  </si>
  <si>
    <t>https://i.postimg.cc/Hsbn2bYP/img-chara-pudding-orig01-m.png</t>
  </si>
  <si>
    <t>Big Mom Pirates / Crewmate ~ Charlotte Pudding</t>
  </si>
  <si>
    <t>189</t>
  </si>
  <si>
    <t>189 Big Mom Pirates / Crewmate - Charlotte Pudding 1</t>
  </si>
  <si>
    <t>https://i.postimg.cc/Dy10g1vN/img-chara-pudding-orig01-str-m.png</t>
  </si>
  <si>
    <t>189 Big Mom Pirates / Crewmate - Charlotte Pudding 2</t>
  </si>
  <si>
    <t>https://i.postimg.cc/NfRF4RsS/img-chara-queen-jinj01-m.png</t>
  </si>
  <si>
    <t>Cyborg ~ Queen</t>
  </si>
  <si>
    <t>264</t>
  </si>
  <si>
    <t>264 Cyborg - Queen</t>
  </si>
  <si>
    <t>https://i.postimg.cc/xTL8RLf7/img-chara-queen-orig01-bs01-m.png</t>
  </si>
  <si>
    <t>Animal Kingdom Pirates / Lead Performer ~ Queen</t>
  </si>
  <si>
    <t>196</t>
  </si>
  <si>
    <t>196 Animal Kingdom Pirates / Lead Performer - Queen</t>
  </si>
  <si>
    <t>https://i.postimg.cc/9Fy0pyX5/img-chara-raizo-orig01-m.png</t>
  </si>
  <si>
    <t>Kozuki Clan / Servant ~ Raizo</t>
  </si>
  <si>
    <t>228</t>
  </si>
  <si>
    <t>228 Kozuki Clan / Servant - Raizo</t>
  </si>
  <si>
    <t>https://i.postimg.cc/Fs0zZ0FX/img-chara-rayleigh-2yaf01-m.png</t>
  </si>
  <si>
    <t>Ex-Roger Pirates / First Mate ~ Silvers Rayleigh</t>
  </si>
  <si>
    <t>280</t>
  </si>
  <si>
    <t>280 Ex-Roger Pirates / First Mate - Silvers Rayleigh</t>
  </si>
  <si>
    <t>https://i.postimg.cc/qv0RZgqb/img-chara-rayleigh-orig01-m.png</t>
  </si>
  <si>
    <t>The Pirate King`s Right Arm The Dark King ~ Silvers Rayleigh</t>
  </si>
  <si>
    <t>120</t>
  </si>
  <si>
    <t>120 The Pirate King`s Right Arm The Dark King - Silvers Rayleigh</t>
  </si>
  <si>
    <t>https://i.postimg.cc/YqQ03Q2w/img-chara-rayleigh-youn01-m.png</t>
  </si>
  <si>
    <t>Roger Pirates / First Mate ~ Silvers Rayleigh</t>
  </si>
  <si>
    <t>191</t>
  </si>
  <si>
    <t>191 Roger Pirates / First Mate - Silvers Rayleigh</t>
  </si>
  <si>
    <t>https://i.postimg.cc/9QVMNz0N/img-chara-rebecca-orig01-m.png</t>
  </si>
  <si>
    <t>The Undefeated Woman ~ Rebecca</t>
  </si>
  <si>
    <t>132</t>
  </si>
  <si>
    <t>132 The Undefeated Woman - Rebecca</t>
  </si>
  <si>
    <t>https://i.postimg.cc/nhZzwMrP/img-chara-reiju-orig01-m.png</t>
  </si>
  <si>
    <t>Germa 66 ~ Vinsmoke Reiju</t>
  </si>
  <si>
    <t>094</t>
  </si>
  <si>
    <t>094 Germa 66 - Vinsmoke Reiju</t>
  </si>
  <si>
    <t>https://i.postimg.cc/vZMBSDTK/img-chara-robin-2yaf01-m.png</t>
  </si>
  <si>
    <t>2 Years Later / Archaeologist ~ Nico Robin</t>
  </si>
  <si>
    <t>070</t>
  </si>
  <si>
    <t>070 2 Years Later / Archaeologist - Nico Robin</t>
  </si>
  <si>
    <t>https://i.postimg.cc/NjYMPLFV/img-chara-robin-atta01-m.png</t>
  </si>
  <si>
    <t>Raid on Onigashima ~ Nico Robin</t>
  </si>
  <si>
    <t>248</t>
  </si>
  <si>
    <t>248 Raid on Onigashima - Nico Robin</t>
  </si>
  <si>
    <t>https://i.postimg.cc/Bns6wtbr/img-chara-robin-baro01-m.png</t>
  </si>
  <si>
    <t>Baroque Works / Vice President ~ Ms. All Sunday</t>
  </si>
  <si>
    <t>052</t>
  </si>
  <si>
    <t>052 Baroque Works / Vice President - Ms. All Sunday</t>
  </si>
  <si>
    <t>https://i.postimg.cc/QdstnVCR/img-chara-robin-eggh01-m.png</t>
  </si>
  <si>
    <t>Egghead ~ Nico Robin</t>
  </si>
  <si>
    <t>332</t>
  </si>
  <si>
    <t>332 Egghead - Nico Robin</t>
  </si>
  <si>
    <t>https://i.postimg.cc/YCk9yj0T/img-chara-robin-enie01-m.png</t>
  </si>
  <si>
    <t>Enies Lobby ~ Nico Robin</t>
  </si>
  <si>
    <t>167</t>
  </si>
  <si>
    <t>167 Enies Lobby - Nico Robin</t>
  </si>
  <si>
    <t>https://i.postimg.cc/Jzmndttw/img-chara-robin-holi01-m.png</t>
  </si>
  <si>
    <t>Happy Holiday ~ Nico Robin</t>
  </si>
  <si>
    <t>098</t>
  </si>
  <si>
    <t>098 Happy Holiday - Nico Robin</t>
  </si>
  <si>
    <t>https://i.postimg.cc/4xZdFnn4/img-chara-robin-skyp01-m.png</t>
  </si>
  <si>
    <t>Straw Hat Pirates / Archaeologist ~ Nico Robin</t>
  </si>
  <si>
    <t>007</t>
  </si>
  <si>
    <t>007 Straw Hat Pirates / Archaeologist - Nico Robin</t>
  </si>
  <si>
    <t>https://i.postimg.cc/cLZH566x/img-chara-robin-wano01-m.png</t>
  </si>
  <si>
    <t>Land of Wano ~ Orobi</t>
  </si>
  <si>
    <t>176</t>
  </si>
  <si>
    <t>176 Land of Wano - Orobi</t>
  </si>
  <si>
    <t>https://i.postimg.cc/3x7RbWWK/img-chara-roger-orig01-m.png</t>
  </si>
  <si>
    <t>King of the Pirates ~ Gol D. Roger</t>
  </si>
  <si>
    <t>154</t>
  </si>
  <si>
    <t>154 King of the Pirates - Gol D. Roger</t>
  </si>
  <si>
    <t>https://i.postimg.cc/Bns6wttQ/img-chara-roger-reco01-m.png</t>
  </si>
  <si>
    <t>Great Pirate ~ Gol D. Roger</t>
  </si>
  <si>
    <t>279</t>
  </si>
  <si>
    <t>279 Great Pirate - Gol D. Roger</t>
  </si>
  <si>
    <t>https://i.postimg.cc/8zD5nssF/img-chara-ryokugyu-mori01-m.png</t>
  </si>
  <si>
    <t>Groves of Wrath Ryokugyu ~ [Aramaki]</t>
  </si>
  <si>
    <t>325</t>
  </si>
  <si>
    <t>325 Groves of Wrath Ryokugyu - [Aramaki]</t>
  </si>
  <si>
    <t>https://i.postimg.cc/Sxrs0qzy/img-chara-ryokugyu-orig01-m.png</t>
  </si>
  <si>
    <t>Navy HQ / Admiral Ryokugyu ~ [Aramaki]</t>
  </si>
  <si>
    <t>273</t>
  </si>
  <si>
    <t>273 Navy HQ / Admiral Ryokugyu - [Aramaki]</t>
  </si>
  <si>
    <t>https://i.postimg.cc/QdstnVVK/img-chara-ryuma-orig01-m.png</t>
  </si>
  <si>
    <t>Legendary Samurai Zombie ~ Ryuma</t>
  </si>
  <si>
    <t>088</t>
  </si>
  <si>
    <t>088 Legendary Samurai Zombie - Ryuma</t>
  </si>
  <si>
    <t>https://i.postimg.cc/K8NzXFgc/img-chara-sabo-ente01-m.png</t>
  </si>
  <si>
    <t>Flame Emperor ~ Sabo</t>
  </si>
  <si>
    <t>312</t>
  </si>
  <si>
    <t>312 Flame Emperor - Sabo</t>
  </si>
  <si>
    <t>https://i.postimg.cc/qvLRf0Cq/img-chara-sabo-mera01-m.png</t>
  </si>
  <si>
    <t>Luffy`s Brother ~ Sabo</t>
  </si>
  <si>
    <t>109</t>
  </si>
  <si>
    <t>109 Luffy`s Brother - Sabo</t>
  </si>
  <si>
    <t>https://i.postimg.cc/Bng6Ws1t/img-chara-sabo-orig01-m.png</t>
  </si>
  <si>
    <t>Revolutoonary Army / Chief of Staff ~ Sabo</t>
  </si>
  <si>
    <t>064</t>
  </si>
  <si>
    <t>064 Revolutoonary Army / Chief of Staff - Sabo</t>
  </si>
  <si>
    <t>https://i.postimg.cc/3xBRM7Dd/img-chara-sabo-stam01-m.png</t>
  </si>
  <si>
    <t>STAMPEDE ~ Sabo</t>
  </si>
  <si>
    <t>079</t>
  </si>
  <si>
    <t>079 STAMPEDE - Sabo</t>
  </si>
  <si>
    <t>https://i.postimg.cc/CxN1yYfn/img-chara-sai-orig01-m.png</t>
  </si>
  <si>
    <t>Happosui Army / 13th Chief ~ Sai</t>
  </si>
  <si>
    <t>320</t>
  </si>
  <si>
    <t>320 Happosui Army / 13th Chief - Sai</t>
  </si>
  <si>
    <t>https://i.postimg.cc/T39w8GWW/img-chara-sanji-2yaf01-m.png</t>
  </si>
  <si>
    <t>2 Years Later / Cook ~ Sanji</t>
  </si>
  <si>
    <t>065</t>
  </si>
  <si>
    <t>065 2 Years Later / Cook - Sanji</t>
  </si>
  <si>
    <t>https://i.postimg.cc/3xBRM7Dv/img-chara-sanji-alab01-m.png</t>
  </si>
  <si>
    <t>Veau Vengeance ~ Sanji</t>
  </si>
  <si>
    <t>033</t>
  </si>
  <si>
    <t>033 Veau Vengeance - Sanji</t>
  </si>
  <si>
    <t>https://i.postimg.cc/rwJm6ct4/img-chara-sanji-atta01-m.png</t>
  </si>
  <si>
    <t>Raid on Onigashima ~ Sanji</t>
  </si>
  <si>
    <t>261</t>
  </si>
  <si>
    <t>261 Raid on Onigashima - Sanji</t>
  </si>
  <si>
    <t>https://i.postimg.cc/Sxrs0qz8/img-chara-sanji-cake01-m.png</t>
  </si>
  <si>
    <t>Whole Cake Island ~ Sanji</t>
  </si>
  <si>
    <t>092</t>
  </si>
  <si>
    <t>092 Whole Cake Island - Sanji</t>
  </si>
  <si>
    <t>https://i.postimg.cc/7ZV6vDTg/img-chara-sanji-davy01-m.png</t>
  </si>
  <si>
    <t>Davy Back Fight ~ Sanji</t>
  </si>
  <si>
    <t>323</t>
  </si>
  <si>
    <t>323 Davy Back Fight - Sanji 1</t>
  </si>
  <si>
    <t>https://i.postimg.cc/VkR6y1bX/img-chara-sanji-davy01-str-m.png</t>
  </si>
  <si>
    <t>323 Davy Back Fight - Sanji 2</t>
  </si>
  <si>
    <t>https://i.postimg.cc/Nj4MhYr6/img-chara-sanji-eggh01-m.png</t>
  </si>
  <si>
    <t>Egghead ~ Sanji</t>
  </si>
  <si>
    <t>305</t>
  </si>
  <si>
    <t>305 Egghead - Sanji</t>
  </si>
  <si>
    <t>https://i.postimg.cc/nhkz8ZQ0/img-chara-sanji-jeru01-m.png</t>
  </si>
  <si>
    <t>Stealth Black ~ Soba Mask</t>
  </si>
  <si>
    <t>200</t>
  </si>
  <si>
    <t>200 Stealth Black - Soba Mask</t>
  </si>
  <si>
    <t>https://i.postimg.cc/K8NzXFgf/img-chara-sanji-orig01-m.png</t>
  </si>
  <si>
    <t>Straw Hat Pirates / Cook ~ Sanji</t>
  </si>
  <si>
    <t>005</t>
  </si>
  <si>
    <t>005 Straw Hat Pirates / Cook - Sanji</t>
  </si>
  <si>
    <t>https://i.postimg.cc/13HtxPNM/img-chara-sanji-wedd01-m.png</t>
  </si>
  <si>
    <t>Royal Wedding ~ Sanji</t>
  </si>
  <si>
    <t>148</t>
  </si>
  <si>
    <t>148 Royal Wedding - Sanji</t>
  </si>
  <si>
    <t>https://i.postimg.cc/y8PdqBSL/img-chara-sasaki-jinj01-m.png</t>
  </si>
  <si>
    <t>Animal Kingdom Pirates / Tobi Roppo ~ Sasaki</t>
  </si>
  <si>
    <t>262</t>
  </si>
  <si>
    <t>262 Animal Kingdom Pirates / Tobi Roppo - Sasaki</t>
  </si>
  <si>
    <t>https://i.postimg.cc/htrjFg7C/img-chara-saturn-orig01-m.png</t>
  </si>
  <si>
    <t>The Five Elders ~ St. Jaygarcia Saturn</t>
  </si>
  <si>
    <t>333</t>
  </si>
  <si>
    <t>333 The Five Elders - St. Jaygarcia Saturn</t>
  </si>
  <si>
    <t>https://i.postimg.cc/Z5cRkZy7/img-chara-sbear-orig01-m.png</t>
  </si>
  <si>
    <t>Seraphim ~ S-Bear</t>
  </si>
  <si>
    <t>301</t>
  </si>
  <si>
    <t>301 Seraphim - S-Bear</t>
  </si>
  <si>
    <t>https://i.postimg.cc/fbRbDFxY/img-chara-sengoku-orig01-m.png</t>
  </si>
  <si>
    <t>Navy HQ / Fleet Admiral ~ Sengoku</t>
  </si>
  <si>
    <t>121</t>
  </si>
  <si>
    <t>121 Navy HQ / Fleet Admiral - Sengoku</t>
  </si>
  <si>
    <t>https://i.postimg.cc/R0Z048cc/img-chara-senorpink-orig01-m.png</t>
  </si>
  <si>
    <t>Don Quixote Pirates / Officer ~ Señor Pink</t>
  </si>
  <si>
    <t>182</t>
  </si>
  <si>
    <t>182 Don Quixote Pirates / Officer - Señor Pink</t>
  </si>
  <si>
    <t>https://i.postimg.cc/R0Z048c7/img-chara-sentomaru-2yaf01-m.png</t>
  </si>
  <si>
    <t>The Most Defensive Man in the World ~ Sentomaru</t>
  </si>
  <si>
    <t>285</t>
  </si>
  <si>
    <t>285 The Most Defensive Man in the World - Sentomaru</t>
  </si>
  <si>
    <t>https://i.postimg.cc/k5g5qZxN/img-chara-sentomaru-orig01-m.png</t>
  </si>
  <si>
    <t>Navy HQ / Science Team Captain ~ Sentomaru</t>
  </si>
  <si>
    <t>180</t>
  </si>
  <si>
    <t>180 Navy HQ / Science Team Captain - Sentomaru</t>
  </si>
  <si>
    <t>https://i.postimg.cc/JhzhMgb5/img-chara-shanks-hand01-m.png</t>
  </si>
  <si>
    <t>The Four Emperors ~ Shanks</t>
  </si>
  <si>
    <t>104</t>
  </si>
  <si>
    <t>104 The Four Emperors - Shanks</t>
  </si>
  <si>
    <t>https://i.postimg.cc/d0V0wX86/img-chara-shanks-kamu01-m.png</t>
  </si>
  <si>
    <t>Divine Departure ~ Shanks</t>
  </si>
  <si>
    <t>296</t>
  </si>
  <si>
    <t>296 Divine Departure - Shanks</t>
  </si>
  <si>
    <t>https://i.postimg.cc/XvYv4hwQ/img-chara-shanks-orig01-m.png</t>
  </si>
  <si>
    <t>Red-Haired Pirates / Captain ~ Shanks</t>
  </si>
  <si>
    <t>035</t>
  </si>
  <si>
    <t>035 Red-Haired Pirates / Captain - Shanks</t>
  </si>
  <si>
    <t>https://i.postimg.cc/Bvnv4yxm/img-chara-shanks-tera01-m.png</t>
  </si>
  <si>
    <t>FILM RED ~ Shanks</t>
  </si>
  <si>
    <t>218</t>
  </si>
  <si>
    <t>218 FILM RED - Shanks</t>
  </si>
  <si>
    <t>https://i.postimg.cc/7LZLwcgB/img-chara-shawk-orig01-m.png</t>
  </si>
  <si>
    <t>Seraphim ~ S-Hawk</t>
  </si>
  <si>
    <t>290</t>
  </si>
  <si>
    <t>290 Seraphim - S-Hawk</t>
  </si>
  <si>
    <t>https://i.postimg.cc/Ls8s27zQ/img-chara-shiki-orig01-m.png</t>
  </si>
  <si>
    <t>FILM STRONG WORLD ~ Shiki</t>
  </si>
  <si>
    <t>213</t>
  </si>
  <si>
    <t>213 FILM STRONG WORLD - Shiki</t>
  </si>
  <si>
    <t>https://i.postimg.cc/pdLdR7D6/img-chara-shinobu-orig01-m.png</t>
  </si>
  <si>
    <t>Veteran Kunoichi ~ Shinobu</t>
  </si>
  <si>
    <t>227</t>
  </si>
  <si>
    <t>227 Veteran Kunoichi - Shinobu</t>
  </si>
  <si>
    <t>https://i.postimg.cc/QMdMhPpz/img-chara-shiryu-hach01-m.png</t>
  </si>
  <si>
    <t>Clear-Clear Fruit ~ Shiryu</t>
  </si>
  <si>
    <t>317</t>
  </si>
  <si>
    <t>317 Clear-Clear Fruit - Shiryu</t>
  </si>
  <si>
    <t>https://i.postimg.cc/g020m5v5/img-chara-shiryu-orig01-m.png</t>
  </si>
  <si>
    <t>Blackbeard Pirates / Former Head Jailer of Impel Down ~ Shiryu</t>
  </si>
  <si>
    <t>204</t>
  </si>
  <si>
    <t>204 Blackbeard Pirates / Former Head Jailer of Impel Down - Shiryu</t>
  </si>
  <si>
    <t>https://i.postimg.cc/FKHKNqj8/img-chara-sircrocodile-impe01-m.png</t>
  </si>
  <si>
    <t>Impel Down / Prisoner ~ Crocodile</t>
  </si>
  <si>
    <t>075</t>
  </si>
  <si>
    <t>075 Impel Down / Prisoner - Crocodile</t>
  </si>
  <si>
    <t>https://i.postimg.cc/N0j0BV1Z/img-chara-sircrocodile-orig01-m.png</t>
  </si>
  <si>
    <t>The Seven Warlords of the Sea ~ Crocodile</t>
  </si>
  <si>
    <t>045</t>
  </si>
  <si>
    <t>045 The Seven Warlords of the Sea - Crocodile</t>
  </si>
  <si>
    <t>https://i.postimg.cc/N0j0BV1W/img-chara-sircrocodile-topw01-m.png</t>
  </si>
  <si>
    <t>The Parmount War ~ Crocodile</t>
  </si>
  <si>
    <t>141</t>
  </si>
  <si>
    <t>141 The Parmount War - Crocodile</t>
  </si>
  <si>
    <t>https://i.postimg.cc/s2g2s8Yd/img-chara-smoker-2yaf01-m.png</t>
  </si>
  <si>
    <t>Gerand Line Navel Base 5 / Vice Admiral ~ Smoker</t>
  </si>
  <si>
    <t>116</t>
  </si>
  <si>
    <t>116 Gerand Line Navel Base 5 / Vice Admiral - Smoker 1</t>
  </si>
  <si>
    <t>https://i.postimg.cc/SKxKk56b/img-chara-smoker-2yaf01-str-m.png</t>
  </si>
  <si>
    <t>116 Gerand Line Navel Base 5 / Vice Admiral - Smoker 2</t>
  </si>
  <si>
    <t>https://i.postimg.cc/d0V0wX2K/img-chara-smoker-orig01-m.png</t>
  </si>
  <si>
    <t>Navy HQ / Captain ~ Smoker</t>
  </si>
  <si>
    <t>041</t>
  </si>
  <si>
    <t>041 Navy HQ / Captain - Smoker</t>
  </si>
  <si>
    <t>https://i.postimg.cc/R0Z0487B/img-chara-smoker-stam01-m.png</t>
  </si>
  <si>
    <t>STAMPEDE ~ Smoker</t>
  </si>
  <si>
    <t>077</t>
  </si>
  <si>
    <t>077 STAMPEDE - Smoker</t>
  </si>
  <si>
    <t>https://i.postimg.cc/s2g2s8Y3/img-chara-sshark-orig01-m.png</t>
  </si>
  <si>
    <t>Seraphim ~ S-Shark</t>
  </si>
  <si>
    <t>304</t>
  </si>
  <si>
    <t>304 Seraphim - S-Shark</t>
  </si>
  <si>
    <t>https://i.postimg.cc/1z73tHH2/img-chara-ssnake-orig01-m.png</t>
  </si>
  <si>
    <t>Seraphim ~ S-Snake</t>
  </si>
  <si>
    <t>288</t>
  </si>
  <si>
    <t>288 Seraphim - S-Snake</t>
  </si>
  <si>
    <t>https://i.postimg.cc/6QpQtSr9/img-chara-stussy-eggh01-m.png</t>
  </si>
  <si>
    <t>Vegapunk's Spy ~ Stussy</t>
  </si>
  <si>
    <t>295</t>
  </si>
  <si>
    <t>295 Vegapunk's Spy - Stussy</t>
  </si>
  <si>
    <t>https://i.postimg.cc/vm2ZBzzC/img-chara-sugar-orig01-m.png</t>
  </si>
  <si>
    <t>Don Quixote Pirates / Special Officer ~ Sugar</t>
  </si>
  <si>
    <t>184</t>
  </si>
  <si>
    <t>184 Don Quixote Pirates / Special Officer - Sugar</t>
  </si>
  <si>
    <t>https://i.postimg.cc/jj3S5Xcb/img-chara-tashigi-2yaf01-m.png</t>
  </si>
  <si>
    <t>Grand Line Naval Base 5 / Captain ~ Tashigi</t>
  </si>
  <si>
    <t>115</t>
  </si>
  <si>
    <t>115 Grand Line Naval Base 5 / Captain - Tashigi</t>
  </si>
  <si>
    <t>https://i.postimg.cc/TPN3w90X/img-chara-tashigi-orig01-m.png</t>
  </si>
  <si>
    <t>Navy HQ / Master Chief Petty Officer ~ Tashigi</t>
  </si>
  <si>
    <t>028</t>
  </si>
  <si>
    <t>028 Navy HQ / Master Chief Petty Officer - Tashigi</t>
  </si>
  <si>
    <t>https://i.postimg.cc/LsQ8XTDS/img-chara-tashigi-smok01-m.png</t>
  </si>
  <si>
    <t>Punk Hazard ~ Smoker (Chambres)</t>
  </si>
  <si>
    <t>143</t>
  </si>
  <si>
    <t>143 Punk Hazard - Smoker (Chambres)</t>
  </si>
  <si>
    <t>https://i.postimg.cc/g0t2JDsY/img-chara-teach-2yaf01-m.png</t>
  </si>
  <si>
    <t>The Four Emperors ~ Marshall D. Teach</t>
  </si>
  <si>
    <t>341</t>
  </si>
  <si>
    <t>341 The Four Emperors - Marshall D. Teach</t>
  </si>
  <si>
    <t>https://i.postimg.cc/HLvkx2zs/img-chara-teach-orig01-m.png</t>
  </si>
  <si>
    <t>The Seven Warlords of the Sea ~ Marshall D. Teach</t>
  </si>
  <si>
    <t>103</t>
  </si>
  <si>
    <t>103 The Seven Warlords of the Sea - Marshall D. Teach</t>
  </si>
  <si>
    <t>https://i.postimg.cc/9fgQMpbX/img-chara-tesoro-orig01-m.png</t>
  </si>
  <si>
    <t>FILM GOLD ~ Gild Tesoro</t>
  </si>
  <si>
    <t>214</t>
  </si>
  <si>
    <t>214 FILM GOLD - Gild Tesoro</t>
  </si>
  <si>
    <t>https://i.postimg.cc/d0NV1B60/img-chara-trebol-orig01-m.png</t>
  </si>
  <si>
    <t>Don Quixote Pirates / Supreme Officer ~ Trebol</t>
  </si>
  <si>
    <t>226</t>
  </si>
  <si>
    <t>226 Don Quixote Pirates / Supreme Officer - Trebol</t>
  </si>
  <si>
    <t>https://i.postimg.cc/cJkLHmhC/img-chara-ulti-orig01-m.png</t>
  </si>
  <si>
    <t>Animal Kingdom Pirates / Tobi Roppo ~ Ulti</t>
  </si>
  <si>
    <t>209</t>
  </si>
  <si>
    <t>209 Animal Kingdom Pirates / Tobi Roppo - Ulti</t>
  </si>
  <si>
    <t>https://i.postimg.cc/mrpgDwjD/img-chara-urouge-orig01-m.png</t>
  </si>
  <si>
    <t>Fallen Monk Pirates / Captain "Mad Monk" ~ Urouge</t>
  </si>
  <si>
    <t>122</t>
  </si>
  <si>
    <t>122 Fallen Monk Pirates / Captain "Mad Monk" - Urouge</t>
  </si>
  <si>
    <t>https://i.postimg.cc/g0t2JDsn/img-chara-usopp-2yaf01-m.png</t>
  </si>
  <si>
    <t>2 Years Later / Sharp Shooter ~ Usopp</t>
  </si>
  <si>
    <t>066</t>
  </si>
  <si>
    <t>066 2 Years Later / Sharp Shooter - Usopp</t>
  </si>
  <si>
    <t>https://i.postimg.cc/FKCHRZpJ/img-chara-usopp-alab01-m.png</t>
  </si>
  <si>
    <t>5t Hammer ~ Usopp</t>
  </si>
  <si>
    <t>032</t>
  </si>
  <si>
    <t>032 5t Hammer - Usopp</t>
  </si>
  <si>
    <t>https://i.postimg.cc/YSDC93RL/img-chara-usopp-atta01-m.png</t>
  </si>
  <si>
    <t>Raid on Onigashima ~ Usopp</t>
  </si>
  <si>
    <t>252</t>
  </si>
  <si>
    <t>252 Raid on Onigashima - Usopp</t>
  </si>
  <si>
    <t>https://i.postimg.cc/W4Y13n8k/img-chara-usopp-dres01-m.png</t>
  </si>
  <si>
    <t>Savior ~ God Usopp</t>
  </si>
  <si>
    <t>161</t>
  </si>
  <si>
    <t>161 Savior - God Usopp</t>
  </si>
  <si>
    <t>https://i.postimg.cc/jj3S5XcP/img-chara-usopp-eggh01-m.png</t>
  </si>
  <si>
    <t>Egghead ~ Usopp</t>
  </si>
  <si>
    <t>328</t>
  </si>
  <si>
    <t>328 Egghead - Usopp</t>
  </si>
  <si>
    <t>https://i.postimg.cc/d0NV1B6G/img-chara-usopp-orig01-m.png</t>
  </si>
  <si>
    <t>Straw Hat Pirates / Sharp Shooter ~ Usopp</t>
  </si>
  <si>
    <t>004</t>
  </si>
  <si>
    <t>004 Straw Hat Pirates / Sharp Shooter - Usopp</t>
  </si>
  <si>
    <t>https://i.postimg.cc/QtBxWTYt/img-chara-usopp-soge01-m.png</t>
  </si>
  <si>
    <t>The King of the Snipers ~ Sniper King</t>
  </si>
  <si>
    <t>112</t>
  </si>
  <si>
    <t>112 The King of the Snipers - Sniper King</t>
  </si>
  <si>
    <t>https://i.postimg.cc/Jny4BkY0/img-chara-usopp-tera01-m.png</t>
  </si>
  <si>
    <t>FILM RED ~ Usopp</t>
  </si>
  <si>
    <t>223</t>
  </si>
  <si>
    <t>223 FILM RED - Usopp</t>
  </si>
  <si>
    <t>https://i.postimg.cc/Y94qmWDj/img-chara-usopp-wano01-m.png</t>
  </si>
  <si>
    <t>Land of Wano ~ Usohachi</t>
  </si>
  <si>
    <t>205</t>
  </si>
  <si>
    <t>205 Land of Wano - Usohachi</t>
  </si>
  <si>
    <t>https://i.postimg.cc/NMyfrHC5/img-chara-uta-hall01-m.png</t>
  </si>
  <si>
    <t>Happy Halloween ~ Uta</t>
  </si>
  <si>
    <t>299</t>
  </si>
  <si>
    <t>299 Happy Halloween - Uta</t>
  </si>
  <si>
    <t>https://i.postimg.cc/xCkTbzpX/img-chara-uta-orig01-m.png</t>
  </si>
  <si>
    <t>Singer of the New Genesis ~ Uta</t>
  </si>
  <si>
    <t>259</t>
  </si>
  <si>
    <t>259 Singer of the New Genesis - Uta</t>
  </si>
  <si>
    <t>https://i.postimg.cc/ydJYSZp3/img-chara-uta-tera01-m.png</t>
  </si>
  <si>
    <t>FILM RED ~ Uta</t>
  </si>
  <si>
    <t>216</t>
  </si>
  <si>
    <t>216 FILM RED - Uta</t>
  </si>
  <si>
    <t>https://i.postimg.cc/xCkTbzpb/img-chara-vanderdecken-orig01-m.png</t>
  </si>
  <si>
    <t>Flying Pirates / Captain ~ Vander Decken IX</t>
  </si>
  <si>
    <t>253</t>
  </si>
  <si>
    <t>253 Flying Pirates / Captain - Vander Decken IX</t>
  </si>
  <si>
    <t>https://i.postimg.cc/Jny4BkYZ/img-chara-vegapunk-orig01-m.png</t>
  </si>
  <si>
    <t>Genius Scientist ~ Vegapunk</t>
  </si>
  <si>
    <t>337</t>
  </si>
  <si>
    <t>337 Genius Scientist - Vegapunk</t>
  </si>
  <si>
    <t>https://i.postimg.cc/cHK48nkf/img-chara-vergo-orig01-m.png</t>
  </si>
  <si>
    <t>Don Quixote Pirates / Supreme Officer ~ Vergo</t>
  </si>
  <si>
    <t>185</t>
  </si>
  <si>
    <t>185 Don Quixote Pirates / Supreme Officer - Vergo</t>
  </si>
  <si>
    <t>https://i.postimg.cc/9M4Fq7gG/img-chara-vista-orig01-m.png</t>
  </si>
  <si>
    <t>Whitebeard Pirates / 5th Division Commander ~ Vista</t>
  </si>
  <si>
    <t>202</t>
  </si>
  <si>
    <t>202 Whitebeard Pirates / 5th Division Commander - Vista</t>
  </si>
  <si>
    <t>https://i.postimg.cc/1tg5Nq7G/img-chara-vivi-alab01-m.png</t>
  </si>
  <si>
    <t>Peacock Slasher ~ Nefeltari Vivi</t>
  </si>
  <si>
    <t>044</t>
  </si>
  <si>
    <t>044 Peacock Slasher - Nefeltari Vivi</t>
  </si>
  <si>
    <t>https://i.postimg.cc/9M4Fq7gP/img-chara-vivi-karo01-m.png</t>
  </si>
  <si>
    <t>Princess and Loyal Partner ~ Vivi &amp; Karoo</t>
  </si>
  <si>
    <t>175</t>
  </si>
  <si>
    <t>175 Princess and Loyal Partner - Vivi &amp; Karoo</t>
  </si>
  <si>
    <t>https://i.postimg.cc/50HNFCKm/img-chara-vivi-orig01-m.png</t>
  </si>
  <si>
    <t>Baroque Works / Frontier Agents ~ Ms. Wednesday</t>
  </si>
  <si>
    <t>030</t>
  </si>
  <si>
    <t>030 Baroque Works / Frontier Agents - Ms. Wednesday</t>
  </si>
  <si>
    <t>https://i.postimg.cc/9M4Fq7gt/img-chara-vivi-reve01-m.png</t>
  </si>
  <si>
    <t>Alabasta / Princess ~ Nefeltari Vivi</t>
  </si>
  <si>
    <t>061</t>
  </si>
  <si>
    <t>061 Alabasta / Princess - Nefeltari Vivi</t>
  </si>
  <si>
    <t>https://i.postimg.cc/mDc2FHpw/img-chara-wapol-orig01-m.png</t>
  </si>
  <si>
    <t>Drum Kingdom / Former Ruler ~ Wapol</t>
  </si>
  <si>
    <t>042</t>
  </si>
  <si>
    <t>042 Drum Kingdom / Former Ruler - Wapol</t>
  </si>
  <si>
    <t>https://i.postimg.cc/qRtMC3DQ/img-chara-whitebeard-orig01-m.png</t>
  </si>
  <si>
    <t>Whitebeard Pirates / Captain Whitebeard ~ Edward Newgate</t>
  </si>
  <si>
    <t>047</t>
  </si>
  <si>
    <t>047 Whitebeard Pirates / Captain Whitebeard - Edward Newgate</t>
  </si>
  <si>
    <t>https://i.postimg.cc/50HNFCKs/img-chara-whitebeard-reco01-m.png</t>
  </si>
  <si>
    <t>Great Pirate ~ Edward Newgate</t>
  </si>
  <si>
    <t>276</t>
  </si>
  <si>
    <t>276 Great Pirate - Edward Newgate</t>
  </si>
  <si>
    <t>https://i.postimg.cc/Jny4BkYT/img-chara-whitebeard-youn01-m.png</t>
  </si>
  <si>
    <t>Roger`s Rival ~ Edward Newgate</t>
  </si>
  <si>
    <t>158</t>
  </si>
  <si>
    <t>158 Roger`s Rival - Edward Newgate</t>
  </si>
  <si>
    <t>https://i.postimg.cc/9M4Fq7g8/img-chara-whoswho-jinj01-m.png</t>
  </si>
  <si>
    <t>Animal Kingdom Pirates / Tobi Roppo ~ Who`s-Who</t>
  </si>
  <si>
    <t>237</t>
  </si>
  <si>
    <t>237 Animal Kingdom Pirates / Tobi Roppo - Who`s-Who</t>
  </si>
  <si>
    <t>https://i.postimg.cc/DZWybXpN/img-chara-wyper-orig01-m.png</t>
  </si>
  <si>
    <t>Shandian Warrior ~ Wyper</t>
  </si>
  <si>
    <t>207</t>
  </si>
  <si>
    <t>207 Shandian Warrior - Wyper</t>
  </si>
  <si>
    <t>https://i.postimg.cc/0Q62JwX3/img-chara-xdrake-2yaf01-m.png</t>
  </si>
  <si>
    <t>Top Secret Special Force Captain of "Sword" ~ X. Drake</t>
  </si>
  <si>
    <t>230</t>
  </si>
  <si>
    <t>230 Top Secret Special Force Captain of "Sword" - X. Drake</t>
  </si>
  <si>
    <t>https://i.postimg.cc/TwyYWDNF/img-chara-xdrake-jinj01-m.png</t>
  </si>
  <si>
    <t>Land of Wano ~ X.Drake</t>
  </si>
  <si>
    <t>126</t>
  </si>
  <si>
    <t>126 Land of Wano - X.Drake</t>
  </si>
  <si>
    <t>https://i.postimg.cc/qR9BcvWG/img-chara-yamato-jinj01-m.png</t>
  </si>
  <si>
    <t>Okuchi-no-Makami ~ Yamato</t>
  </si>
  <si>
    <t>250</t>
  </si>
  <si>
    <t>250 Okuchi-no-Makami - Yamato</t>
  </si>
  <si>
    <t>https://i.postimg.cc/Kzdc78C0/img-chara-yamato-orig01-m.png</t>
  </si>
  <si>
    <t>Kaido`s Son ~ Yamato</t>
  </si>
  <si>
    <t>194</t>
  </si>
  <si>
    <t>194 Kaido`s Son - Yamato</t>
  </si>
  <si>
    <t>https://i.postimg.cc/j5Gq6SBv/img-chara-yasopp-orig01-m.png</t>
  </si>
  <si>
    <t>FILM RED ~ Yasopp</t>
  </si>
  <si>
    <t>222</t>
  </si>
  <si>
    <t>222 FILM RED - Yasopp</t>
  </si>
  <si>
    <t>https://i.postimg.cc/9MvXPQsx/img-chara-yasopp-tera01-m.png</t>
  </si>
  <si>
    <t>Red-Haired Pirates / Sharp Shooter ~ Yasopp</t>
  </si>
  <si>
    <t>036</t>
  </si>
  <si>
    <t>036 Red-Haired Pirates / Sharp Shooter - Yasopp</t>
  </si>
  <si>
    <t>https://i.postimg.cc/k4kMNgLY/img-chara-yonji-orig01-m.png</t>
  </si>
  <si>
    <t>Germa 66 ~ Vinsmoke Yonji</t>
  </si>
  <si>
    <t>315</t>
  </si>
  <si>
    <t>315 Germa 66 - Vinsmoke Yonji</t>
  </si>
  <si>
    <t>https://i.postimg.cc/LXr4k8Gb/img-chara-york-orig01-m.png</t>
  </si>
  <si>
    <t>Punk-06 ~ York</t>
  </si>
  <si>
    <t>303</t>
  </si>
  <si>
    <t>303 Punk-06 - York</t>
  </si>
  <si>
    <t>https://i.postimg.cc/1tLR03bT/img-chara-yosaku-orig01-m.png</t>
  </si>
  <si>
    <t>Bounty Hunter ~ Yosaku</t>
  </si>
  <si>
    <t>018</t>
  </si>
  <si>
    <t>018 Bounty Hunter - Yosaku</t>
  </si>
  <si>
    <t>https://i.postimg.cc/Y9J2NCTP/img-chara-zeff-orig01-m.png</t>
  </si>
  <si>
    <t>Baratie / Head Chef ~ Zeff</t>
  </si>
  <si>
    <t>022</t>
  </si>
  <si>
    <t>022 Baratie / Head Chef - Zeff</t>
  </si>
  <si>
    <t>https://i.postimg.cc/j5Gq6SGY/img-chara-zephyr-orig01-m.png</t>
  </si>
  <si>
    <t>FILM Z ~ Zephyr</t>
  </si>
  <si>
    <t>215</t>
  </si>
  <si>
    <t>215 FILM Z - Zephyr</t>
  </si>
  <si>
    <t>https://i.postimg.cc/W3Qpm1QL/img-chara-zoro-2yaf01-m.png</t>
  </si>
  <si>
    <t>2 Years Later / Combatant ~ Roronoa Zoro</t>
  </si>
  <si>
    <t>062</t>
  </si>
  <si>
    <t>062 2 Years Later / Combatant - Roronoa Zoro</t>
  </si>
  <si>
    <t>https://i.postimg.cc/nz6VKh6t/img-chara-zoro-alab01-m.png</t>
  </si>
  <si>
    <t>Obe-Sword Style Iai Lion Song ~ Roronoa Zoro</t>
  </si>
  <si>
    <t>034</t>
  </si>
  <si>
    <t>034 Obe-Sword Style Iai Lion Song - Roronoa Zoro</t>
  </si>
  <si>
    <t>https://i.postimg.cc/9MvXPQvC/img-chara-zoro-atta01-m.png</t>
  </si>
  <si>
    <t>Raid on Onigashima ~ Roronoa Zoro</t>
  </si>
  <si>
    <t>235</t>
  </si>
  <si>
    <t>235 Raid on Onigashima - Roronoa Zoro</t>
  </si>
  <si>
    <t>https://i.postimg.cc/fL6W7R6z/img-chara-zoro-dres01-m.png</t>
  </si>
  <si>
    <t>The Billion-Fold World Trichiliocosm ~ Roronoa Zoro</t>
  </si>
  <si>
    <t>147</t>
  </si>
  <si>
    <t>147 The Billion-Fold World Trichiliocosm - Roronoa Zoro</t>
  </si>
  <si>
    <t>https://i.postimg.cc/1tLR03L9/img-chara-zoro-eggh01-m.png</t>
  </si>
  <si>
    <t>Egghead ~ Roronoa Zoro</t>
  </si>
  <si>
    <t>289</t>
  </si>
  <si>
    <t>289 Egghead - Roronoa Zoro</t>
  </si>
  <si>
    <t>https://i.postimg.cc/xCWjG1W1/img-chara-zoro-orig01-m.png</t>
  </si>
  <si>
    <t>Straw Hat Pirates / Combatant ~ Roronoa Zoro</t>
  </si>
  <si>
    <t>002</t>
  </si>
  <si>
    <t>002 Straw Hat Pirates / Combatant - Roronoa Zoro</t>
  </si>
  <si>
    <t>https://i.postimg.cc/1tLR03Lz/img-chara-zoro-skyp01-m.png</t>
  </si>
  <si>
    <t>108 Pound Phoenix ~ Roronoa Zoro</t>
  </si>
  <si>
    <t>055</t>
  </si>
  <si>
    <t>055 108 Pound Phoenix - Roronoa Zoro</t>
  </si>
  <si>
    <t>https://i.postimg.cc/Jn973z9n/img-chara-zoro-wano01-m.png</t>
  </si>
  <si>
    <t>Land of Wano ~ Zorojuro</t>
  </si>
  <si>
    <t>084</t>
  </si>
  <si>
    <t>084 Land of Wano - Zorojuro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</si>
</sst>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M/dd"/>
    <numFmt numFmtId="165" formatCode="yyyy/mm/dd"/>
    <numFmt numFmtId="166" formatCode="yyyy&quot;/&quot;mm&quot;/&quot;dd"/>
  </numFmts>
  <fonts count="95">
    <font>
      <sz val="10.0"/>
      <color rgb="FF000000"/>
      <name val="Arial"/>
      <scheme val="minor"/>
    </font>
    <font>
      <sz val="12.0"/>
      <color rgb="FFFFFFFF"/>
      <name val="Comfortaa"/>
    </font>
    <font>
      <sz val="7.0"/>
      <color rgb="FF666666"/>
      <name val="Courgette"/>
    </font>
    <font>
      <b/>
      <u/>
      <sz val="14.0"/>
      <color rgb="FF4A86E8"/>
      <name val="Mada"/>
    </font>
    <font>
      <b/>
      <u/>
      <sz val="17.0"/>
      <color rgb="FF4A86E8"/>
      <name val="Courier New"/>
    </font>
    <font>
      <sz val="1.0"/>
      <color rgb="FF666666"/>
      <name val="Readex Pro"/>
    </font>
    <font>
      <sz val="1.0"/>
      <color theme="1"/>
      <name val="Readex Pro"/>
    </font>
    <font>
      <sz val="6.0"/>
      <color rgb="FFFFFFFF"/>
      <name val="Courgette"/>
    </font>
    <font>
      <b/>
      <sz val="14.0"/>
      <color rgb="FF4A86E8"/>
      <name val="Mada"/>
    </font>
    <font>
      <sz val="11.0"/>
      <color rgb="FFFFFFFF"/>
      <name val="Courier New"/>
    </font>
    <font>
      <sz val="8.0"/>
      <color rgb="FFFFFFFF"/>
      <name val="Courgette"/>
    </font>
    <font>
      <b/>
      <sz val="6.0"/>
      <color rgb="FF0B5394"/>
      <name val="Chewy"/>
    </font>
    <font>
      <sz val="12.0"/>
      <color rgb="FF000000"/>
      <name val="Courgette"/>
    </font>
    <font>
      <sz val="14.0"/>
      <color rgb="FFFFFFFF"/>
      <name val="Courgette"/>
    </font>
    <font>
      <sz val="12.0"/>
      <color rgb="FFFFFFFF"/>
      <name val="Courgette"/>
    </font>
    <font>
      <sz val="18.0"/>
      <color rgb="FFFFFFFF"/>
      <name val="Russo One"/>
    </font>
    <font>
      <b/>
      <sz val="7.0"/>
      <color rgb="FF0B5394"/>
      <name val="Russo One"/>
    </font>
    <font>
      <sz val="24.0"/>
      <color rgb="FF000000"/>
      <name val="Lemonada"/>
    </font>
    <font>
      <sz val="14.0"/>
      <color rgb="FF000000"/>
      <name val="Russo One"/>
    </font>
    <font>
      <sz val="16.0"/>
      <color rgb="FF00FFFF"/>
      <name val="Audiowide"/>
    </font>
    <font>
      <sz val="12.0"/>
      <color rgb="FF000000"/>
      <name val="Comfortaa"/>
    </font>
    <font>
      <sz val="14.0"/>
      <color rgb="FF000000"/>
      <name val="Readex Pro"/>
    </font>
    <font>
      <u/>
      <sz val="1.0"/>
      <color rgb="FF0000FF"/>
      <name val="Russo One"/>
    </font>
    <font>
      <sz val="6.0"/>
      <color rgb="FF000000"/>
      <name val="Russo One"/>
    </font>
    <font>
      <sz val="6.0"/>
      <color rgb="FF000000"/>
      <name val="Readex Pro"/>
    </font>
    <font>
      <sz val="7.0"/>
      <color rgb="FF666666"/>
      <name val="Readex Pro"/>
    </font>
    <font/>
    <font>
      <b/>
      <sz val="7.0"/>
      <color rgb="FF6AA84F"/>
      <name val="Russo One"/>
    </font>
    <font>
      <b/>
      <sz val="6.0"/>
      <color rgb="FF0B5394"/>
      <name val="Audiowide"/>
    </font>
    <font>
      <sz val="18.0"/>
      <color rgb="FF00FFFF"/>
      <name val="Audiowide"/>
    </font>
    <font>
      <sz val="6.0"/>
      <color rgb="FFFFFFFF"/>
      <name val="Readex Pro"/>
    </font>
    <font>
      <color theme="1"/>
      <name val="Arial"/>
      <scheme val="minor"/>
    </font>
    <font>
      <sz val="12.0"/>
      <color rgb="FF000000"/>
      <name val="Fredoka One"/>
    </font>
    <font>
      <sz val="14.0"/>
      <color rgb="FF000000"/>
      <name val="Exo 2"/>
    </font>
    <font>
      <sz val="30.0"/>
      <color theme="1"/>
      <name val="Chewy"/>
    </font>
    <font>
      <sz val="8.0"/>
      <color theme="1"/>
      <name val="Russo One"/>
    </font>
    <font>
      <sz val="7.0"/>
      <color theme="1"/>
      <name val="Arial"/>
      <scheme val="minor"/>
    </font>
    <font>
      <sz val="14.0"/>
      <color rgb="FF6AA84F"/>
      <name val="Fredoka One"/>
    </font>
    <font>
      <sz val="14.0"/>
      <color rgb="FF6AA84F"/>
      <name val="Exo 2"/>
    </font>
    <font>
      <sz val="7.0"/>
      <color theme="1"/>
      <name val="Russo One"/>
    </font>
    <font>
      <sz val="6.0"/>
      <color theme="1"/>
      <name val="Russo One"/>
    </font>
    <font>
      <sz val="16.0"/>
      <color rgb="FF4A86E8"/>
      <name val="Righteous"/>
    </font>
    <font>
      <sz val="14.0"/>
      <color rgb="FF4A86E8"/>
      <name val="Exo 2"/>
    </font>
    <font>
      <sz val="18.0"/>
      <color rgb="FF0000FF"/>
      <name val="Righteous"/>
    </font>
    <font>
      <sz val="14.0"/>
      <color rgb="FF0000FF"/>
      <name val="Exo 2"/>
    </font>
    <font>
      <sz val="8.0"/>
      <color rgb="FF000000"/>
      <name val="Russo One"/>
    </font>
    <font>
      <sz val="8.0"/>
      <color theme="1"/>
      <name val="Arial"/>
      <scheme val="minor"/>
    </font>
    <font>
      <sz val="20.0"/>
      <color rgb="FFFF9900"/>
      <name val="Skranji"/>
    </font>
    <font>
      <sz val="14.0"/>
      <color rgb="FFFF9900"/>
      <name val="Exo 2"/>
    </font>
    <font>
      <b/>
      <sz val="8.0"/>
      <color theme="1"/>
      <name val="Russo One"/>
    </font>
    <font>
      <sz val="24.0"/>
      <color rgb="FF00FFFF"/>
      <name val="Audiowide"/>
    </font>
    <font>
      <sz val="14.0"/>
      <color rgb="FF00FFFF"/>
      <name val="Exo 2"/>
    </font>
    <font>
      <sz val="18.0"/>
      <color rgb="FFFF9900"/>
      <name val="Londrina Solid"/>
    </font>
    <font>
      <sz val="12.0"/>
      <color rgb="FFFFFFFF"/>
      <name val="Russo One"/>
    </font>
    <font>
      <color rgb="FFFFFFFF"/>
      <name val="Russo One"/>
    </font>
    <font>
      <color theme="1"/>
      <name val="Russo One"/>
    </font>
    <font>
      <u/>
      <sz val="6.0"/>
      <color rgb="FF0000FF"/>
      <name val="Russo One"/>
    </font>
    <font>
      <u/>
      <color rgb="FF0000FF"/>
      <name val="Russo One"/>
    </font>
    <font>
      <u/>
      <sz val="6.0"/>
      <color rgb="FF0000FF"/>
      <name val="Russo One"/>
    </font>
    <font>
      <sz val="22.0"/>
      <color theme="1"/>
      <name val="Audiowide"/>
    </font>
    <font>
      <sz val="18.0"/>
      <color theme="1"/>
      <name val="Audiowide"/>
    </font>
    <font>
      <sz val="16.0"/>
      <color theme="1"/>
      <name val="Russo One"/>
    </font>
    <font>
      <sz val="13.0"/>
      <color theme="1"/>
      <name val="Anton"/>
    </font>
    <font>
      <sz val="11.0"/>
      <color theme="1"/>
      <name val="Russo One"/>
    </font>
    <font>
      <sz val="4.0"/>
      <color theme="1"/>
      <name val="Arial"/>
      <scheme val="minor"/>
    </font>
    <font>
      <u/>
      <sz val="4.0"/>
      <color rgb="FF0000FF"/>
    </font>
    <font>
      <sz val="24.0"/>
      <color rgb="FFFFFFFF"/>
      <name val="Audiowide"/>
    </font>
    <font>
      <sz val="18.0"/>
      <color theme="1"/>
      <name val="Carter One"/>
    </font>
    <font>
      <sz val="14.0"/>
      <color rgb="FF000000"/>
      <name val="Audiowide"/>
    </font>
    <font>
      <sz val="10.0"/>
      <color theme="1"/>
      <name val="Changa"/>
    </font>
    <font>
      <sz val="10.0"/>
      <color rgb="FF000000"/>
      <name val="Changa"/>
    </font>
    <font>
      <sz val="12.0"/>
      <color rgb="FFFFFFFF"/>
      <name val="Skranji"/>
    </font>
    <font>
      <color theme="1"/>
      <name val="Arial"/>
    </font>
    <font>
      <color rgb="FFFFFFFF"/>
      <name val="Changa"/>
    </font>
    <font>
      <b/>
      <color rgb="FFFFFFFF"/>
      <name val="Changa"/>
    </font>
    <font>
      <b/>
      <sz val="9.0"/>
      <color rgb="FFFFFFFF"/>
      <name val="Changa"/>
    </font>
    <font>
      <sz val="24.0"/>
      <color rgb="FFFFFFFF"/>
      <name val="Skranji"/>
    </font>
    <font>
      <color theme="1"/>
      <name val="Changa"/>
    </font>
    <font>
      <b/>
      <sz val="8.0"/>
      <color rgb="FFFFFFFF"/>
      <name val="Changa"/>
    </font>
    <font>
      <sz val="14.0"/>
      <color theme="1"/>
      <name val="Audiowide"/>
    </font>
    <font>
      <sz val="14.0"/>
      <color theme="1"/>
      <name val="Carter One"/>
    </font>
    <font>
      <sz val="10.0"/>
      <color rgb="FF000000"/>
      <name val="Audiowide"/>
    </font>
    <font>
      <sz val="10.0"/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Russo One"/>
    </font>
    <font>
      <sz val="12.0"/>
      <color theme="1"/>
      <name val="Arial"/>
      <scheme val="minor"/>
    </font>
    <font>
      <sz val="12.0"/>
      <color theme="1"/>
      <name val="JetBrains Mono"/>
    </font>
    <font>
      <color theme="1"/>
      <name val="JetBrains Mono"/>
    </font>
    <font>
      <sz val="6.0"/>
      <color rgb="FFFFFFFF"/>
      <name val="JetBrains Mono"/>
    </font>
    <font>
      <sz val="6.0"/>
      <color theme="1"/>
      <name val="JetBrains Mono"/>
    </font>
    <font>
      <sz val="8.0"/>
      <color theme="1"/>
      <name val="JetBrains Mono"/>
    </font>
    <font>
      <u/>
      <sz val="6.0"/>
      <color rgb="FF0000FF"/>
      <name val="JetBrains Mono"/>
    </font>
    <font>
      <sz val="4.0"/>
      <color theme="1"/>
      <name val="JetBrains Mono"/>
    </font>
    <font>
      <u/>
      <sz val="4.0"/>
      <color rgb="FF0000FF"/>
      <name val="JetBrains Mono"/>
    </font>
    <font>
      <u/>
      <color rgb="FF0000FF"/>
    </font>
  </fonts>
  <fills count="2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274E13"/>
        <bgColor rgb="FF274E13"/>
      </patternFill>
    </fill>
    <fill>
      <patternFill patternType="solid">
        <fgColor rgb="FFF3F3F3"/>
        <bgColor rgb="FFF3F3F3"/>
      </patternFill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B0B0B0"/>
        <bgColor rgb="FFB0B0B0"/>
      </patternFill>
    </fill>
    <fill>
      <patternFill patternType="solid">
        <fgColor rgb="FF999999"/>
        <bgColor rgb="FF999999"/>
      </patternFill>
    </fill>
    <fill>
      <patternFill patternType="solid">
        <fgColor rgb="FF747474"/>
        <bgColor rgb="FF747474"/>
      </patternFill>
    </fill>
    <fill>
      <patternFill patternType="solid">
        <fgColor rgb="FF272727"/>
        <bgColor rgb="FF272727"/>
      </patternFill>
    </fill>
    <fill>
      <patternFill patternType="solid">
        <fgColor rgb="FF783F04"/>
        <bgColor rgb="FF783F04"/>
      </patternFill>
    </fill>
    <fill>
      <patternFill patternType="solid">
        <fgColor rgb="FFCCCCCC"/>
        <bgColor rgb="FFCCCCCC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666666"/>
        <bgColor rgb="FF666666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</fills>
  <borders count="36">
    <border/>
    <border>
      <top style="thick">
        <color rgb="FF000000"/>
      </top>
      <bottom style="thick">
        <color rgb="FF000000"/>
      </bottom>
    </border>
    <border>
      <left style="medium">
        <color rgb="FF000000"/>
      </lef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right style="thin">
        <color rgb="FF000000"/>
      </right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right style="thick">
        <color rgb="FF000000"/>
      </right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thick">
        <color rgb="FF000000"/>
      </bottom>
    </border>
    <border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thick">
        <color rgb="FF000000"/>
      </top>
      <bottom style="medium">
        <color rgb="FF000000"/>
      </bottom>
    </border>
    <border>
      <left style="medium">
        <color rgb="FF000000"/>
      </left>
    </border>
    <border>
      <right style="thin">
        <color rgb="FF000000"/>
      </right>
      <top style="thick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bottom style="thick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2" fontId="2" numFmtId="0" xfId="0" applyAlignment="1" applyFont="1">
      <alignment horizontal="center" readingOrder="0" textRotation="90" vertical="center"/>
    </xf>
    <xf borderId="0" fillId="2" fontId="3" numFmtId="0" xfId="0" applyAlignment="1" applyFont="1">
      <alignment horizontal="left" readingOrder="0" shrinkToFit="0" vertical="center" wrapText="0"/>
    </xf>
    <xf borderId="0" fillId="2" fontId="4" numFmtId="0" xfId="0" applyAlignment="1" applyFont="1">
      <alignment horizontal="left" readingOrder="0" shrinkToFit="0" vertical="center" wrapText="0"/>
    </xf>
    <xf borderId="0" fillId="2" fontId="5" numFmtId="0" xfId="0" applyAlignment="1" applyFont="1">
      <alignment horizontal="center" readingOrder="0" textRotation="90" vertical="center"/>
    </xf>
    <xf borderId="1" fillId="2" fontId="6" numFmtId="0" xfId="0" applyAlignment="1" applyBorder="1" applyFont="1">
      <alignment horizontal="center" readingOrder="0" textRotation="90" vertical="center"/>
    </xf>
    <xf borderId="0" fillId="2" fontId="7" numFmtId="0" xfId="0" applyAlignment="1" applyFont="1">
      <alignment horizontal="center" readingOrder="0" textRotation="90" vertical="center"/>
    </xf>
    <xf borderId="0" fillId="2" fontId="8" numFmtId="0" xfId="0" applyAlignment="1" applyFont="1">
      <alignment horizontal="left" readingOrder="0" shrinkToFit="0" vertical="center" wrapText="0"/>
    </xf>
    <xf borderId="2" fillId="2" fontId="9" numFmtId="0" xfId="0" applyAlignment="1" applyBorder="1" applyFont="1">
      <alignment horizontal="left" readingOrder="0" shrinkToFit="0" vertical="center" wrapText="0"/>
    </xf>
    <xf borderId="1" fillId="2" fontId="10" numFmtId="0" xfId="0" applyAlignment="1" applyBorder="1" applyFont="1">
      <alignment horizontal="center" readingOrder="0" shrinkToFit="0" vertical="center" wrapText="1"/>
    </xf>
    <xf borderId="3" fillId="2" fontId="11" numFmtId="0" xfId="0" applyAlignment="1" applyBorder="1" applyFont="1">
      <alignment horizontal="center" readingOrder="0" textRotation="0" vertical="center"/>
    </xf>
    <xf borderId="4" fillId="2" fontId="12" numFmtId="0" xfId="0" applyAlignment="1" applyBorder="1" applyFont="1">
      <alignment horizontal="center" readingOrder="0" vertical="center"/>
    </xf>
    <xf borderId="4" fillId="2" fontId="13" numFmtId="0" xfId="0" applyAlignment="1" applyBorder="1" applyFont="1">
      <alignment horizontal="center" readingOrder="0" vertical="center"/>
    </xf>
    <xf borderId="5" fillId="2" fontId="14" numFmtId="0" xfId="0" applyAlignment="1" applyBorder="1" applyFont="1">
      <alignment horizontal="center" readingOrder="0" vertical="center"/>
    </xf>
    <xf borderId="5" fillId="2" fontId="14" numFmtId="0" xfId="0" applyAlignment="1" applyBorder="1" applyFont="1">
      <alignment horizontal="center" readingOrder="0" shrinkToFit="0" textRotation="0" vertical="top" wrapText="0"/>
    </xf>
    <xf borderId="6" fillId="2" fontId="13" numFmtId="0" xfId="0" applyAlignment="1" applyBorder="1" applyFont="1">
      <alignment horizontal="center" readingOrder="0" vertical="center"/>
    </xf>
    <xf borderId="7" fillId="2" fontId="5" numFmtId="0" xfId="0" applyAlignment="1" applyBorder="1" applyFont="1">
      <alignment horizontal="center" readingOrder="0" textRotation="90" vertical="center"/>
    </xf>
    <xf borderId="7" fillId="2" fontId="6" numFmtId="0" xfId="0" applyAlignment="1" applyBorder="1" applyFont="1">
      <alignment horizontal="center" readingOrder="0" textRotation="90" vertical="center"/>
    </xf>
    <xf borderId="7" fillId="2" fontId="7" numFmtId="0" xfId="0" applyAlignment="1" applyBorder="1" applyFont="1">
      <alignment horizontal="center" readingOrder="0" textRotation="90" vertical="center"/>
    </xf>
    <xf borderId="0" fillId="2" fontId="7" numFmtId="164" xfId="0" applyAlignment="1" applyFont="1" applyNumberFormat="1">
      <alignment horizontal="center" readingOrder="0" textRotation="90" vertical="center"/>
    </xf>
    <xf borderId="2" fillId="2" fontId="15" numFmtId="0" xfId="0" applyAlignment="1" applyBorder="1" applyFont="1">
      <alignment horizontal="center" readingOrder="0" vertical="center"/>
    </xf>
    <xf borderId="1" fillId="3" fontId="16" numFmtId="0" xfId="0" applyAlignment="1" applyBorder="1" applyFill="1" applyFont="1">
      <alignment horizontal="center" readingOrder="0" shrinkToFit="0" textRotation="90" vertical="center" wrapText="1"/>
    </xf>
    <xf borderId="3" fillId="3" fontId="11" numFmtId="0" xfId="0" applyAlignment="1" applyBorder="1" applyFont="1">
      <alignment horizontal="center" readingOrder="0" textRotation="0" vertical="center"/>
    </xf>
    <xf borderId="4" fillId="3" fontId="17" numFmtId="0" xfId="0" applyAlignment="1" applyBorder="1" applyFont="1">
      <alignment horizontal="center" readingOrder="0" vertical="center"/>
    </xf>
    <xf borderId="4" fillId="3" fontId="18" numFmtId="0" xfId="0" applyAlignment="1" applyBorder="1" applyFont="1">
      <alignment horizontal="left" readingOrder="0" vertical="center"/>
    </xf>
    <xf borderId="5" fillId="3" fontId="19" numFmtId="0" xfId="0" applyAlignment="1" applyBorder="1" applyFont="1">
      <alignment horizontal="center" readingOrder="0" vertical="center"/>
    </xf>
    <xf borderId="8" fillId="3" fontId="20" numFmtId="0" xfId="0" applyAlignment="1" applyBorder="1" applyFont="1">
      <alignment horizontal="center" readingOrder="0" shrinkToFit="0" textRotation="0" vertical="top" wrapText="0"/>
    </xf>
    <xf borderId="9" fillId="3" fontId="21" numFmtId="14" xfId="0" applyAlignment="1" applyBorder="1" applyFont="1" applyNumberFormat="1">
      <alignment horizontal="center" readingOrder="0" vertical="center"/>
    </xf>
    <xf borderId="0" fillId="4" fontId="22" numFmtId="0" xfId="0" applyAlignment="1" applyFill="1" applyFont="1">
      <alignment horizontal="center" readingOrder="0" textRotation="90" vertical="center"/>
    </xf>
    <xf borderId="0" fillId="4" fontId="23" numFmtId="0" xfId="0" applyAlignment="1" applyFont="1">
      <alignment horizontal="center" readingOrder="0" textRotation="90" vertical="center"/>
    </xf>
    <xf borderId="0" fillId="4" fontId="24" numFmtId="164" xfId="0" applyAlignment="1" applyFont="1" applyNumberFormat="1">
      <alignment horizontal="center" readingOrder="0" textRotation="90" vertical="center"/>
    </xf>
    <xf borderId="0" fillId="2" fontId="25" numFmtId="0" xfId="0" applyAlignment="1" applyFont="1">
      <alignment horizontal="center" readingOrder="0" textRotation="90" vertical="center"/>
    </xf>
    <xf borderId="10" fillId="0" fontId="26" numFmtId="0" xfId="0" applyBorder="1" applyFont="1"/>
    <xf borderId="1" fillId="3" fontId="16" numFmtId="0" xfId="0" applyAlignment="1" applyBorder="1" applyFont="1">
      <alignment horizontal="center" shrinkToFit="0" textRotation="90" vertical="center" wrapText="1"/>
    </xf>
    <xf borderId="9" fillId="3" fontId="21" numFmtId="14" xfId="0" applyAlignment="1" applyBorder="1" applyFont="1" applyNumberFormat="1">
      <alignment horizontal="center" vertical="center"/>
    </xf>
    <xf borderId="6" fillId="3" fontId="21" numFmtId="14" xfId="0" applyAlignment="1" applyBorder="1" applyFont="1" applyNumberFormat="1">
      <alignment horizontal="center" vertical="center"/>
    </xf>
    <xf borderId="11" fillId="0" fontId="26" numFmtId="0" xfId="0" applyBorder="1" applyFont="1"/>
    <xf borderId="1" fillId="5" fontId="27" numFmtId="0" xfId="0" applyAlignment="1" applyBorder="1" applyFill="1" applyFont="1">
      <alignment horizontal="center" shrinkToFit="0" textRotation="90" vertical="center" wrapText="1"/>
    </xf>
    <xf borderId="4" fillId="3" fontId="18" numFmtId="0" xfId="0" applyAlignment="1" applyBorder="1" applyFont="1">
      <alignment vertical="center"/>
    </xf>
    <xf borderId="4" fillId="3" fontId="18" numFmtId="0" xfId="0" applyAlignment="1" applyBorder="1" applyFont="1">
      <alignment readingOrder="0" vertical="center"/>
    </xf>
    <xf borderId="5" fillId="3" fontId="21" numFmtId="14" xfId="0" applyAlignment="1" applyBorder="1" applyFont="1" applyNumberFormat="1">
      <alignment horizontal="center" vertical="center"/>
    </xf>
    <xf borderId="9" fillId="3" fontId="21" numFmtId="0" xfId="0" applyAlignment="1" applyBorder="1" applyFont="1">
      <alignment horizontal="center" readingOrder="0" textRotation="90" vertical="center"/>
    </xf>
    <xf borderId="7" fillId="3" fontId="16" numFmtId="0" xfId="0" applyAlignment="1" applyBorder="1" applyFont="1">
      <alignment horizontal="center" shrinkToFit="0" textRotation="90" vertical="center" wrapText="1"/>
    </xf>
    <xf borderId="12" fillId="3" fontId="16" numFmtId="0" xfId="0" applyAlignment="1" applyBorder="1" applyFont="1">
      <alignment horizontal="center" shrinkToFit="0" textRotation="90" vertical="center" wrapText="1"/>
    </xf>
    <xf borderId="4" fillId="3" fontId="11" numFmtId="0" xfId="0" applyAlignment="1" applyBorder="1" applyFont="1">
      <alignment horizontal="center" readingOrder="0" textRotation="0" vertical="center"/>
    </xf>
    <xf borderId="0" fillId="2" fontId="15" numFmtId="0" xfId="0" applyAlignment="1" applyFont="1">
      <alignment horizontal="center" readingOrder="0" vertical="center"/>
    </xf>
    <xf borderId="0" fillId="2" fontId="28" numFmtId="0" xfId="0" applyAlignment="1" applyFont="1">
      <alignment horizontal="center" shrinkToFit="0" textRotation="90" vertical="center" wrapText="1"/>
    </xf>
    <xf borderId="0" fillId="2" fontId="11" numFmtId="0" xfId="0" applyAlignment="1" applyFont="1">
      <alignment horizontal="center" readingOrder="0" textRotation="0" vertical="center"/>
    </xf>
    <xf borderId="0" fillId="2" fontId="17" numFmtId="0" xfId="0" applyAlignment="1" applyFont="1">
      <alignment horizontal="center" readingOrder="0" vertical="center"/>
    </xf>
    <xf borderId="0" fillId="2" fontId="18" numFmtId="0" xfId="0" applyAlignment="1" applyFont="1">
      <alignment horizontal="left" readingOrder="0" vertical="center"/>
    </xf>
    <xf borderId="0" fillId="2" fontId="29" numFmtId="0" xfId="0" applyAlignment="1" applyFont="1">
      <alignment horizontal="center" readingOrder="0" vertical="center"/>
    </xf>
    <xf borderId="0" fillId="2" fontId="29" numFmtId="0" xfId="0" applyAlignment="1" applyFont="1">
      <alignment horizontal="center" readingOrder="0" shrinkToFit="0" textRotation="0" vertical="top" wrapText="0"/>
    </xf>
    <xf borderId="13" fillId="2" fontId="21" numFmtId="0" xfId="0" applyAlignment="1" applyBorder="1" applyFont="1">
      <alignment horizontal="center" readingOrder="0" textRotation="90" vertical="center"/>
    </xf>
    <xf borderId="0" fillId="2" fontId="6" numFmtId="0" xfId="0" applyAlignment="1" applyFont="1">
      <alignment horizontal="center" readingOrder="0" textRotation="90" vertical="center"/>
    </xf>
    <xf borderId="0" fillId="2" fontId="30" numFmtId="0" xfId="0" applyAlignment="1" applyFont="1">
      <alignment horizontal="center" readingOrder="0" textRotation="90" vertical="center"/>
    </xf>
    <xf borderId="0" fillId="2" fontId="31" numFmtId="0" xfId="0" applyFont="1"/>
    <xf borderId="13" fillId="2" fontId="31" numFmtId="0" xfId="0" applyBorder="1" applyFont="1"/>
    <xf borderId="14" fillId="6" fontId="32" numFmtId="0" xfId="0" applyAlignment="1" applyBorder="1" applyFill="1" applyFont="1">
      <alignment horizontal="center" readingOrder="0" vertical="center"/>
    </xf>
    <xf borderId="15" fillId="6" fontId="33" numFmtId="0" xfId="0" applyAlignment="1" applyBorder="1" applyFont="1">
      <alignment horizontal="center" readingOrder="0" vertical="center"/>
    </xf>
    <xf borderId="16" fillId="7" fontId="34" numFmtId="0" xfId="0" applyAlignment="1" applyBorder="1" applyFill="1" applyFont="1">
      <alignment horizontal="center" readingOrder="0" vertical="center"/>
    </xf>
    <xf borderId="16" fillId="2" fontId="34" numFmtId="0" xfId="0" applyAlignment="1" applyBorder="1" applyFont="1">
      <alignment horizontal="center" readingOrder="0" vertical="center"/>
    </xf>
    <xf borderId="17" fillId="0" fontId="26" numFmtId="0" xfId="0" applyBorder="1" applyFont="1"/>
    <xf borderId="18" fillId="0" fontId="26" numFmtId="0" xfId="0" applyBorder="1" applyFont="1"/>
    <xf borderId="19" fillId="7" fontId="35" numFmtId="0" xfId="0" applyAlignment="1" applyBorder="1" applyFont="1">
      <alignment horizontal="center" readingOrder="0" vertical="center"/>
    </xf>
    <xf borderId="19" fillId="2" fontId="35" numFmtId="0" xfId="0" applyAlignment="1" applyBorder="1" applyFont="1">
      <alignment horizontal="center" readingOrder="0" vertical="center"/>
    </xf>
    <xf borderId="20" fillId="0" fontId="26" numFmtId="0" xfId="0" applyBorder="1" applyFont="1"/>
    <xf borderId="21" fillId="0" fontId="26" numFmtId="0" xfId="0" applyBorder="1" applyFont="1"/>
    <xf borderId="19" fillId="7" fontId="35" numFmtId="0" xfId="0" applyAlignment="1" applyBorder="1" applyFont="1">
      <alignment horizontal="left" readingOrder="0" shrinkToFit="0" vertical="center" wrapText="0"/>
    </xf>
    <xf borderId="19" fillId="7" fontId="35" numFmtId="0" xfId="0" applyAlignment="1" applyBorder="1" applyFont="1">
      <alignment horizontal="left" readingOrder="0" vertical="center"/>
    </xf>
    <xf borderId="19" fillId="7" fontId="36" numFmtId="0" xfId="0" applyBorder="1" applyFont="1"/>
    <xf borderId="19" fillId="2" fontId="36" numFmtId="0" xfId="0" applyBorder="1" applyFont="1"/>
    <xf borderId="17" fillId="2" fontId="31" numFmtId="0" xfId="0" applyAlignment="1" applyBorder="1" applyFont="1">
      <alignment horizontal="center"/>
    </xf>
    <xf borderId="14" fillId="8" fontId="37" numFmtId="0" xfId="0" applyAlignment="1" applyBorder="1" applyFill="1" applyFont="1">
      <alignment horizontal="center" readingOrder="0" vertical="center"/>
    </xf>
    <xf borderId="15" fillId="8" fontId="38" numFmtId="0" xfId="0" applyAlignment="1" applyBorder="1" applyFont="1">
      <alignment horizontal="center" readingOrder="0" vertical="center"/>
    </xf>
    <xf borderId="19" fillId="7" fontId="39" numFmtId="0" xfId="0" applyAlignment="1" applyBorder="1" applyFont="1">
      <alignment horizontal="left" readingOrder="0" vertical="center"/>
    </xf>
    <xf borderId="19" fillId="7" fontId="40" numFmtId="0" xfId="0" applyAlignment="1" applyBorder="1" applyFont="1">
      <alignment horizontal="left" readingOrder="0" vertical="center"/>
    </xf>
    <xf borderId="19" fillId="7" fontId="35" numFmtId="0" xfId="0" applyAlignment="1" applyBorder="1" applyFont="1">
      <alignment vertical="center"/>
    </xf>
    <xf borderId="19" fillId="7" fontId="36" numFmtId="0" xfId="0" applyAlignment="1" applyBorder="1" applyFont="1">
      <alignment readingOrder="0"/>
    </xf>
    <xf borderId="14" fillId="9" fontId="41" numFmtId="0" xfId="0" applyAlignment="1" applyBorder="1" applyFill="1" applyFont="1">
      <alignment horizontal="center" readingOrder="0" vertical="center"/>
    </xf>
    <xf borderId="15" fillId="9" fontId="42" numFmtId="0" xfId="0" applyAlignment="1" applyBorder="1" applyFont="1">
      <alignment horizontal="center" readingOrder="0" vertical="center"/>
    </xf>
    <xf borderId="14" fillId="10" fontId="43" numFmtId="0" xfId="0" applyAlignment="1" applyBorder="1" applyFill="1" applyFont="1">
      <alignment horizontal="center" readingOrder="0" vertical="center"/>
    </xf>
    <xf borderId="15" fillId="10" fontId="44" numFmtId="0" xfId="0" applyAlignment="1" applyBorder="1" applyFont="1">
      <alignment horizontal="center" readingOrder="0" vertical="center"/>
    </xf>
    <xf borderId="22" fillId="7" fontId="45" numFmtId="0" xfId="0" applyAlignment="1" applyBorder="1" applyFont="1">
      <alignment horizontal="left" readingOrder="0" vertical="center"/>
    </xf>
    <xf borderId="19" fillId="7" fontId="46" numFmtId="0" xfId="0" applyBorder="1" applyFont="1"/>
    <xf borderId="19" fillId="2" fontId="46" numFmtId="0" xfId="0" applyBorder="1" applyFont="1"/>
    <xf borderId="14" fillId="11" fontId="47" numFmtId="0" xfId="0" applyAlignment="1" applyBorder="1" applyFill="1" applyFont="1">
      <alignment horizontal="center" readingOrder="0" vertical="center"/>
    </xf>
    <xf borderId="15" fillId="11" fontId="48" numFmtId="0" xfId="0" applyAlignment="1" applyBorder="1" applyFont="1">
      <alignment horizontal="center" readingOrder="0" vertical="center"/>
    </xf>
    <xf borderId="19" fillId="7" fontId="49" numFmtId="0" xfId="0" applyAlignment="1" applyBorder="1" applyFont="1">
      <alignment horizontal="center" readingOrder="0" vertical="center"/>
    </xf>
    <xf borderId="23" fillId="7" fontId="45" numFmtId="0" xfId="0" applyAlignment="1" applyBorder="1" applyFont="1">
      <alignment horizontal="left" readingOrder="0" shrinkToFit="0" vertical="center" wrapText="0"/>
    </xf>
    <xf borderId="19" fillId="7" fontId="35" numFmtId="0" xfId="0" applyAlignment="1" applyBorder="1" applyFont="1">
      <alignment shrinkToFit="0" wrapText="0"/>
    </xf>
    <xf borderId="19" fillId="2" fontId="35" numFmtId="0" xfId="0" applyAlignment="1" applyBorder="1" applyFont="1">
      <alignment shrinkToFit="0" wrapText="0"/>
    </xf>
    <xf borderId="14" fillId="12" fontId="50" numFmtId="0" xfId="0" applyAlignment="1" applyBorder="1" applyFill="1" applyFont="1">
      <alignment horizontal="center" readingOrder="0" vertical="center"/>
    </xf>
    <xf borderId="15" fillId="12" fontId="51" numFmtId="0" xfId="0" applyAlignment="1" applyBorder="1" applyFont="1">
      <alignment horizontal="center" readingOrder="0" vertical="center"/>
    </xf>
    <xf borderId="23" fillId="7" fontId="45" numFmtId="0" xfId="0" applyAlignment="1" applyBorder="1" applyFont="1">
      <alignment horizontal="left" readingOrder="0" vertical="center"/>
    </xf>
    <xf borderId="19" fillId="2" fontId="46" numFmtId="0" xfId="0" applyAlignment="1" applyBorder="1" applyFont="1">
      <alignment horizontal="left" vertical="center"/>
    </xf>
    <xf borderId="14" fillId="13" fontId="52" numFmtId="0" xfId="0" applyAlignment="1" applyBorder="1" applyFill="1" applyFont="1">
      <alignment horizontal="center" readingOrder="0" vertical="center"/>
    </xf>
    <xf borderId="15" fillId="13" fontId="48" numFmtId="0" xfId="0" applyAlignment="1" applyBorder="1" applyFont="1">
      <alignment horizontal="center" readingOrder="0" vertical="center"/>
    </xf>
    <xf borderId="24" fillId="2" fontId="53" numFmtId="0" xfId="0" applyAlignment="1" applyBorder="1" applyFont="1">
      <alignment horizontal="center" vertical="center"/>
    </xf>
    <xf borderId="24" fillId="2" fontId="54" numFmtId="0" xfId="0" applyAlignment="1" applyBorder="1" applyFont="1">
      <alignment horizontal="center" readingOrder="0" vertical="center"/>
    </xf>
    <xf borderId="24" fillId="2" fontId="54" numFmtId="0" xfId="0" applyAlignment="1" applyBorder="1" applyFont="1">
      <alignment horizontal="left" readingOrder="0" vertical="center"/>
    </xf>
    <xf borderId="24" fillId="2" fontId="55" numFmtId="0" xfId="0" applyAlignment="1" applyBorder="1" applyFont="1">
      <alignment horizontal="center" vertical="center"/>
    </xf>
    <xf borderId="24" fillId="2" fontId="55" numFmtId="0" xfId="0" applyAlignment="1" applyBorder="1" applyFont="1">
      <alignment horizontal="left" vertical="center"/>
    </xf>
    <xf borderId="24" fillId="2" fontId="40" numFmtId="0" xfId="0" applyAlignment="1" applyBorder="1" applyFont="1">
      <alignment horizontal="left" textRotation="90" vertical="center"/>
    </xf>
    <xf borderId="24" fillId="2" fontId="53" numFmtId="0" xfId="0" applyAlignment="1" applyBorder="1" applyFont="1">
      <alignment horizontal="center" readingOrder="0" vertical="center"/>
    </xf>
    <xf borderId="24" fillId="14" fontId="55" numFmtId="0" xfId="0" applyAlignment="1" applyBorder="1" applyFill="1" applyFont="1">
      <alignment horizontal="center" vertical="center"/>
    </xf>
    <xf borderId="24" fillId="10" fontId="55" numFmtId="0" xfId="0" applyAlignment="1" applyBorder="1" applyFont="1">
      <alignment horizontal="left" vertical="center"/>
    </xf>
    <xf borderId="1" fillId="7" fontId="1" numFmtId="0" xfId="0" applyAlignment="1" applyBorder="1" applyFont="1">
      <alignment horizontal="center" readingOrder="0" textRotation="0" vertical="center"/>
    </xf>
    <xf borderId="24" fillId="7" fontId="55" numFmtId="0" xfId="0" applyAlignment="1" applyBorder="1" applyFont="1">
      <alignment horizontal="center" vertical="center"/>
    </xf>
    <xf borderId="24" fillId="0" fontId="56" numFmtId="0" xfId="0" applyAlignment="1" applyBorder="1" applyFont="1">
      <alignment horizontal="left" readingOrder="0" textRotation="90" vertical="center"/>
    </xf>
    <xf borderId="24" fillId="2" fontId="40" numFmtId="0" xfId="0" applyAlignment="1" applyBorder="1" applyFont="1">
      <alignment horizontal="left" textRotation="90" vertical="center"/>
    </xf>
    <xf borderId="24" fillId="7" fontId="1" numFmtId="0" xfId="0" applyAlignment="1" applyBorder="1" applyFont="1">
      <alignment horizontal="center" textRotation="0" vertical="center"/>
    </xf>
    <xf borderId="24" fillId="0" fontId="23" numFmtId="0" xfId="0" applyAlignment="1" applyBorder="1" applyFont="1">
      <alignment horizontal="left" textRotation="90" vertical="center"/>
    </xf>
    <xf borderId="0" fillId="2" fontId="53" numFmtId="0" xfId="0" applyAlignment="1" applyFont="1">
      <alignment horizontal="center" vertical="center"/>
    </xf>
    <xf borderId="0" fillId="14" fontId="55" numFmtId="0" xfId="0" applyAlignment="1" applyFont="1">
      <alignment horizontal="center" vertical="center"/>
    </xf>
    <xf borderId="0" fillId="10" fontId="55" numFmtId="0" xfId="0" applyAlignment="1" applyFont="1">
      <alignment horizontal="left" vertical="center"/>
    </xf>
    <xf borderId="24" fillId="0" fontId="26" numFmtId="0" xfId="0" applyBorder="1" applyFont="1"/>
    <xf borderId="24" fillId="7" fontId="1" numFmtId="0" xfId="0" applyAlignment="1" applyBorder="1" applyFont="1">
      <alignment horizontal="center" readingOrder="0" textRotation="0" vertical="center"/>
    </xf>
    <xf borderId="24" fillId="0" fontId="23" numFmtId="0" xfId="0" applyAlignment="1" applyBorder="1" applyFont="1">
      <alignment horizontal="left" readingOrder="0" textRotation="90" vertical="center"/>
    </xf>
    <xf borderId="24" fillId="7" fontId="57" numFmtId="0" xfId="0" applyAlignment="1" applyBorder="1" applyFont="1">
      <alignment horizontal="center" readingOrder="0" vertical="center"/>
    </xf>
    <xf borderId="24" fillId="0" fontId="40" numFmtId="0" xfId="0" applyAlignment="1" applyBorder="1" applyFont="1">
      <alignment horizontal="left" readingOrder="0" textRotation="90" vertical="center"/>
    </xf>
    <xf borderId="1" fillId="2" fontId="53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 textRotation="0" vertical="center"/>
    </xf>
    <xf borderId="1" fillId="2" fontId="55" numFmtId="0" xfId="0" applyAlignment="1" applyBorder="1" applyFont="1">
      <alignment horizontal="left" vertical="center"/>
    </xf>
    <xf borderId="1" fillId="0" fontId="58" numFmtId="0" xfId="0" applyAlignment="1" applyBorder="1" applyFont="1">
      <alignment horizontal="left" readingOrder="0" textRotation="90" vertical="center"/>
    </xf>
    <xf borderId="1" fillId="2" fontId="40" numFmtId="0" xfId="0" applyAlignment="1" applyBorder="1" applyFont="1">
      <alignment horizontal="left" textRotation="90" vertical="center"/>
    </xf>
    <xf borderId="1" fillId="0" fontId="40" numFmtId="0" xfId="0" applyAlignment="1" applyBorder="1" applyFont="1">
      <alignment horizontal="left" textRotation="90" vertical="center"/>
    </xf>
    <xf borderId="1" fillId="2" fontId="40" numFmtId="0" xfId="0" applyAlignment="1" applyBorder="1" applyFont="1">
      <alignment horizontal="left" textRotation="90" vertical="center"/>
    </xf>
    <xf borderId="1" fillId="0" fontId="40" numFmtId="0" xfId="0" applyAlignment="1" applyBorder="1" applyFont="1">
      <alignment horizontal="left" textRotation="90" vertical="center"/>
    </xf>
    <xf borderId="1" fillId="7" fontId="55" numFmtId="0" xfId="0" applyAlignment="1" applyBorder="1" applyFont="1">
      <alignment horizontal="left" vertical="center"/>
    </xf>
    <xf borderId="1" fillId="0" fontId="23" numFmtId="0" xfId="0" applyAlignment="1" applyBorder="1" applyFont="1">
      <alignment horizontal="left" readingOrder="0" textRotation="90" vertical="center"/>
    </xf>
    <xf borderId="1" fillId="7" fontId="55" numFmtId="0" xfId="0" applyAlignment="1" applyBorder="1" applyFont="1">
      <alignment horizontal="center" vertical="center"/>
    </xf>
    <xf borderId="1" fillId="2" fontId="55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textRotation="0" vertical="center"/>
    </xf>
    <xf borderId="1" fillId="2" fontId="40" numFmtId="0" xfId="0" applyAlignment="1" applyBorder="1" applyFont="1">
      <alignment horizontal="left" readingOrder="0" textRotation="90" vertical="center"/>
    </xf>
    <xf borderId="0" fillId="2" fontId="59" numFmtId="0" xfId="0" applyAlignment="1" applyFont="1">
      <alignment horizontal="center" readingOrder="0" vertical="center"/>
    </xf>
    <xf borderId="0" fillId="15" fontId="59" numFmtId="0" xfId="0" applyAlignment="1" applyFill="1" applyFont="1">
      <alignment horizontal="center" readingOrder="0" vertical="center"/>
    </xf>
    <xf borderId="0" fillId="2" fontId="31" numFmtId="0" xfId="0" applyAlignment="1" applyFont="1">
      <alignment horizontal="center" vertical="center"/>
    </xf>
    <xf borderId="0" fillId="2" fontId="60" numFmtId="0" xfId="0" applyAlignment="1" applyFont="1">
      <alignment horizontal="center" readingOrder="0" vertical="center"/>
    </xf>
    <xf borderId="0" fillId="16" fontId="60" numFmtId="0" xfId="0" applyAlignment="1" applyFill="1" applyFont="1">
      <alignment horizontal="center" readingOrder="0" vertical="center"/>
    </xf>
    <xf borderId="0" fillId="2" fontId="61" numFmtId="0" xfId="0" applyAlignment="1" applyFont="1">
      <alignment horizontal="center" vertical="center"/>
    </xf>
    <xf borderId="0" fillId="0" fontId="61" numFmtId="0" xfId="0" applyAlignment="1" applyFont="1">
      <alignment horizontal="center" vertical="center"/>
    </xf>
    <xf borderId="0" fillId="0" fontId="62" numFmtId="0" xfId="0" applyAlignment="1" applyFont="1">
      <alignment horizontal="center" readingOrder="0" vertical="center"/>
    </xf>
    <xf borderId="0" fillId="0" fontId="63" numFmtId="0" xfId="0" applyAlignment="1" applyFont="1">
      <alignment horizontal="center" vertical="center"/>
    </xf>
    <xf borderId="0" fillId="0" fontId="63" numFmtId="0" xfId="0" applyAlignment="1" applyFont="1">
      <alignment horizontal="center" readingOrder="0" vertical="center"/>
    </xf>
    <xf borderId="0" fillId="0" fontId="64" numFmtId="0" xfId="0" applyAlignment="1" applyFont="1">
      <alignment horizontal="center" readingOrder="0" shrinkToFit="0" textRotation="90" vertical="center" wrapText="0"/>
    </xf>
    <xf borderId="0" fillId="0" fontId="65" numFmtId="0" xfId="0" applyAlignment="1" applyFont="1">
      <alignment horizontal="center" readingOrder="0" shrinkToFit="0" textRotation="90" vertical="center" wrapText="0"/>
    </xf>
    <xf borderId="0" fillId="0" fontId="63" numFmtId="14" xfId="0" applyAlignment="1" applyFont="1" applyNumberFormat="1">
      <alignment horizontal="center" vertical="center"/>
    </xf>
    <xf borderId="0" fillId="2" fontId="31" numFmtId="0" xfId="0" applyAlignment="1" applyFont="1">
      <alignment horizontal="center" readingOrder="0" vertical="center"/>
    </xf>
    <xf borderId="0" fillId="0" fontId="31" numFmtId="0" xfId="0" applyAlignment="1" applyFont="1">
      <alignment horizontal="center" vertical="center"/>
    </xf>
    <xf borderId="0" fillId="0" fontId="62" numFmtId="0" xfId="0" applyAlignment="1" applyFont="1">
      <alignment horizontal="center" vertical="center"/>
    </xf>
    <xf borderId="0" fillId="0" fontId="64" numFmtId="0" xfId="0" applyAlignment="1" applyFont="1">
      <alignment horizontal="center" shrinkToFit="0" textRotation="90" vertical="center" wrapText="0"/>
    </xf>
    <xf borderId="0" fillId="2" fontId="66" numFmtId="0" xfId="0" applyAlignment="1" applyFont="1">
      <alignment horizontal="center" readingOrder="0" vertical="center"/>
    </xf>
    <xf borderId="0" fillId="2" fontId="67" numFmtId="0" xfId="0" applyAlignment="1" applyFont="1">
      <alignment horizontal="center" vertical="center"/>
    </xf>
    <xf borderId="1" fillId="17" fontId="67" numFmtId="0" xfId="0" applyAlignment="1" applyBorder="1" applyFill="1" applyFont="1">
      <alignment horizontal="center" readingOrder="0" vertical="center"/>
    </xf>
    <xf borderId="1" fillId="0" fontId="26" numFmtId="0" xfId="0" applyBorder="1" applyFont="1"/>
    <xf borderId="0" fillId="6" fontId="68" numFmtId="0" xfId="0" applyAlignment="1" applyFont="1">
      <alignment horizontal="center" readingOrder="0" vertical="center"/>
    </xf>
    <xf borderId="0" fillId="4" fontId="69" numFmtId="0" xfId="0" applyAlignment="1" applyFont="1">
      <alignment horizontal="center" vertical="center"/>
    </xf>
    <xf borderId="0" fillId="4" fontId="70" numFmtId="0" xfId="0" applyAlignment="1" applyFont="1">
      <alignment horizontal="left" readingOrder="0" vertical="center"/>
    </xf>
    <xf borderId="17" fillId="8" fontId="69" numFmtId="0" xfId="0" applyAlignment="1" applyBorder="1" applyFont="1">
      <alignment horizontal="center" readingOrder="0" vertical="center"/>
    </xf>
    <xf borderId="13" fillId="8" fontId="69" numFmtId="0" xfId="0" applyAlignment="1" applyBorder="1" applyFont="1">
      <alignment horizontal="center" readingOrder="0" vertical="center"/>
    </xf>
    <xf borderId="0" fillId="7" fontId="69" numFmtId="0" xfId="0" applyAlignment="1" applyFont="1">
      <alignment horizontal="center" vertical="center"/>
    </xf>
    <xf borderId="0" fillId="7" fontId="69" numFmtId="0" xfId="0" applyAlignment="1" applyFont="1">
      <alignment horizontal="left" vertical="center"/>
    </xf>
    <xf borderId="25" fillId="0" fontId="26" numFmtId="0" xfId="0" applyBorder="1" applyFont="1"/>
    <xf borderId="25" fillId="4" fontId="69" numFmtId="0" xfId="0" applyAlignment="1" applyBorder="1" applyFont="1">
      <alignment horizontal="center" vertical="center"/>
    </xf>
    <xf borderId="25" fillId="4" fontId="69" numFmtId="0" xfId="0" applyAlignment="1" applyBorder="1" applyFont="1">
      <alignment horizontal="left" readingOrder="0" vertical="center"/>
    </xf>
    <xf borderId="20" fillId="8" fontId="69" numFmtId="4" xfId="0" applyAlignment="1" applyBorder="1" applyFont="1" applyNumberFormat="1">
      <alignment horizontal="center" readingOrder="0" vertical="center"/>
    </xf>
    <xf borderId="20" fillId="8" fontId="69" numFmtId="0" xfId="0" applyAlignment="1" applyBorder="1" applyFont="1">
      <alignment horizontal="center" readingOrder="0" vertical="center"/>
    </xf>
    <xf borderId="19" fillId="8" fontId="69" numFmtId="0" xfId="0" applyAlignment="1" applyBorder="1" applyFont="1">
      <alignment horizontal="center" readingOrder="0" vertical="center"/>
    </xf>
    <xf borderId="26" fillId="6" fontId="68" numFmtId="0" xfId="0" applyAlignment="1" applyBorder="1" applyFont="1">
      <alignment horizontal="center" readingOrder="0" vertical="center"/>
    </xf>
    <xf borderId="26" fillId="0" fontId="26" numFmtId="0" xfId="0" applyBorder="1" applyFont="1"/>
    <xf borderId="15" fillId="0" fontId="26" numFmtId="0" xfId="0" applyBorder="1" applyFont="1"/>
    <xf borderId="26" fillId="4" fontId="69" numFmtId="0" xfId="0" applyAlignment="1" applyBorder="1" applyFont="1">
      <alignment horizontal="center" vertical="center"/>
    </xf>
    <xf borderId="26" fillId="4" fontId="70" numFmtId="0" xfId="0" applyAlignment="1" applyBorder="1" applyFont="1">
      <alignment horizontal="left" readingOrder="0" vertical="center"/>
    </xf>
    <xf borderId="27" fillId="8" fontId="69" numFmtId="0" xfId="0" applyAlignment="1" applyBorder="1" applyFont="1">
      <alignment horizontal="center" readingOrder="0" vertical="center"/>
    </xf>
    <xf borderId="0" fillId="4" fontId="69" numFmtId="0" xfId="0" applyAlignment="1" applyFont="1">
      <alignment horizontal="left" readingOrder="0" vertical="center"/>
    </xf>
    <xf borderId="28" fillId="17" fontId="71" numFmtId="0" xfId="0" applyAlignment="1" applyBorder="1" applyFont="1">
      <alignment horizontal="center" vertical="center"/>
    </xf>
    <xf borderId="28" fillId="0" fontId="26" numFmtId="0" xfId="0" applyBorder="1" applyFont="1"/>
    <xf borderId="0" fillId="18" fontId="72" numFmtId="0" xfId="0" applyAlignment="1" applyFill="1" applyFont="1">
      <alignment horizontal="center" vertical="center"/>
    </xf>
    <xf borderId="0" fillId="18" fontId="73" numFmtId="0" xfId="0" applyAlignment="1" applyFont="1">
      <alignment readingOrder="0" vertical="center"/>
    </xf>
    <xf borderId="13" fillId="10" fontId="74" numFmtId="0" xfId="0" applyAlignment="1" applyBorder="1" applyFont="1">
      <alignment horizontal="center" readingOrder="0" vertical="center"/>
    </xf>
    <xf borderId="13" fillId="10" fontId="75" numFmtId="0" xfId="0" applyAlignment="1" applyBorder="1" applyFont="1">
      <alignment horizontal="center" readingOrder="0" vertical="center"/>
    </xf>
    <xf borderId="0" fillId="18" fontId="73" numFmtId="0" xfId="0" applyAlignment="1" applyFont="1">
      <alignment vertical="center"/>
    </xf>
    <xf borderId="0" fillId="2" fontId="76" numFmtId="0" xfId="0" applyAlignment="1" applyFont="1">
      <alignment horizontal="center" readingOrder="0" vertical="center"/>
    </xf>
    <xf borderId="0" fillId="2" fontId="68" numFmtId="0" xfId="0" applyAlignment="1" applyFont="1">
      <alignment horizontal="center" readingOrder="0" vertical="center"/>
    </xf>
    <xf borderId="0" fillId="2" fontId="31" numFmtId="0" xfId="0" applyAlignment="1" applyFont="1">
      <alignment vertical="center"/>
    </xf>
    <xf borderId="1" fillId="15" fontId="67" numFmtId="0" xfId="0" applyAlignment="1" applyBorder="1" applyFont="1">
      <alignment horizontal="center" readingOrder="0" vertical="center"/>
    </xf>
    <xf borderId="28" fillId="15" fontId="71" numFmtId="0" xfId="0" applyAlignment="1" applyBorder="1" applyFont="1">
      <alignment horizontal="center" vertical="center"/>
    </xf>
    <xf borderId="1" fillId="19" fontId="67" numFmtId="0" xfId="0" applyAlignment="1" applyBorder="1" applyFill="1" applyFont="1">
      <alignment horizontal="center" readingOrder="0" vertical="center"/>
    </xf>
    <xf borderId="0" fillId="4" fontId="31" numFmtId="0" xfId="0" applyAlignment="1" applyFont="1">
      <alignment horizontal="center" vertical="center"/>
    </xf>
    <xf borderId="0" fillId="4" fontId="77" numFmtId="0" xfId="0" applyAlignment="1" applyFont="1">
      <alignment readingOrder="0" vertical="center"/>
    </xf>
    <xf borderId="17" fillId="8" fontId="77" numFmtId="0" xfId="0" applyAlignment="1" applyBorder="1" applyFont="1">
      <alignment horizontal="center" readingOrder="0" vertical="center"/>
    </xf>
    <xf borderId="29" fillId="7" fontId="31" numFmtId="0" xfId="0" applyAlignment="1" applyBorder="1" applyFont="1">
      <alignment vertical="center"/>
    </xf>
    <xf borderId="13" fillId="8" fontId="77" numFmtId="0" xfId="0" applyAlignment="1" applyBorder="1" applyFont="1">
      <alignment horizontal="center" readingOrder="0" vertical="center"/>
    </xf>
    <xf borderId="7" fillId="4" fontId="72" numFmtId="0" xfId="0" applyAlignment="1" applyBorder="1" applyFont="1">
      <alignment vertical="center"/>
    </xf>
    <xf borderId="7" fillId="4" fontId="77" numFmtId="0" xfId="0" applyAlignment="1" applyBorder="1" applyFont="1">
      <alignment vertical="center"/>
    </xf>
    <xf borderId="30" fillId="8" fontId="77" numFmtId="0" xfId="0" applyAlignment="1" applyBorder="1" applyFont="1">
      <alignment horizontal="center" vertical="center"/>
    </xf>
    <xf borderId="29" fillId="0" fontId="26" numFmtId="0" xfId="0" applyBorder="1" applyFont="1"/>
    <xf borderId="0" fillId="4" fontId="31" numFmtId="0" xfId="0" applyAlignment="1" applyFont="1">
      <alignment vertical="center"/>
    </xf>
    <xf borderId="0" fillId="4" fontId="72" numFmtId="0" xfId="0" applyAlignment="1" applyFont="1">
      <alignment vertical="center"/>
    </xf>
    <xf borderId="0" fillId="4" fontId="77" numFmtId="0" xfId="0" applyAlignment="1" applyFont="1">
      <alignment vertical="center"/>
    </xf>
    <xf borderId="17" fillId="8" fontId="77" numFmtId="0" xfId="0" applyAlignment="1" applyBorder="1" applyFont="1">
      <alignment horizontal="center" vertical="center"/>
    </xf>
    <xf borderId="13" fillId="0" fontId="26" numFmtId="0" xfId="0" applyBorder="1" applyFont="1"/>
    <xf borderId="20" fillId="8" fontId="77" numFmtId="0" xfId="0" applyAlignment="1" applyBorder="1" applyFont="1">
      <alignment horizontal="center" readingOrder="0" vertical="center"/>
    </xf>
    <xf borderId="31" fillId="0" fontId="26" numFmtId="0" xfId="0" applyBorder="1" applyFont="1"/>
    <xf borderId="19" fillId="8" fontId="77" numFmtId="0" xfId="0" applyAlignment="1" applyBorder="1" applyFont="1">
      <alignment horizontal="center" readingOrder="0" vertical="center"/>
    </xf>
    <xf borderId="25" fillId="4" fontId="72" numFmtId="0" xfId="0" applyAlignment="1" applyBorder="1" applyFont="1">
      <alignment vertical="center"/>
    </xf>
    <xf borderId="25" fillId="4" fontId="77" numFmtId="0" xfId="0" applyAlignment="1" applyBorder="1" applyFont="1">
      <alignment vertical="center"/>
    </xf>
    <xf borderId="20" fillId="8" fontId="77" numFmtId="0" xfId="0" applyAlignment="1" applyBorder="1" applyFont="1">
      <alignment horizontal="center" vertical="center"/>
    </xf>
    <xf borderId="0" fillId="8" fontId="77" numFmtId="0" xfId="0" applyAlignment="1" applyFont="1">
      <alignment horizontal="center" readingOrder="0" vertical="center"/>
    </xf>
    <xf borderId="26" fillId="4" fontId="31" numFmtId="0" xfId="0" applyAlignment="1" applyBorder="1" applyFont="1">
      <alignment horizontal="center" vertical="center"/>
    </xf>
    <xf borderId="26" fillId="4" fontId="77" numFmtId="0" xfId="0" applyAlignment="1" applyBorder="1" applyFont="1">
      <alignment readingOrder="0" vertical="center"/>
    </xf>
    <xf borderId="26" fillId="8" fontId="77" numFmtId="0" xfId="0" applyAlignment="1" applyBorder="1" applyFont="1">
      <alignment horizontal="center" readingOrder="0" vertical="center"/>
    </xf>
    <xf borderId="13" fillId="8" fontId="77" numFmtId="0" xfId="0" applyAlignment="1" applyBorder="1" applyFont="1">
      <alignment horizontal="center" vertical="center"/>
    </xf>
    <xf borderId="25" fillId="8" fontId="77" numFmtId="0" xfId="0" applyAlignment="1" applyBorder="1" applyFont="1">
      <alignment horizontal="center" readingOrder="0" vertical="center"/>
    </xf>
    <xf borderId="19" fillId="8" fontId="77" numFmtId="0" xfId="0" applyAlignment="1" applyBorder="1" applyFont="1">
      <alignment horizontal="center" vertical="center"/>
    </xf>
    <xf borderId="32" fillId="7" fontId="31" numFmtId="0" xfId="0" applyAlignment="1" applyBorder="1" applyFont="1">
      <alignment vertical="center"/>
    </xf>
    <xf borderId="24" fillId="4" fontId="72" numFmtId="0" xfId="0" applyAlignment="1" applyBorder="1" applyFont="1">
      <alignment vertical="center"/>
    </xf>
    <xf borderId="24" fillId="4" fontId="77" numFmtId="0" xfId="0" applyAlignment="1" applyBorder="1" applyFont="1">
      <alignment vertical="center"/>
    </xf>
    <xf borderId="33" fillId="8" fontId="77" numFmtId="0" xfId="0" applyAlignment="1" applyBorder="1" applyFont="1">
      <alignment horizontal="center" vertical="center"/>
    </xf>
    <xf borderId="28" fillId="19" fontId="71" numFmtId="0" xfId="0" applyAlignment="1" applyBorder="1" applyFont="1">
      <alignment horizontal="center" vertical="center"/>
    </xf>
    <xf borderId="13" fillId="10" fontId="78" numFmtId="0" xfId="0" applyAlignment="1" applyBorder="1" applyFont="1">
      <alignment horizontal="center" readingOrder="0" vertical="center"/>
    </xf>
    <xf borderId="0" fillId="7" fontId="72" numFmtId="0" xfId="0" applyAlignment="1" applyFont="1">
      <alignment vertical="center"/>
    </xf>
    <xf borderId="1" fillId="20" fontId="67" numFmtId="0" xfId="0" applyAlignment="1" applyBorder="1" applyFill="1" applyFont="1">
      <alignment horizontal="center" readingOrder="0" vertical="center"/>
    </xf>
    <xf borderId="29" fillId="7" fontId="31" numFmtId="0" xfId="0" applyAlignment="1" applyBorder="1" applyFont="1">
      <alignment horizontal="center" vertical="center"/>
    </xf>
    <xf borderId="32" fillId="7" fontId="31" numFmtId="0" xfId="0" applyAlignment="1" applyBorder="1" applyFont="1">
      <alignment horizontal="center" vertical="center"/>
    </xf>
    <xf borderId="28" fillId="20" fontId="71" numFmtId="0" xfId="0" applyAlignment="1" applyBorder="1" applyFont="1">
      <alignment horizontal="center" vertical="center"/>
    </xf>
    <xf borderId="0" fillId="18" fontId="72" numFmtId="0" xfId="0" applyAlignment="1" applyFont="1">
      <alignment vertical="center"/>
    </xf>
    <xf borderId="13" fillId="10" fontId="74" numFmtId="0" xfId="0" applyAlignment="1" applyBorder="1" applyFont="1">
      <alignment horizontal="center" vertical="center"/>
    </xf>
    <xf borderId="13" fillId="10" fontId="75" numFmtId="0" xfId="0" applyAlignment="1" applyBorder="1" applyFont="1">
      <alignment horizontal="center" vertical="center"/>
    </xf>
    <xf borderId="0" fillId="2" fontId="79" numFmtId="0" xfId="0" applyAlignment="1" applyFont="1">
      <alignment horizontal="center" readingOrder="0" vertical="center"/>
    </xf>
    <xf borderId="0" fillId="7" fontId="31" numFmtId="0" xfId="0" applyAlignment="1" applyFont="1">
      <alignment vertical="center"/>
    </xf>
    <xf borderId="1" fillId="21" fontId="67" numFmtId="0" xfId="0" applyAlignment="1" applyBorder="1" applyFill="1" applyFont="1">
      <alignment horizontal="center" readingOrder="0" vertical="center"/>
    </xf>
    <xf borderId="1" fillId="22" fontId="80" numFmtId="0" xfId="0" applyAlignment="1" applyBorder="1" applyFill="1" applyFont="1">
      <alignment horizontal="center" readingOrder="0" vertical="center"/>
    </xf>
    <xf borderId="7" fillId="2" fontId="71" numFmtId="0" xfId="0" applyAlignment="1" applyBorder="1" applyFont="1">
      <alignment horizontal="center" readingOrder="0" vertical="center"/>
    </xf>
    <xf borderId="7" fillId="0" fontId="26" numFmtId="0" xfId="0" applyBorder="1" applyFont="1"/>
    <xf borderId="30" fillId="0" fontId="26" numFmtId="0" xfId="0" applyBorder="1" applyFont="1"/>
    <xf borderId="0" fillId="6" fontId="81" numFmtId="0" xfId="0" applyAlignment="1" applyFont="1">
      <alignment horizontal="center" readingOrder="0" vertical="center"/>
    </xf>
    <xf borderId="0" fillId="4" fontId="82" numFmtId="0" xfId="0" applyAlignment="1" applyFont="1">
      <alignment horizontal="center" vertical="center"/>
    </xf>
    <xf borderId="0" fillId="4" fontId="69" numFmtId="0" xfId="0" applyAlignment="1" applyFont="1">
      <alignment readingOrder="0" vertical="center"/>
    </xf>
    <xf borderId="34" fillId="4" fontId="82" numFmtId="0" xfId="0" applyAlignment="1" applyBorder="1" applyFont="1">
      <alignment horizontal="center" vertical="center"/>
    </xf>
    <xf borderId="34" fillId="0" fontId="26" numFmtId="0" xfId="0" applyBorder="1" applyFont="1"/>
    <xf borderId="35" fillId="0" fontId="26" numFmtId="0" xfId="0" applyBorder="1" applyFont="1"/>
    <xf borderId="0" fillId="2" fontId="82" numFmtId="0" xfId="0" applyAlignment="1" applyFont="1">
      <alignment horizontal="center" vertical="center"/>
    </xf>
    <xf borderId="34" fillId="4" fontId="69" numFmtId="0" xfId="0" applyAlignment="1" applyBorder="1" applyFont="1">
      <alignment horizontal="center" vertical="center"/>
    </xf>
    <xf borderId="34" fillId="4" fontId="69" numFmtId="0" xfId="0" applyAlignment="1" applyBorder="1" applyFont="1">
      <alignment horizontal="left" readingOrder="0" vertical="center"/>
    </xf>
    <xf borderId="35" fillId="8" fontId="69" numFmtId="0" xfId="0" applyAlignment="1" applyBorder="1" applyFont="1">
      <alignment horizontal="center" readingOrder="0" vertical="center"/>
    </xf>
    <xf borderId="28" fillId="21" fontId="71" numFmtId="0" xfId="0" applyAlignment="1" applyBorder="1" applyFont="1">
      <alignment horizontal="center" vertical="center"/>
    </xf>
    <xf borderId="0" fillId="7" fontId="31" numFmtId="0" xfId="0" applyAlignment="1" applyFont="1">
      <alignment horizontal="center" vertical="center"/>
    </xf>
    <xf borderId="34" fillId="4" fontId="31" numFmtId="0" xfId="0" applyAlignment="1" applyBorder="1" applyFont="1">
      <alignment horizontal="center" vertical="center"/>
    </xf>
    <xf borderId="0" fillId="2" fontId="83" numFmtId="0" xfId="0" applyAlignment="1" applyFont="1">
      <alignment vertical="center"/>
    </xf>
    <xf borderId="0" fillId="2" fontId="84" numFmtId="0" xfId="0" applyAlignment="1" applyFont="1">
      <alignment horizontal="center" vertical="center"/>
    </xf>
    <xf borderId="0" fillId="2" fontId="85" numFmtId="0" xfId="0" applyAlignment="1" applyFont="1">
      <alignment horizontal="center" vertical="center"/>
    </xf>
    <xf borderId="0" fillId="10" fontId="84" numFmtId="165" xfId="0" applyAlignment="1" applyFont="1" applyNumberFormat="1">
      <alignment horizontal="center" readingOrder="0" vertical="center"/>
    </xf>
    <xf borderId="0" fillId="4" fontId="84" numFmtId="0" xfId="0" applyAlignment="1" applyFont="1">
      <alignment horizontal="center" readingOrder="0" vertical="center"/>
    </xf>
    <xf borderId="0" fillId="6" fontId="86" numFmtId="0" xfId="0" applyAlignment="1" applyFont="1">
      <alignment horizontal="left" readingOrder="0" vertical="center"/>
    </xf>
    <xf borderId="0" fillId="2" fontId="84" numFmtId="165" xfId="0" applyAlignment="1" applyFont="1" applyNumberFormat="1">
      <alignment horizontal="center" readingOrder="0" vertical="center"/>
    </xf>
    <xf borderId="0" fillId="2" fontId="84" numFmtId="0" xfId="0" applyAlignment="1" applyFont="1">
      <alignment horizontal="center" readingOrder="0" vertical="center"/>
    </xf>
    <xf borderId="0" fillId="2" fontId="86" numFmtId="0" xfId="0" applyAlignment="1" applyFont="1">
      <alignment horizontal="left" readingOrder="0" vertical="center"/>
    </xf>
    <xf borderId="0" fillId="2" fontId="87" numFmtId="0" xfId="0" applyAlignment="1" applyFont="1">
      <alignment horizontal="left" vertical="center"/>
    </xf>
    <xf borderId="0" fillId="2" fontId="86" numFmtId="0" xfId="0" applyAlignment="1" applyFont="1">
      <alignment horizontal="left" vertical="center"/>
    </xf>
    <xf borderId="0" fillId="2" fontId="88" numFmtId="0" xfId="0" applyAlignment="1" applyFont="1">
      <alignment readingOrder="0" shrinkToFit="0" vertical="center" wrapText="0"/>
    </xf>
    <xf borderId="0" fillId="18" fontId="88" numFmtId="0" xfId="0" applyAlignment="1" applyFont="1">
      <alignment readingOrder="0" shrinkToFit="0" vertical="center" wrapText="0"/>
    </xf>
    <xf borderId="0" fillId="2" fontId="89" numFmtId="0" xfId="0" applyAlignment="1" applyFont="1">
      <alignment shrinkToFit="0" vertical="center" wrapText="0"/>
    </xf>
    <xf borderId="0" fillId="0" fontId="90" numFmtId="0" xfId="0" applyAlignment="1" applyFont="1">
      <alignment shrinkToFit="0" vertical="center" wrapText="0"/>
    </xf>
    <xf borderId="0" fillId="0" fontId="91" numFmtId="0" xfId="0" applyAlignment="1" applyFont="1">
      <alignment shrinkToFit="0" vertical="center" wrapText="0"/>
    </xf>
    <xf borderId="0" fillId="0" fontId="89" numFmtId="0" xfId="0" applyAlignment="1" applyFont="1">
      <alignment shrinkToFit="0" vertical="center" wrapText="0"/>
    </xf>
    <xf borderId="0" fillId="0" fontId="89" numFmtId="166" xfId="0" applyAlignment="1" applyFont="1" applyNumberFormat="1">
      <alignment shrinkToFit="0" vertical="center" wrapText="0"/>
    </xf>
    <xf borderId="0" fillId="2" fontId="89" numFmtId="0" xfId="0" applyAlignment="1" applyFont="1">
      <alignment readingOrder="0" shrinkToFit="0" vertical="center" wrapText="0"/>
    </xf>
    <xf borderId="0" fillId="2" fontId="90" numFmtId="0" xfId="0" applyAlignment="1" applyFont="1">
      <alignment shrinkToFit="0" vertical="center" wrapText="0"/>
    </xf>
    <xf borderId="0" fillId="0" fontId="92" numFmtId="0" xfId="0" applyAlignment="1" applyFont="1">
      <alignment shrinkToFit="0" vertical="center" wrapText="0"/>
    </xf>
    <xf borderId="0" fillId="0" fontId="93" numFmtId="0" xfId="0" applyAlignment="1" applyFont="1">
      <alignment shrinkToFit="0" vertical="center" wrapText="0"/>
    </xf>
    <xf borderId="0" fillId="0" fontId="94" numFmtId="0" xfId="0" applyAlignment="1" applyFont="1">
      <alignment horizontal="center" readingOrder="0" shrinkToFit="0" vertical="center" wrapText="0"/>
    </xf>
    <xf borderId="0" fillId="0" fontId="31" numFmtId="0" xfId="0" applyAlignment="1" applyFont="1">
      <alignment horizontal="center" shrinkToFit="0" vertical="center" wrapText="0"/>
    </xf>
    <xf borderId="0" fillId="0" fontId="31" numFmtId="0" xfId="0" applyAlignment="1" applyFont="1">
      <alignment horizontal="center" readingOrder="0" shrinkToFit="0" vertical="center" wrapText="0"/>
    </xf>
    <xf borderId="0" fillId="2" fontId="31" numFmtId="0" xfId="0" applyAlignment="1" applyFont="1">
      <alignment horizontal="center" shrinkToFit="0" vertical="center" wrapText="0"/>
    </xf>
    <xf borderId="0" fillId="0" fontId="31" numFmtId="0" xfId="0" applyFont="1"/>
  </cellXfs>
  <cellStyles count="1">
    <cellStyle xfId="0" name="Normal" builtinId="0"/>
  </cellStyles>
  <dxfs count="30">
    <dxf>
      <font>
        <color rgb="FFCC0000"/>
      </font>
      <fill>
        <patternFill patternType="solid">
          <fgColor rgb="FFEA9999"/>
          <bgColor rgb="FFEA9999"/>
        </patternFill>
      </fill>
      <border/>
    </dxf>
    <dxf>
      <font>
        <color rgb="FFCC0000"/>
      </font>
      <fill>
        <patternFill patternType="solid">
          <fgColor rgb="FF660000"/>
          <bgColor rgb="FF660000"/>
        </patternFill>
      </fill>
      <border/>
    </dxf>
    <dxf>
      <font>
        <color rgb="FF3D85C6"/>
      </font>
      <fill>
        <patternFill patternType="solid">
          <fgColor rgb="FF073763"/>
          <bgColor rgb="FF073763"/>
        </patternFill>
      </fill>
      <border/>
    </dxf>
    <dxf>
      <font>
        <color rgb="FF6AA84F"/>
      </font>
      <fill>
        <patternFill patternType="solid">
          <fgColor rgb="FF274E13"/>
          <bgColor rgb="FF274E13"/>
        </patternFill>
      </fill>
      <border/>
    </dxf>
    <dxf>
      <font>
        <color rgb="FFB7B7B7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>
        <color rgb="FFB7B7B7"/>
      </font>
      <fill>
        <patternFill patternType="solid">
          <fgColor rgb="FF434343"/>
          <bgColor rgb="FF434343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727272"/>
          <bgColor rgb="FF727272"/>
        </patternFill>
      </fill>
      <border/>
    </dxf>
    <dxf>
      <font>
        <color rgb="FFFF9900"/>
      </font>
      <fill>
        <patternFill patternType="solid">
          <fgColor rgb="FF783F04"/>
          <bgColor rgb="FF783F04"/>
        </patternFill>
      </fill>
      <border/>
    </dxf>
    <dxf>
      <font>
        <color rgb="FF00FFFF"/>
      </font>
      <fill>
        <patternFill patternType="solid">
          <fgColor rgb="FF272727"/>
          <bgColor rgb="FF272727"/>
        </patternFill>
      </fill>
      <border/>
    </dxf>
    <dxf>
      <font>
        <color rgb="FFFF9900"/>
      </font>
      <fill>
        <patternFill patternType="solid">
          <fgColor rgb="FF747474"/>
          <bgColor rgb="FF747474"/>
        </patternFill>
      </fill>
      <border/>
    </dxf>
    <dxf>
      <font>
        <color rgb="FF0000FF"/>
      </font>
      <fill>
        <patternFill patternType="solid">
          <fgColor rgb="FF999999"/>
          <bgColor rgb="FF999999"/>
        </patternFill>
      </fill>
      <border/>
    </dxf>
    <dxf>
      <font>
        <color rgb="FF4A86E8"/>
      </font>
      <fill>
        <patternFill patternType="solid">
          <fgColor rgb="FFB0B0B0"/>
          <bgColor rgb="FFB0B0B0"/>
        </patternFill>
      </fill>
      <border/>
    </dxf>
    <dxf>
      <font>
        <color rgb="FF6AA84F"/>
      </font>
      <fill>
        <patternFill patternType="solid">
          <fgColor rgb="FFD9D9D9"/>
          <bgColor rgb="FFD9D9D9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434343"/>
          <bgColor rgb="FF434343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ocumenttasks/documenttask1.xml><?xml version="1.0" encoding="utf-8"?>
<Tasks xmlns="http://schemas.microsoft.com/office/tasks/2019/documenttasks"/>
</file>

<file path=xl/drawings/_rels/drawing5.xml.rels><?xml version="1.0" encoding="UTF-8" standalone="yes"?><Relationships xmlns="http://schemas.openxmlformats.org/package/2006/relationships"><Relationship Id="rId20" Type="http://schemas.openxmlformats.org/officeDocument/2006/relationships/image" Target="../media/image24.png"/><Relationship Id="rId22" Type="http://schemas.openxmlformats.org/officeDocument/2006/relationships/image" Target="../media/image26.png"/><Relationship Id="rId21" Type="http://schemas.openxmlformats.org/officeDocument/2006/relationships/image" Target="../media/image22.png"/><Relationship Id="rId24" Type="http://schemas.openxmlformats.org/officeDocument/2006/relationships/image" Target="../media/image27.png"/><Relationship Id="rId23" Type="http://schemas.openxmlformats.org/officeDocument/2006/relationships/image" Target="../media/image23.png"/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5.png"/><Relationship Id="rId4" Type="http://schemas.openxmlformats.org/officeDocument/2006/relationships/image" Target="../media/image1.png"/><Relationship Id="rId9" Type="http://schemas.openxmlformats.org/officeDocument/2006/relationships/image" Target="../media/image8.png"/><Relationship Id="rId26" Type="http://schemas.openxmlformats.org/officeDocument/2006/relationships/image" Target="../media/image28.png"/><Relationship Id="rId25" Type="http://schemas.openxmlformats.org/officeDocument/2006/relationships/image" Target="../media/image25.png"/><Relationship Id="rId28" Type="http://schemas.openxmlformats.org/officeDocument/2006/relationships/image" Target="../media/image29.png"/><Relationship Id="rId27" Type="http://schemas.openxmlformats.org/officeDocument/2006/relationships/image" Target="../media/image31.png"/><Relationship Id="rId5" Type="http://schemas.openxmlformats.org/officeDocument/2006/relationships/image" Target="../media/image3.png"/><Relationship Id="rId6" Type="http://schemas.openxmlformats.org/officeDocument/2006/relationships/image" Target="../media/image7.png"/><Relationship Id="rId29" Type="http://schemas.openxmlformats.org/officeDocument/2006/relationships/image" Target="../media/image30.png"/><Relationship Id="rId7" Type="http://schemas.openxmlformats.org/officeDocument/2006/relationships/image" Target="../media/image9.png"/><Relationship Id="rId8" Type="http://schemas.openxmlformats.org/officeDocument/2006/relationships/image" Target="../media/image6.png"/><Relationship Id="rId31" Type="http://schemas.openxmlformats.org/officeDocument/2006/relationships/image" Target="../media/image34.png"/><Relationship Id="rId30" Type="http://schemas.openxmlformats.org/officeDocument/2006/relationships/image" Target="../media/image32.png"/><Relationship Id="rId11" Type="http://schemas.openxmlformats.org/officeDocument/2006/relationships/image" Target="../media/image10.png"/><Relationship Id="rId10" Type="http://schemas.openxmlformats.org/officeDocument/2006/relationships/image" Target="../media/image12.png"/><Relationship Id="rId32" Type="http://schemas.openxmlformats.org/officeDocument/2006/relationships/image" Target="../media/image33.png"/><Relationship Id="rId13" Type="http://schemas.openxmlformats.org/officeDocument/2006/relationships/image" Target="../media/image14.png"/><Relationship Id="rId12" Type="http://schemas.openxmlformats.org/officeDocument/2006/relationships/image" Target="../media/image11.png"/><Relationship Id="rId15" Type="http://schemas.openxmlformats.org/officeDocument/2006/relationships/image" Target="../media/image15.png"/><Relationship Id="rId14" Type="http://schemas.openxmlformats.org/officeDocument/2006/relationships/image" Target="../media/image13.png"/><Relationship Id="rId17" Type="http://schemas.openxmlformats.org/officeDocument/2006/relationships/image" Target="../media/image21.png"/><Relationship Id="rId16" Type="http://schemas.openxmlformats.org/officeDocument/2006/relationships/image" Target="../media/image18.png"/><Relationship Id="rId19" Type="http://schemas.openxmlformats.org/officeDocument/2006/relationships/image" Target="../media/image20.png"/><Relationship Id="rId18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</xdr:row>
      <xdr:rowOff>0</xdr:rowOff>
    </xdr:from>
    <xdr:ext cx="381000" cy="3810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381000" cy="3810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</xdr:row>
      <xdr:rowOff>0</xdr:rowOff>
    </xdr:from>
    <xdr:ext cx="381000" cy="3810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2</xdr:row>
      <xdr:rowOff>0</xdr:rowOff>
    </xdr:from>
    <xdr:ext cx="381000" cy="3810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2</xdr:row>
      <xdr:rowOff>0</xdr:rowOff>
    </xdr:from>
    <xdr:ext cx="381000" cy="3810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2</xdr:row>
      <xdr:rowOff>0</xdr:rowOff>
    </xdr:from>
    <xdr:ext cx="381000" cy="3810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2</xdr:row>
      <xdr:rowOff>0</xdr:rowOff>
    </xdr:from>
    <xdr:ext cx="381000" cy="3810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2</xdr:row>
      <xdr:rowOff>0</xdr:rowOff>
    </xdr:from>
    <xdr:ext cx="381000" cy="3810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</xdr:row>
      <xdr:rowOff>0</xdr:rowOff>
    </xdr:from>
    <xdr:ext cx="381000" cy="3810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3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3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3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3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3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</xdr:row>
      <xdr:rowOff>0</xdr:rowOff>
    </xdr:from>
    <xdr:ext cx="381000" cy="38100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4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4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4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4</xdr:row>
      <xdr:rowOff>0</xdr:rowOff>
    </xdr:from>
    <xdr:ext cx="381000" cy="38100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4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4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4</xdr:row>
      <xdr:rowOff>0</xdr:rowOff>
    </xdr:from>
    <xdr:ext cx="381000" cy="38100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381000" cy="381000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381000" cy="381000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0</xdr:rowOff>
    </xdr:from>
    <xdr:ext cx="381000" cy="381000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6</xdr:row>
      <xdr:rowOff>0</xdr:rowOff>
    </xdr:from>
    <xdr:ext cx="381000" cy="381000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6</xdr:row>
      <xdr:rowOff>0</xdr:rowOff>
    </xdr:from>
    <xdr:ext cx="381000" cy="381000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6</xdr:row>
      <xdr:rowOff>0</xdr:rowOff>
    </xdr:from>
    <xdr:ext cx="381000" cy="381000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6</xdr:row>
      <xdr:rowOff>0</xdr:rowOff>
    </xdr:from>
    <xdr:ext cx="381000" cy="381000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6</xdr:row>
      <xdr:rowOff>0</xdr:rowOff>
    </xdr:from>
    <xdr:ext cx="381000" cy="381000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6</xdr:row>
      <xdr:rowOff>0</xdr:rowOff>
    </xdr:from>
    <xdr:ext cx="381000" cy="381000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7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7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7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7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7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7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238125" cy="2381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238125" cy="2381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238125" cy="238125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</xdr:row>
      <xdr:rowOff>0</xdr:rowOff>
    </xdr:from>
    <xdr:ext cx="238125" cy="2381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</xdr:row>
      <xdr:rowOff>0</xdr:rowOff>
    </xdr:from>
    <xdr:ext cx="238125" cy="23812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9</xdr:row>
      <xdr:rowOff>0</xdr:rowOff>
    </xdr:from>
    <xdr:ext cx="238125" cy="2381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9</xdr:row>
      <xdr:rowOff>0</xdr:rowOff>
    </xdr:from>
    <xdr:ext cx="238125" cy="2381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9</xdr:row>
      <xdr:rowOff>0</xdr:rowOff>
    </xdr:from>
    <xdr:ext cx="238125" cy="238125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9</xdr:row>
      <xdr:rowOff>0</xdr:rowOff>
    </xdr:from>
    <xdr:ext cx="238125" cy="2381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9</xdr:row>
      <xdr:rowOff>0</xdr:rowOff>
    </xdr:from>
    <xdr:ext cx="238125" cy="23812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0</xdr:colOff>
      <xdr:row>9</xdr:row>
      <xdr:rowOff>0</xdr:rowOff>
    </xdr:from>
    <xdr:ext cx="238125" cy="2381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9</xdr:row>
      <xdr:rowOff>0</xdr:rowOff>
    </xdr:from>
    <xdr:ext cx="238125" cy="2381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9</xdr:row>
      <xdr:rowOff>0</xdr:rowOff>
    </xdr:from>
    <xdr:ext cx="238125" cy="238125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9</xdr:row>
      <xdr:rowOff>0</xdr:rowOff>
    </xdr:from>
    <xdr:ext cx="238125" cy="2381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9</xdr:row>
      <xdr:rowOff>0</xdr:rowOff>
    </xdr:from>
    <xdr:ext cx="238125" cy="23812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</xdr:row>
      <xdr:rowOff>0</xdr:rowOff>
    </xdr:from>
    <xdr:ext cx="381000" cy="3810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381000" cy="3810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12</xdr:row>
      <xdr:rowOff>0</xdr:rowOff>
    </xdr:from>
    <xdr:ext cx="381000" cy="3810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12</xdr:row>
      <xdr:rowOff>0</xdr:rowOff>
    </xdr:from>
    <xdr:ext cx="381000" cy="3810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12</xdr:row>
      <xdr:rowOff>0</xdr:rowOff>
    </xdr:from>
    <xdr:ext cx="381000" cy="3810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12</xdr:row>
      <xdr:rowOff>0</xdr:rowOff>
    </xdr:from>
    <xdr:ext cx="381000" cy="3810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12</xdr:row>
      <xdr:rowOff>0</xdr:rowOff>
    </xdr:from>
    <xdr:ext cx="381000" cy="3810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12</xdr:row>
      <xdr:rowOff>0</xdr:rowOff>
    </xdr:from>
    <xdr:ext cx="381000" cy="3810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12</xdr:row>
      <xdr:rowOff>0</xdr:rowOff>
    </xdr:from>
    <xdr:ext cx="381000" cy="3810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13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13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13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13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13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13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381000" cy="38100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</xdr:row>
      <xdr:rowOff>0</xdr:rowOff>
    </xdr:from>
    <xdr:ext cx="381000" cy="38100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14</xdr:row>
      <xdr:rowOff>0</xdr:rowOff>
    </xdr:from>
    <xdr:ext cx="381000" cy="38100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</xdr:row>
      <xdr:rowOff>0</xdr:rowOff>
    </xdr:from>
    <xdr:ext cx="381000" cy="38100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14</xdr:row>
      <xdr:rowOff>0</xdr:rowOff>
    </xdr:from>
    <xdr:ext cx="381000" cy="38100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14</xdr:row>
      <xdr:rowOff>0</xdr:rowOff>
    </xdr:from>
    <xdr:ext cx="381000" cy="38100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14</xdr:row>
      <xdr:rowOff>0</xdr:rowOff>
    </xdr:from>
    <xdr:ext cx="381000" cy="38100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14</xdr:row>
      <xdr:rowOff>0</xdr:rowOff>
    </xdr:from>
    <xdr:ext cx="381000" cy="38100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14</xdr:row>
      <xdr:rowOff>0</xdr:rowOff>
    </xdr:from>
    <xdr:ext cx="381000" cy="38100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14</xdr:row>
      <xdr:rowOff>0</xdr:rowOff>
    </xdr:from>
    <xdr:ext cx="381000" cy="38100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14</xdr:row>
      <xdr:rowOff>0</xdr:rowOff>
    </xdr:from>
    <xdr:ext cx="381000" cy="38100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14</xdr:row>
      <xdr:rowOff>0</xdr:rowOff>
    </xdr:from>
    <xdr:ext cx="381000" cy="38100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15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15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</xdr:row>
      <xdr:rowOff>0</xdr:rowOff>
    </xdr:from>
    <xdr:ext cx="381000" cy="3810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</xdr:row>
      <xdr:rowOff>0</xdr:rowOff>
    </xdr:from>
    <xdr:ext cx="381000" cy="3810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</xdr:row>
      <xdr:rowOff>0</xdr:rowOff>
    </xdr:from>
    <xdr:ext cx="381000" cy="3810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16</xdr:row>
      <xdr:rowOff>0</xdr:rowOff>
    </xdr:from>
    <xdr:ext cx="381000" cy="3810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16</xdr:row>
      <xdr:rowOff>0</xdr:rowOff>
    </xdr:from>
    <xdr:ext cx="381000" cy="3810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16</xdr:row>
      <xdr:rowOff>0</xdr:rowOff>
    </xdr:from>
    <xdr:ext cx="381000" cy="3810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16</xdr:row>
      <xdr:rowOff>0</xdr:rowOff>
    </xdr:from>
    <xdr:ext cx="381000" cy="3810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16</xdr:row>
      <xdr:rowOff>0</xdr:rowOff>
    </xdr:from>
    <xdr:ext cx="381000" cy="3810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16</xdr:row>
      <xdr:rowOff>0</xdr:rowOff>
    </xdr:from>
    <xdr:ext cx="381000" cy="3810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17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17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17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17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17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17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381000" cy="3810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19</xdr:row>
      <xdr:rowOff>0</xdr:rowOff>
    </xdr:from>
    <xdr:ext cx="381000" cy="38100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381000" cy="3810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19</xdr:row>
      <xdr:rowOff>0</xdr:rowOff>
    </xdr:from>
    <xdr:ext cx="381000" cy="38100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19</xdr:row>
      <xdr:rowOff>0</xdr:rowOff>
    </xdr:from>
    <xdr:ext cx="381000" cy="3810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19</xdr:row>
      <xdr:rowOff>0</xdr:rowOff>
    </xdr:from>
    <xdr:ext cx="381000" cy="38100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19</xdr:row>
      <xdr:rowOff>0</xdr:rowOff>
    </xdr:from>
    <xdr:ext cx="381000" cy="3810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19</xdr:row>
      <xdr:rowOff>0</xdr:rowOff>
    </xdr:from>
    <xdr:ext cx="381000" cy="38100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0</xdr:colOff>
      <xdr:row>19</xdr:row>
      <xdr:rowOff>0</xdr:rowOff>
    </xdr:from>
    <xdr:ext cx="381000" cy="3810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19</xdr:row>
      <xdr:rowOff>0</xdr:rowOff>
    </xdr:from>
    <xdr:ext cx="381000" cy="38100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19</xdr:row>
      <xdr:rowOff>0</xdr:rowOff>
    </xdr:from>
    <xdr:ext cx="381000" cy="3810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19</xdr:row>
      <xdr:rowOff>0</xdr:rowOff>
    </xdr:from>
    <xdr:ext cx="381000" cy="38100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19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22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22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22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22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22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22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22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22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22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22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22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22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23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23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23</xdr:row>
      <xdr:rowOff>0</xdr:rowOff>
    </xdr:from>
    <xdr:ext cx="381000" cy="381000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23</xdr:row>
      <xdr:rowOff>0</xdr:rowOff>
    </xdr:from>
    <xdr:ext cx="381000" cy="381000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23</xdr:row>
      <xdr:rowOff>0</xdr:rowOff>
    </xdr:from>
    <xdr:ext cx="381000" cy="381000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23</xdr:row>
      <xdr:rowOff>0</xdr:rowOff>
    </xdr:from>
    <xdr:ext cx="381000" cy="381000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23</xdr:row>
      <xdr:rowOff>0</xdr:rowOff>
    </xdr:from>
    <xdr:ext cx="381000" cy="381000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23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23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23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23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23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24</xdr:row>
      <xdr:rowOff>0</xdr:rowOff>
    </xdr:from>
    <xdr:ext cx="381000" cy="381000"/>
    <xdr:pic>
      <xdr:nvPicPr>
        <xdr:cNvPr id="0" name="image1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24</xdr:row>
      <xdr:rowOff>0</xdr:rowOff>
    </xdr:from>
    <xdr:ext cx="381000" cy="381000"/>
    <xdr:pic>
      <xdr:nvPicPr>
        <xdr:cNvPr id="0" name="image1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24</xdr:row>
      <xdr:rowOff>0</xdr:rowOff>
    </xdr:from>
    <xdr:ext cx="381000" cy="381000"/>
    <xdr:pic>
      <xdr:nvPicPr>
        <xdr:cNvPr id="0" name="image1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24</xdr:row>
      <xdr:rowOff>0</xdr:rowOff>
    </xdr:from>
    <xdr:ext cx="381000" cy="381000"/>
    <xdr:pic>
      <xdr:nvPicPr>
        <xdr:cNvPr id="0" name="image1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24</xdr:row>
      <xdr:rowOff>0</xdr:rowOff>
    </xdr:from>
    <xdr:ext cx="381000" cy="381000"/>
    <xdr:pic>
      <xdr:nvPicPr>
        <xdr:cNvPr id="0" name="image1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25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25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25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25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25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25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25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25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25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26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26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26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26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26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26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26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26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26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26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26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26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26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26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26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0</xdr:colOff>
      <xdr:row>26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27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27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27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27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27</xdr:row>
      <xdr:rowOff>0</xdr:rowOff>
    </xdr:from>
    <xdr:ext cx="381000" cy="381000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27</xdr:row>
      <xdr:rowOff>0</xdr:rowOff>
    </xdr:from>
    <xdr:ext cx="381000" cy="381000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27</xdr:row>
      <xdr:rowOff>0</xdr:rowOff>
    </xdr:from>
    <xdr:ext cx="381000" cy="381000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27</xdr:row>
      <xdr:rowOff>0</xdr:rowOff>
    </xdr:from>
    <xdr:ext cx="381000" cy="381000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27</xdr:row>
      <xdr:rowOff>0</xdr:rowOff>
    </xdr:from>
    <xdr:ext cx="381000" cy="381000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27</xdr:row>
      <xdr:rowOff>0</xdr:rowOff>
    </xdr:from>
    <xdr:ext cx="381000" cy="381000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27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27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27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27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27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0</xdr:colOff>
      <xdr:row>27</xdr:row>
      <xdr:rowOff>0</xdr:rowOff>
    </xdr:from>
    <xdr:ext cx="381000" cy="381000"/>
    <xdr:pic>
      <xdr:nvPicPr>
        <xdr:cNvPr id="0" name="image1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28</xdr:row>
      <xdr:rowOff>0</xdr:rowOff>
    </xdr:from>
    <xdr:ext cx="381000" cy="381000"/>
    <xdr:pic>
      <xdr:nvPicPr>
        <xdr:cNvPr id="0" name="image1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28</xdr:row>
      <xdr:rowOff>0</xdr:rowOff>
    </xdr:from>
    <xdr:ext cx="381000" cy="381000"/>
    <xdr:pic>
      <xdr:nvPicPr>
        <xdr:cNvPr id="0" name="image1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28</xdr:row>
      <xdr:rowOff>0</xdr:rowOff>
    </xdr:from>
    <xdr:ext cx="381000" cy="381000"/>
    <xdr:pic>
      <xdr:nvPicPr>
        <xdr:cNvPr id="0" name="image1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28</xdr:row>
      <xdr:rowOff>0</xdr:rowOff>
    </xdr:from>
    <xdr:ext cx="381000" cy="381000"/>
    <xdr:pic>
      <xdr:nvPicPr>
        <xdr:cNvPr id="0" name="image1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28</xdr:row>
      <xdr:rowOff>0</xdr:rowOff>
    </xdr:from>
    <xdr:ext cx="381000" cy="381000"/>
    <xdr:pic>
      <xdr:nvPicPr>
        <xdr:cNvPr id="0" name="image1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29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29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29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29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29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29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29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29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29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29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0</xdr:colOff>
      <xdr:row>29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30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30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30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30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30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30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30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30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30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30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30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30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30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31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31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31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31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31</xdr:row>
      <xdr:rowOff>0</xdr:rowOff>
    </xdr:from>
    <xdr:ext cx="381000" cy="381000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31</xdr:row>
      <xdr:rowOff>0</xdr:rowOff>
    </xdr:from>
    <xdr:ext cx="381000" cy="381000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31</xdr:row>
      <xdr:rowOff>0</xdr:rowOff>
    </xdr:from>
    <xdr:ext cx="381000" cy="381000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31</xdr:row>
      <xdr:rowOff>0</xdr:rowOff>
    </xdr:from>
    <xdr:ext cx="381000" cy="381000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31</xdr:row>
      <xdr:rowOff>0</xdr:rowOff>
    </xdr:from>
    <xdr:ext cx="381000" cy="381000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31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31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31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31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31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32</xdr:row>
      <xdr:rowOff>0</xdr:rowOff>
    </xdr:from>
    <xdr:ext cx="381000" cy="381000"/>
    <xdr:pic>
      <xdr:nvPicPr>
        <xdr:cNvPr id="0" name="image1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32</xdr:row>
      <xdr:rowOff>0</xdr:rowOff>
    </xdr:from>
    <xdr:ext cx="381000" cy="381000"/>
    <xdr:pic>
      <xdr:nvPicPr>
        <xdr:cNvPr id="0" name="image1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32</xdr:row>
      <xdr:rowOff>0</xdr:rowOff>
    </xdr:from>
    <xdr:ext cx="381000" cy="381000"/>
    <xdr:pic>
      <xdr:nvPicPr>
        <xdr:cNvPr id="0" name="image1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32</xdr:row>
      <xdr:rowOff>0</xdr:rowOff>
    </xdr:from>
    <xdr:ext cx="381000" cy="381000"/>
    <xdr:pic>
      <xdr:nvPicPr>
        <xdr:cNvPr id="0" name="image1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32</xdr:row>
      <xdr:rowOff>0</xdr:rowOff>
    </xdr:from>
    <xdr:ext cx="381000" cy="381000"/>
    <xdr:pic>
      <xdr:nvPicPr>
        <xdr:cNvPr id="0" name="image1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33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33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33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33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33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33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33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33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33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33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33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33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33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33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33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35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35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</xdr:row>
      <xdr:rowOff>0</xdr:rowOff>
    </xdr:from>
    <xdr:ext cx="381000" cy="381000"/>
    <xdr:pic>
      <xdr:nvPicPr>
        <xdr:cNvPr id="0" name="image1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35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35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35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35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35</xdr:row>
      <xdr:rowOff>0</xdr:rowOff>
    </xdr:from>
    <xdr:ext cx="381000" cy="381000"/>
    <xdr:pic>
      <xdr:nvPicPr>
        <xdr:cNvPr id="0" name="image1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35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35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0</xdr:colOff>
      <xdr:row>35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35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35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35</xdr:row>
      <xdr:rowOff>0</xdr:rowOff>
    </xdr:from>
    <xdr:ext cx="381000" cy="381000"/>
    <xdr:pic>
      <xdr:nvPicPr>
        <xdr:cNvPr id="0" name="image1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35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35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38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38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38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38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38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38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38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38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38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38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38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38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38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38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38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39</xdr:row>
      <xdr:rowOff>0</xdr:rowOff>
    </xdr:from>
    <xdr:ext cx="381000" cy="381000"/>
    <xdr:pic>
      <xdr:nvPicPr>
        <xdr:cNvPr id="0" name="image2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39</xdr:row>
      <xdr:rowOff>0</xdr:rowOff>
    </xdr:from>
    <xdr:ext cx="381000" cy="381000"/>
    <xdr:pic>
      <xdr:nvPicPr>
        <xdr:cNvPr id="0" name="image2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39</xdr:row>
      <xdr:rowOff>0</xdr:rowOff>
    </xdr:from>
    <xdr:ext cx="381000" cy="381000"/>
    <xdr:pic>
      <xdr:nvPicPr>
        <xdr:cNvPr id="0" name="image2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</xdr:row>
      <xdr:rowOff>0</xdr:rowOff>
    </xdr:from>
    <xdr:ext cx="381000" cy="381000"/>
    <xdr:pic>
      <xdr:nvPicPr>
        <xdr:cNvPr id="0" name="image2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39</xdr:row>
      <xdr:rowOff>0</xdr:rowOff>
    </xdr:from>
    <xdr:ext cx="381000" cy="381000"/>
    <xdr:pic>
      <xdr:nvPicPr>
        <xdr:cNvPr id="0" name="image2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39</xdr:row>
      <xdr:rowOff>0</xdr:rowOff>
    </xdr:from>
    <xdr:ext cx="381000" cy="381000"/>
    <xdr:pic>
      <xdr:nvPicPr>
        <xdr:cNvPr id="0" name="image1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39</xdr:row>
      <xdr:rowOff>0</xdr:rowOff>
    </xdr:from>
    <xdr:ext cx="381000" cy="381000"/>
    <xdr:pic>
      <xdr:nvPicPr>
        <xdr:cNvPr id="0" name="image1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39</xdr:row>
      <xdr:rowOff>0</xdr:rowOff>
    </xdr:from>
    <xdr:ext cx="381000" cy="381000"/>
    <xdr:pic>
      <xdr:nvPicPr>
        <xdr:cNvPr id="0" name="image1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39</xdr:row>
      <xdr:rowOff>0</xdr:rowOff>
    </xdr:from>
    <xdr:ext cx="381000" cy="381000"/>
    <xdr:pic>
      <xdr:nvPicPr>
        <xdr:cNvPr id="0" name="image1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39</xdr:row>
      <xdr:rowOff>0</xdr:rowOff>
    </xdr:from>
    <xdr:ext cx="381000" cy="381000"/>
    <xdr:pic>
      <xdr:nvPicPr>
        <xdr:cNvPr id="0" name="image1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39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39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39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39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39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40</xdr:row>
      <xdr:rowOff>0</xdr:rowOff>
    </xdr:from>
    <xdr:ext cx="381000" cy="381000"/>
    <xdr:pic>
      <xdr:nvPicPr>
        <xdr:cNvPr id="0" name="image2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40</xdr:row>
      <xdr:rowOff>0</xdr:rowOff>
    </xdr:from>
    <xdr:ext cx="381000" cy="381000"/>
    <xdr:pic>
      <xdr:nvPicPr>
        <xdr:cNvPr id="0" name="image2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40</xdr:row>
      <xdr:rowOff>0</xdr:rowOff>
    </xdr:from>
    <xdr:ext cx="381000" cy="381000"/>
    <xdr:pic>
      <xdr:nvPicPr>
        <xdr:cNvPr id="0" name="image2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40</xdr:row>
      <xdr:rowOff>0</xdr:rowOff>
    </xdr:from>
    <xdr:ext cx="381000" cy="381000"/>
    <xdr:pic>
      <xdr:nvPicPr>
        <xdr:cNvPr id="0" name="image2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40</xdr:row>
      <xdr:rowOff>0</xdr:rowOff>
    </xdr:from>
    <xdr:ext cx="381000" cy="381000"/>
    <xdr:pic>
      <xdr:nvPicPr>
        <xdr:cNvPr id="0" name="image2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41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41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41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41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41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41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41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41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41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41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41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41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41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41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41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42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42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42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42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42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42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42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42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42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42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42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42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42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42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42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42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42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0</xdr:colOff>
      <xdr:row>42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43</xdr:row>
      <xdr:rowOff>0</xdr:rowOff>
    </xdr:from>
    <xdr:ext cx="381000" cy="381000"/>
    <xdr:pic>
      <xdr:nvPicPr>
        <xdr:cNvPr id="0" name="image2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43</xdr:row>
      <xdr:rowOff>0</xdr:rowOff>
    </xdr:from>
    <xdr:ext cx="381000" cy="381000"/>
    <xdr:pic>
      <xdr:nvPicPr>
        <xdr:cNvPr id="0" name="image2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43</xdr:row>
      <xdr:rowOff>0</xdr:rowOff>
    </xdr:from>
    <xdr:ext cx="381000" cy="381000"/>
    <xdr:pic>
      <xdr:nvPicPr>
        <xdr:cNvPr id="0" name="image2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43</xdr:row>
      <xdr:rowOff>0</xdr:rowOff>
    </xdr:from>
    <xdr:ext cx="381000" cy="381000"/>
    <xdr:pic>
      <xdr:nvPicPr>
        <xdr:cNvPr id="0" name="image2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43</xdr:row>
      <xdr:rowOff>0</xdr:rowOff>
    </xdr:from>
    <xdr:ext cx="381000" cy="381000"/>
    <xdr:pic>
      <xdr:nvPicPr>
        <xdr:cNvPr id="0" name="image2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43</xdr:row>
      <xdr:rowOff>0</xdr:rowOff>
    </xdr:from>
    <xdr:ext cx="381000" cy="381000"/>
    <xdr:pic>
      <xdr:nvPicPr>
        <xdr:cNvPr id="0" name="image2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43</xdr:row>
      <xdr:rowOff>0</xdr:rowOff>
    </xdr:from>
    <xdr:ext cx="381000" cy="381000"/>
    <xdr:pic>
      <xdr:nvPicPr>
        <xdr:cNvPr id="0" name="image1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43</xdr:row>
      <xdr:rowOff>0</xdr:rowOff>
    </xdr:from>
    <xdr:ext cx="381000" cy="381000"/>
    <xdr:pic>
      <xdr:nvPicPr>
        <xdr:cNvPr id="0" name="image1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43</xdr:row>
      <xdr:rowOff>0</xdr:rowOff>
    </xdr:from>
    <xdr:ext cx="381000" cy="381000"/>
    <xdr:pic>
      <xdr:nvPicPr>
        <xdr:cNvPr id="0" name="image1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43</xdr:row>
      <xdr:rowOff>0</xdr:rowOff>
    </xdr:from>
    <xdr:ext cx="381000" cy="381000"/>
    <xdr:pic>
      <xdr:nvPicPr>
        <xdr:cNvPr id="0" name="image1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43</xdr:row>
      <xdr:rowOff>0</xdr:rowOff>
    </xdr:from>
    <xdr:ext cx="381000" cy="381000"/>
    <xdr:pic>
      <xdr:nvPicPr>
        <xdr:cNvPr id="0" name="image1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43</xdr:row>
      <xdr:rowOff>0</xdr:rowOff>
    </xdr:from>
    <xdr:ext cx="381000" cy="381000"/>
    <xdr:pic>
      <xdr:nvPicPr>
        <xdr:cNvPr id="0" name="image1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43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43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43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43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43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0</xdr:colOff>
      <xdr:row>43</xdr:row>
      <xdr:rowOff>0</xdr:rowOff>
    </xdr:from>
    <xdr:ext cx="381000" cy="381000"/>
    <xdr:pic>
      <xdr:nvPicPr>
        <xdr:cNvPr id="0" name="image2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44</xdr:row>
      <xdr:rowOff>0</xdr:rowOff>
    </xdr:from>
    <xdr:ext cx="381000" cy="381000"/>
    <xdr:pic>
      <xdr:nvPicPr>
        <xdr:cNvPr id="0" name="image2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44</xdr:row>
      <xdr:rowOff>0</xdr:rowOff>
    </xdr:from>
    <xdr:ext cx="381000" cy="381000"/>
    <xdr:pic>
      <xdr:nvPicPr>
        <xdr:cNvPr id="0" name="image2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44</xdr:row>
      <xdr:rowOff>0</xdr:rowOff>
    </xdr:from>
    <xdr:ext cx="381000" cy="381000"/>
    <xdr:pic>
      <xdr:nvPicPr>
        <xdr:cNvPr id="0" name="image2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44</xdr:row>
      <xdr:rowOff>0</xdr:rowOff>
    </xdr:from>
    <xdr:ext cx="381000" cy="381000"/>
    <xdr:pic>
      <xdr:nvPicPr>
        <xdr:cNvPr id="0" name="image2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44</xdr:row>
      <xdr:rowOff>0</xdr:rowOff>
    </xdr:from>
    <xdr:ext cx="381000" cy="381000"/>
    <xdr:pic>
      <xdr:nvPicPr>
        <xdr:cNvPr id="0" name="image2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45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45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45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45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45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45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45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45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45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45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45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0</xdr:colOff>
      <xdr:row>45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46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46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46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46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46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46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46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46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46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46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46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46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46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46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47</xdr:row>
      <xdr:rowOff>0</xdr:rowOff>
    </xdr:from>
    <xdr:ext cx="381000" cy="381000"/>
    <xdr:pic>
      <xdr:nvPicPr>
        <xdr:cNvPr id="0" name="image2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47</xdr:row>
      <xdr:rowOff>0</xdr:rowOff>
    </xdr:from>
    <xdr:ext cx="381000" cy="381000"/>
    <xdr:pic>
      <xdr:nvPicPr>
        <xdr:cNvPr id="0" name="image2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47</xdr:row>
      <xdr:rowOff>0</xdr:rowOff>
    </xdr:from>
    <xdr:ext cx="381000" cy="381000"/>
    <xdr:pic>
      <xdr:nvPicPr>
        <xdr:cNvPr id="0" name="image2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47</xdr:row>
      <xdr:rowOff>0</xdr:rowOff>
    </xdr:from>
    <xdr:ext cx="381000" cy="381000"/>
    <xdr:pic>
      <xdr:nvPicPr>
        <xdr:cNvPr id="0" name="image2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47</xdr:row>
      <xdr:rowOff>0</xdr:rowOff>
    </xdr:from>
    <xdr:ext cx="381000" cy="381000"/>
    <xdr:pic>
      <xdr:nvPicPr>
        <xdr:cNvPr id="0" name="image2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47</xdr:row>
      <xdr:rowOff>0</xdr:rowOff>
    </xdr:from>
    <xdr:ext cx="381000" cy="381000"/>
    <xdr:pic>
      <xdr:nvPicPr>
        <xdr:cNvPr id="0" name="image1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47</xdr:row>
      <xdr:rowOff>0</xdr:rowOff>
    </xdr:from>
    <xdr:ext cx="381000" cy="381000"/>
    <xdr:pic>
      <xdr:nvPicPr>
        <xdr:cNvPr id="0" name="image1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47</xdr:row>
      <xdr:rowOff>0</xdr:rowOff>
    </xdr:from>
    <xdr:ext cx="381000" cy="381000"/>
    <xdr:pic>
      <xdr:nvPicPr>
        <xdr:cNvPr id="0" name="image1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47</xdr:row>
      <xdr:rowOff>0</xdr:rowOff>
    </xdr:from>
    <xdr:ext cx="381000" cy="381000"/>
    <xdr:pic>
      <xdr:nvPicPr>
        <xdr:cNvPr id="0" name="image1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47</xdr:row>
      <xdr:rowOff>0</xdr:rowOff>
    </xdr:from>
    <xdr:ext cx="381000" cy="381000"/>
    <xdr:pic>
      <xdr:nvPicPr>
        <xdr:cNvPr id="0" name="image1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47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47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47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47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47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48</xdr:row>
      <xdr:rowOff>0</xdr:rowOff>
    </xdr:from>
    <xdr:ext cx="381000" cy="381000"/>
    <xdr:pic>
      <xdr:nvPicPr>
        <xdr:cNvPr id="0" name="image2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48</xdr:row>
      <xdr:rowOff>0</xdr:rowOff>
    </xdr:from>
    <xdr:ext cx="381000" cy="381000"/>
    <xdr:pic>
      <xdr:nvPicPr>
        <xdr:cNvPr id="0" name="image2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48</xdr:row>
      <xdr:rowOff>0</xdr:rowOff>
    </xdr:from>
    <xdr:ext cx="381000" cy="381000"/>
    <xdr:pic>
      <xdr:nvPicPr>
        <xdr:cNvPr id="0" name="image2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48</xdr:row>
      <xdr:rowOff>0</xdr:rowOff>
    </xdr:from>
    <xdr:ext cx="381000" cy="381000"/>
    <xdr:pic>
      <xdr:nvPicPr>
        <xdr:cNvPr id="0" name="image2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48</xdr:row>
      <xdr:rowOff>0</xdr:rowOff>
    </xdr:from>
    <xdr:ext cx="381000" cy="381000"/>
    <xdr:pic>
      <xdr:nvPicPr>
        <xdr:cNvPr id="0" name="image2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49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49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49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49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49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49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49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49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49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51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51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51</xdr:row>
      <xdr:rowOff>0</xdr:rowOff>
    </xdr:from>
    <xdr:ext cx="381000" cy="381000"/>
    <xdr:pic>
      <xdr:nvPicPr>
        <xdr:cNvPr id="0" name="image2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51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51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51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51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51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51</xdr:row>
      <xdr:rowOff>0</xdr:rowOff>
    </xdr:from>
    <xdr:ext cx="381000" cy="381000"/>
    <xdr:pic>
      <xdr:nvPicPr>
        <xdr:cNvPr id="0" name="image1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51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51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0</xdr:colOff>
      <xdr:row>51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51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51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51</xdr:row>
      <xdr:rowOff>0</xdr:rowOff>
    </xdr:from>
    <xdr:ext cx="381000" cy="381000"/>
    <xdr:pic>
      <xdr:nvPicPr>
        <xdr:cNvPr id="0" name="image2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51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51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55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55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55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55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55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55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56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56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56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56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56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56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57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57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57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57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57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57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58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58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58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58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58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58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59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59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59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59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59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59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60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60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60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60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60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60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61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61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61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61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61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61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63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63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63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63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63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63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64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64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64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64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64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64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65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65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65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65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65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65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66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66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66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66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66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66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67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67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67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67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67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67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68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68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68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68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68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68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69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69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69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69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69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69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70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70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70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70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70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70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71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71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71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71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71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71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72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72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72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72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72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72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73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73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73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73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73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73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74</xdr:row>
      <xdr:rowOff>0</xdr:rowOff>
    </xdr:from>
    <xdr:ext cx="190500" cy="190500"/>
    <xdr:pic>
      <xdr:nvPicPr>
        <xdr:cNvPr id="0" name="image3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74</xdr:row>
      <xdr:rowOff>0</xdr:rowOff>
    </xdr:from>
    <xdr:ext cx="190500" cy="190500"/>
    <xdr:pic>
      <xdr:nvPicPr>
        <xdr:cNvPr id="0" name="image3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74</xdr:row>
      <xdr:rowOff>0</xdr:rowOff>
    </xdr:from>
    <xdr:ext cx="190500" cy="190500"/>
    <xdr:pic>
      <xdr:nvPicPr>
        <xdr:cNvPr id="0" name="image3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74</xdr:row>
      <xdr:rowOff>0</xdr:rowOff>
    </xdr:from>
    <xdr:ext cx="190500" cy="190500"/>
    <xdr:pic>
      <xdr:nvPicPr>
        <xdr:cNvPr id="0" name="image3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74</xdr:row>
      <xdr:rowOff>0</xdr:rowOff>
    </xdr:from>
    <xdr:ext cx="190500" cy="190500"/>
    <xdr:pic>
      <xdr:nvPicPr>
        <xdr:cNvPr id="0" name="image3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74</xdr:row>
      <xdr:rowOff>0</xdr:rowOff>
    </xdr:from>
    <xdr:ext cx="190500" cy="190500"/>
    <xdr:pic>
      <xdr:nvPicPr>
        <xdr:cNvPr id="0" name="image3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75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75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75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75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77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77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77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77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77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77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78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78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78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78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78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78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79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79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79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79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79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79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80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80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80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80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80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80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81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81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81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81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81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81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82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82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82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82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82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82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83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83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83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83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83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83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84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84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84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84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84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84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85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85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85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85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85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85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86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86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86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86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86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86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87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87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87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87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87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87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88</xdr:row>
      <xdr:rowOff>0</xdr:rowOff>
    </xdr:from>
    <xdr:ext cx="190500" cy="190500"/>
    <xdr:pic>
      <xdr:nvPicPr>
        <xdr:cNvPr id="0" name="image3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88</xdr:row>
      <xdr:rowOff>0</xdr:rowOff>
    </xdr:from>
    <xdr:ext cx="190500" cy="190500"/>
    <xdr:pic>
      <xdr:nvPicPr>
        <xdr:cNvPr id="0" name="image3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88</xdr:row>
      <xdr:rowOff>0</xdr:rowOff>
    </xdr:from>
    <xdr:ext cx="190500" cy="190500"/>
    <xdr:pic>
      <xdr:nvPicPr>
        <xdr:cNvPr id="0" name="image3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88</xdr:row>
      <xdr:rowOff>0</xdr:rowOff>
    </xdr:from>
    <xdr:ext cx="190500" cy="190500"/>
    <xdr:pic>
      <xdr:nvPicPr>
        <xdr:cNvPr id="0" name="image3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88</xdr:row>
      <xdr:rowOff>0</xdr:rowOff>
    </xdr:from>
    <xdr:ext cx="190500" cy="190500"/>
    <xdr:pic>
      <xdr:nvPicPr>
        <xdr:cNvPr id="0" name="image3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88</xdr:row>
      <xdr:rowOff>0</xdr:rowOff>
    </xdr:from>
    <xdr:ext cx="190500" cy="190500"/>
    <xdr:pic>
      <xdr:nvPicPr>
        <xdr:cNvPr id="0" name="image3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89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89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89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91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91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91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91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91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91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92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92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92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92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92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92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93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93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93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93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93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93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94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94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94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94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94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94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95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95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95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95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95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95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96</xdr:row>
      <xdr:rowOff>0</xdr:rowOff>
    </xdr:from>
    <xdr:ext cx="190500" cy="190500"/>
    <xdr:pic>
      <xdr:nvPicPr>
        <xdr:cNvPr id="0" name="image3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96</xdr:row>
      <xdr:rowOff>0</xdr:rowOff>
    </xdr:from>
    <xdr:ext cx="190500" cy="190500"/>
    <xdr:pic>
      <xdr:nvPicPr>
        <xdr:cNvPr id="0" name="image3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96</xdr:row>
      <xdr:rowOff>0</xdr:rowOff>
    </xdr:from>
    <xdr:ext cx="190500" cy="190500"/>
    <xdr:pic>
      <xdr:nvPicPr>
        <xdr:cNvPr id="0" name="image3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96</xdr:row>
      <xdr:rowOff>0</xdr:rowOff>
    </xdr:from>
    <xdr:ext cx="190500" cy="190500"/>
    <xdr:pic>
      <xdr:nvPicPr>
        <xdr:cNvPr id="0" name="image3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96</xdr:row>
      <xdr:rowOff>0</xdr:rowOff>
    </xdr:from>
    <xdr:ext cx="190500" cy="190500"/>
    <xdr:pic>
      <xdr:nvPicPr>
        <xdr:cNvPr id="0" name="image3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96</xdr:row>
      <xdr:rowOff>0</xdr:rowOff>
    </xdr:from>
    <xdr:ext cx="190500" cy="190500"/>
    <xdr:pic>
      <xdr:nvPicPr>
        <xdr:cNvPr id="0" name="image3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97</xdr:row>
      <xdr:rowOff>0</xdr:rowOff>
    </xdr:from>
    <xdr:ext cx="381000" cy="381000"/>
    <xdr:pic>
      <xdr:nvPicPr>
        <xdr:cNvPr id="0" name="image33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97</xdr:row>
      <xdr:rowOff>0</xdr:rowOff>
    </xdr:from>
    <xdr:ext cx="381000" cy="381000"/>
    <xdr:pic>
      <xdr:nvPicPr>
        <xdr:cNvPr id="0" name="image33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97</xdr:row>
      <xdr:rowOff>0</xdr:rowOff>
    </xdr:from>
    <xdr:ext cx="381000" cy="381000"/>
    <xdr:pic>
      <xdr:nvPicPr>
        <xdr:cNvPr id="0" name="image33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97</xdr:row>
      <xdr:rowOff>0</xdr:rowOff>
    </xdr:from>
    <xdr:ext cx="381000" cy="381000"/>
    <xdr:pic>
      <xdr:nvPicPr>
        <xdr:cNvPr id="0" name="image33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97</xdr:row>
      <xdr:rowOff>0</xdr:rowOff>
    </xdr:from>
    <xdr:ext cx="381000" cy="381000"/>
    <xdr:pic>
      <xdr:nvPicPr>
        <xdr:cNvPr id="0" name="image33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97</xdr:row>
      <xdr:rowOff>0</xdr:rowOff>
    </xdr:from>
    <xdr:ext cx="381000" cy="381000"/>
    <xdr:pic>
      <xdr:nvPicPr>
        <xdr:cNvPr id="0" name="image33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98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98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98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98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98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98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100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100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100</xdr:row>
      <xdr:rowOff>0</xdr:rowOff>
    </xdr:from>
    <xdr:ext cx="190500" cy="190500"/>
    <xdr:pic>
      <xdr:nvPicPr>
        <xdr:cNvPr id="0" name="image33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100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100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100</xdr:row>
      <xdr:rowOff>0</xdr:rowOff>
    </xdr:from>
    <xdr:ext cx="190500" cy="190500"/>
    <xdr:pic>
      <xdr:nvPicPr>
        <xdr:cNvPr id="0" name="image33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100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100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100</xdr:row>
      <xdr:rowOff>0</xdr:rowOff>
    </xdr:from>
    <xdr:ext cx="190500" cy="190500"/>
    <xdr:pic>
      <xdr:nvPicPr>
        <xdr:cNvPr id="0" name="image33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101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101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101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101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101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101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102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102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102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102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102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102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103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103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103</xdr:row>
      <xdr:rowOff>0</xdr:rowOff>
    </xdr:from>
    <xdr:ext cx="190500" cy="1905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103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103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103</xdr:row>
      <xdr:rowOff>0</xdr:rowOff>
    </xdr:from>
    <xdr:ext cx="190500" cy="1905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103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103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103</xdr:row>
      <xdr:rowOff>0</xdr:rowOff>
    </xdr:from>
    <xdr:ext cx="190500" cy="1905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104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104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104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104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104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104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105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105</xdr:row>
      <xdr:rowOff>0</xdr:rowOff>
    </xdr:from>
    <xdr:ext cx="190500" cy="190500"/>
    <xdr:pic>
      <xdr:nvPicPr>
        <xdr:cNvPr id="0" name="image3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105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105</xdr:row>
      <xdr:rowOff>0</xdr:rowOff>
    </xdr:from>
    <xdr:ext cx="190500" cy="190500"/>
    <xdr:pic>
      <xdr:nvPicPr>
        <xdr:cNvPr id="0" name="image3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105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105</xdr:row>
      <xdr:rowOff>0</xdr:rowOff>
    </xdr:from>
    <xdr:ext cx="190500" cy="190500"/>
    <xdr:pic>
      <xdr:nvPicPr>
        <xdr:cNvPr id="0" name="image3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OMAR AL-RIFAI" id="{4a028faf-5bc7-4078-b5c3-a0d39851dc73}" providerId="google-sheets"/>
  <x18tc:person displayName="Anonymous" id="{f1ae976b-200f-4639-af3e-d9573b47bb6b}" providerId="google-sheets"/>
  <x18tc:person displayName="Zanko Ebrahim" id="{1721bda5-a134-4774-92aa-33e3b4be9c31}" providerId="google-sheets"/>
  <x18tc:person displayName="Farouk Manga" id="{5bf6ef79-6e1d-4ffb-823f-141cc2337be3}" providerId="google-sheets"/>
  <x18tc:person displayName="mXq" id="{7fc6eb17-dd9a-40c1-84ae-d1530a593767}" providerId="google-sheets"/>
  <x18tc:person displayName="OTAVIO JOHANN JARDIM" id="{85a513cc-202b-4840-afbe-918093d4fc10}" providerId="google-sheets"/>
  <x18tc:person displayName="Bonga Manzini" id="{555b53d3-f717-405a-ab15-eb5942ec7e90}" providerId="google-sheets"/>
  <x18tc:person displayName="ณฤพนธ์ พลอยนิล" id="{55986830-56c2-4eda-af23-32700244393d}" providerId="google-sheets"/>
  <x18tc:person displayName="Muhammad Adzmir" id="{d4536ea0-38b6-4b73-b815-aa14ced7709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7-23T14:19:20.00" personId="{f1ae976b-200f-4639-af3e-d9573b47bb6b}" id="{6cd31c84-ecca-4d95-b486-f821e484b6cc}" done="1">
    <x18tc:text xml:space="preserve">the skin is of green runner carrot not this one</x18tc:text>
  </x18tc:threadedComment>
  <x18tc:threadedComment ref="A1" dT="2025-07-23T14:28:36.00" personId="{4a028faf-5bc7-4078-b5c3-a0d39851dc73}" id="{f82afceb-6428-4b89-9213-b52d48fa00ba}" parentId="{6cd31c84-ecca-4d95-b486-f821e484b6cc}">
    <x18tc:text xml:space="preserve">Yeah it will be fixed, thanks</x18tc:text>
  </x18tc:threadedComment>
  <x18tc:threadedComment ref="D27" dT="2025-05-23T15:11:30.00" personId="{1721bda5-a134-4774-92aa-33e3b4be9c31}" id="{9f6e2b86-d6f6-4979-8378-dd5648bf7c3d}" done="1">
    <x18tc:text xml:space="preserve">A suggestion to make this table better. Characters that have been buffed can be put again in the list and their tag should ( buffed bounty festival) or something like that because characters that get buffed deserve to be put in newer lists</x18tc:text>
  </x18tc:threadedComment>
  <x18tc:threadedComment ref="D27" dT="2025-05-28T12:42:11.00" personId="{1721bda5-a134-4774-92aa-33e3b4be9c31}" id="{5070e6a9-8f46-4856-82db-d57903382664}" parentId="{9f6e2b86-d6f6-4979-8378-dd5648bf7c3d}">
    <x18tc:text xml:space="preserve">تمت الإشارة إلى أنّها "مستجابة"</x18tc:text>
  </x18tc:threadedComment>
  <x18tc:threadedComment ref="D27" dT="2025-05-28T12:42:30.00" personId="{1721bda5-a134-4774-92aa-33e3b4be9c31}" id="{0460594c-4d08-4a53-a6e7-7299e89f4325}" parentId="{9f6e2b86-d6f6-4979-8378-dd5648bf7c3d}">
    <x18tc:text xml:space="preserve">تمت إعادة الفتح</x18tc:text>
  </x18tc:threadedComment>
  <x18tc:threadedComment ref="A1" dT="2025-09-02T17:10:42.00" personId="{85a513cc-202b-4840-afbe-918093d4fc10}" id="{09aab4be-1c89-436e-94c5-bd641bb7a428}" done="1">
    <x18tc:text xml:space="preserve">Awesome work bro! I use this database a lot, would be cool to add the title of the units!</x18tc:text>
  </x18tc:threadedComment>
  <x18tc:threadedComment ref="A1" dT="2025-09-02T17:19:31.00" personId="{4a028faf-5bc7-4078-b5c3-a0d39851dc73}" id="{3301c48c-a72f-48ea-abf2-4b6cc4df38aa}" parentId="{09aab4be-1c89-436e-94c5-bd641bb7a428}">
    <x18tc:text xml:space="preserve">Thanks bro, Yeah I will do that as soon as I have time</x18tc:text>
  </x18tc:threadedComment>
  <x18tc:threadedComment ref="A6" dT="2024-06-04T16:53:37.00" personId="{4a028faf-5bc7-4078-b5c3-a0d39851dc73}" id="{e53addb9-8c82-4998-96e0-9ccea1cd9bfc}" done="1">
    <x18tc:text xml:space="preserve">If you have any ideas to improve this sheet, please put it in a comment.</x18tc:text>
  </x18tc:threadedComment>
  <x18tc:threadedComment ref="A6" dT="2024-10-15T14:36:03.00" personId="{555b53d3-f717-405a-ab15-eb5942ec7e90}" id="{66a90f45-da6b-4ed2-afe7-c3bb66099270}" parentId="{e53addb9-8c82-4998-96e0-9ccea1cd9bfc}">
    <x18tc:text xml:space="preserve">Would you mind if i use this as a csv for a website im planning on making?</x18tc:text>
  </x18tc:threadedComment>
  <x18tc:threadedComment ref="A6" dT="2024-10-15T14:48:30.00" personId="{4a028faf-5bc7-4078-b5c3-a0d39851dc73}" id="{fc6509fd-343b-44db-9715-bbb8411f7292}" parentId="{e53addb9-8c82-4998-96e0-9ccea1cd9bfc}">
    <x18tc:text xml:space="preserve">Sure, but don’t forget the credit</x18tc:text>
  </x18tc:threadedComment>
  <x18tc:threadedComment ref="A1" dT="2025-12-11T04:16:18.00" personId="{55986830-56c2-4eda-af23-32700244393d}" id="{8a3ea3fe-f7cd-472a-a1d8-651468906b7a}" done="1">
    <x18tc:text xml:space="preserve">In medals sheet in search page, the drop down menu for tags doesn't seem to work like before. The drop down menu isn't there anymore.</x18tc:text>
  </x18tc:threadedComment>
  <x18tc:threadedComment ref="A1" dT="2025-12-13T19:46:25.00" personId="{5bf6ef79-6e1d-4ffb-823f-141cc2337be3}" id="{ec2a92b9-de3e-44f1-aa18-9553c623672e}" parentId="{8a3ea3fe-f7cd-472a-a1d8-651468906b7a}">
    <x18tc:text xml:space="preserve">تمت الإشارة إلى أنّها "مستجابة"</x18tc:text>
  </x18tc:threadedComment>
  <x18tc:threadedComment ref="A1" dT="2025-12-19T10:33:30.00" personId="{4a028faf-5bc7-4078-b5c3-a0d39851dc73}" id="{1a6896cc-9260-4ede-a36c-f79a6dd42215}" parentId="{8a3ea3fe-f7cd-472a-a1d8-651468906b7a}">
    <x18tc:text xml:space="preserve">تمت إعادة الفتح</x18tc:text>
  </x18tc:threadedComment>
  <x18tc:threadedComment ref="A1" dT="2025-12-19T10:37:34.00" personId="{4a028faf-5bc7-4078-b5c3-a0d39851dc73}" id="{fe30973b-d062-46ab-a87f-d31b09e0f268}" parentId="{8a3ea3fe-f7cd-472a-a1d8-651468906b7a}">
    <x18tc:text xml:space="preserve">If you press backspace while you are selecting the dropdown cell, and the dropdown was empty, that will remove the dropdown, so you can press Ctrl+Z, if that didn't work then you have to open a new copy of the sheet</x18tc:text>
  </x18tc:threadedComment>
  <x18tc:threadedComment ref="A1" dT="2025-07-31T10:38:37.00" personId="{7fc6eb17-dd9a-40c1-84ae-d1530a593767}" id="{2b9f7ef4-fbf3-45ad-a689-8e770b43d6e4}" done="1">
    <x18tc:text xml:space="preserve">Yo! Im creating a website using your characters database. Can you share you socials so that i can credit you properly. Thanks.</x18tc:text>
  </x18tc:threadedComment>
  <x18tc:threadedComment ref="A1" dT="2025-07-31T12:15:38.00" personId="{4a028faf-5bc7-4078-b5c3-a0d39851dc73}" id="{425b2cb7-f31b-4fc9-bd5c-3ab16924e000}" parentId="{2b9f7ef4-fbf3-45ad-a689-8e770b43d6e4}">
    <x18tc:text xml:space="preserve">تمت الإشارة إلى أنّها "مستجابة"</x18tc:text>
  </x18tc:threadedComment>
  <x18tc:threadedComment ref="A1" dT="2025-07-31T12:16:22.00" personId="{4a028faf-5bc7-4078-b5c3-a0d39851dc73}" id="{54d7bf15-21c5-4b34-8e76-be12aa39fa0d}" parentId="{2b9f7ef4-fbf3-45ad-a689-8e770b43d6e4}">
    <x18tc:text xml:space="preserve">تمت إعادة الفتح</x18tc:text>
  </x18tc:threadedComment>
  <x18tc:threadedComment ref="A1" dT="2025-07-31T12:17:01.00" personId="{4a028faf-5bc7-4078-b5c3-a0d39851dc73}" id="{93fe0da2-ed93-4c37-884d-ceced6bc1855}" parentId="{2b9f7ef4-fbf3-45ad-a689-8e770b43d6e4}">
    <x18tc:text xml:space="preserve">I would like to take a look at it first, and please contact me so we can discuss this.</x18tc:text>
  </x18tc:threadedComment>
  <x18tc:threadedComment ref="A1" dT="2025-07-31T12:17:27.00" personId="{4a028faf-5bc7-4078-b5c3-a0d39851dc73}" id="{2af5f3ab-9ae5-49ba-b0be-31040cabbd4f}" parentId="{2b9f7ef4-fbf3-45ad-a689-8e770b43d6e4}">
    <x18tc:text xml:space="preserve">تمت الإشارة إلى أنّها "مستجابة"</x18tc:text>
  </x18tc:threadedComment>
  <x18tc:threadedComment ref="A1" dT="2025-08-01T05:29:43.00" personId="{7fc6eb17-dd9a-40c1-84ae-d1530a593767}" id="{4f831f4d-9ea2-4e45-9053-cf55a96a12fa}" parentId="{2b9f7ef4-fbf3-45ad-a689-8e770b43d6e4}">
    <x18tc:text xml:space="preserve">Sure. I'll dm you on reddit.
تمت إعادة الفتح</x18tc:text>
  </x18tc:threadedComment>
  <x18tc:threadedComment ref="H26" dT="2025-06-19T19:55:24.00" personId="{1721bda5-a134-4774-92aa-33e3b4be9c31}" id="{cd0b4409-24b8-4506-9478-56c6b0d68fd1}" done="1">
    <x18tc:text xml:space="preserve">This date is wrong</x18tc:text>
  </x18tc:threadedComment>
  <x18tc:threadedComment ref="A1" dT="2024-06-05T03:53:38.00" personId="{55986830-56c2-4eda-af23-32700244393d}" id="{15e187de-2497-4b52-83f1-3f52e2fcc616}" done="1">
    <x18tc:text xml:space="preserve">Incorrect. It’s 3% heal after inflicting aflame on an enemy.</x18tc:text>
  </x18tc:threadedComment>
  <x18tc:threadedComment ref="A1" dT="2024-06-05T22:14:03.00" personId="{4a028faf-5bc7-4078-b5c3-a0d39851dc73}" id="{2e6e02d4-7a20-4100-9cd5-79a3ed3947a8}" parentId="{15e187de-2497-4b52-83f1-3f52e2fcc616}">
    <x18tc:text xml:space="preserve">Fixed, Thanks</x18tc:text>
  </x18tc:threadedComment>
  <x18tc:threadedComment ref="A1" dT="2024-06-06T02:52:39.00" personId="{55986830-56c2-4eda-af23-32700244393d}" id="{64750979-3524-490f-ac19-d69e3940c471}" parentId="{15e187de-2497-4b52-83f1-3f52e2fcc616}">
    <x18tc:text xml:space="preserve">تمت الإشارة إلى أنّها "مستجابة"</x18tc:text>
  </x18tc:threadedComment>
  <x18tc:threadedComment ref="A1" dT="2024-07-02T11:59:50.00" personId="{d4536ea0-38b6-4b73-b815-aa14ced7709f}" id="{1e6c8960-f231-4fe5-bde5-9a33c0e26629}" parentId="{15e187de-2497-4b52-83f1-3f52e2fcc616}">
    <x18tc:text xml:space="preserve">تمت إعادة الفتح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i.postimg.cc/tgLhDrgv/252-Raid-on-Onigashima-Usopp.png" TargetMode="External"/><Relationship Id="rId194" Type="http://schemas.openxmlformats.org/officeDocument/2006/relationships/hyperlink" Target="https://i.postimg.cc/mk47WtCQ/250-Okuchi-no-Makami-Yamato.png" TargetMode="External"/><Relationship Id="rId193" Type="http://schemas.openxmlformats.org/officeDocument/2006/relationships/hyperlink" Target="https://i.postimg.cc/L6B2DCYf/Red-Attacker.png" TargetMode="External"/><Relationship Id="rId192" Type="http://schemas.openxmlformats.org/officeDocument/2006/relationships/hyperlink" Target="https://i.postimg.cc/B6H2zxLS/251-Raid-on-Onigashima-Nami.png" TargetMode="External"/><Relationship Id="rId191" Type="http://schemas.openxmlformats.org/officeDocument/2006/relationships/hyperlink" Target="https://i.postimg.cc/4NzNM4MY/Blue-Runner.png" TargetMode="External"/><Relationship Id="rId187" Type="http://schemas.openxmlformats.org/officeDocument/2006/relationships/hyperlink" Target="https://i.postimg.cc/P5XhRWY7/Red-Defender.png" TargetMode="External"/><Relationship Id="rId186" Type="http://schemas.openxmlformats.org/officeDocument/2006/relationships/hyperlink" Target="https://i.postimg.cc/8zXdfkgS/254-Caribou-Pirates-Captain-Caribou.png" TargetMode="External"/><Relationship Id="rId185" Type="http://schemas.openxmlformats.org/officeDocument/2006/relationships/hyperlink" Target="https://i.postimg.cc/qRhpGpyM/Green-Defender.png" TargetMode="External"/><Relationship Id="rId184" Type="http://schemas.openxmlformats.org/officeDocument/2006/relationships/hyperlink" Target="https://i.postimg.cc/6pvbCs2g/255-Ryugu-Kingdom-King-Neptune.png" TargetMode="External"/><Relationship Id="rId189" Type="http://schemas.openxmlformats.org/officeDocument/2006/relationships/hyperlink" Target="https://i.postimg.cc/1zRtDxvf/Blue-Attacker.png" TargetMode="External"/><Relationship Id="rId188" Type="http://schemas.openxmlformats.org/officeDocument/2006/relationships/hyperlink" Target="https://i.postimg.cc/jSSQjw9c/253-Flying-Pirates-Captain-Vander-Decken-IX.png" TargetMode="External"/><Relationship Id="rId183" Type="http://schemas.openxmlformats.org/officeDocument/2006/relationships/hyperlink" Target="https://i.postimg.cc/PxgT30Qb/Green-Runner.png" TargetMode="External"/><Relationship Id="rId182" Type="http://schemas.openxmlformats.org/officeDocument/2006/relationships/hyperlink" Target="https://i.postimg.cc/nc5wsVzq/256-New-Fish-Man-Pirates-Captain-Hody-Jones.png" TargetMode="External"/><Relationship Id="rId181" Type="http://schemas.openxmlformats.org/officeDocument/2006/relationships/hyperlink" Target="https://i.postimg.cc/4NzNM4MY/Blue-Runner.png" TargetMode="External"/><Relationship Id="rId180" Type="http://schemas.openxmlformats.org/officeDocument/2006/relationships/hyperlink" Target="https://i.postimg.cc/nLs448nQ/257-Battle-of-Monsters-on-Onigashima-Kid-Law.png" TargetMode="External"/><Relationship Id="rId176" Type="http://schemas.openxmlformats.org/officeDocument/2006/relationships/hyperlink" Target="https://i.postimg.cc/Kct5pyBP/259-Singer-of-the-New-Genesis-Uta.png" TargetMode="External"/><Relationship Id="rId297" Type="http://schemas.openxmlformats.org/officeDocument/2006/relationships/hyperlink" Target="https://i.postimg.cc/m2xg81dx/Blue-Defender.png" TargetMode="External"/><Relationship Id="rId175" Type="http://schemas.openxmlformats.org/officeDocument/2006/relationships/hyperlink" Target="https://i.postimg.cc/vZ9ytRzZ/Transforming-Class-Green-Defender.png" TargetMode="External"/><Relationship Id="rId296" Type="http://schemas.openxmlformats.org/officeDocument/2006/relationships/hyperlink" Target="https://i.postimg.cc/CLNXt8ks/199-Germa-66-Generalissimo-Vinsmoke-Judge.png" TargetMode="External"/><Relationship Id="rId174" Type="http://schemas.openxmlformats.org/officeDocument/2006/relationships/hyperlink" Target="https://i.postimg.cc/8cdB7hNK/260-Gear-Five-Monkey-D-Luffy.png" TargetMode="External"/><Relationship Id="rId295" Type="http://schemas.openxmlformats.org/officeDocument/2006/relationships/hyperlink" Target="https://i.postimg.cc/PxgT30Qb/Green-Runner.png" TargetMode="External"/><Relationship Id="rId173" Type="http://schemas.openxmlformats.org/officeDocument/2006/relationships/hyperlink" Target="https://i.postimg.cc/bJqqv61N/Transforming-Element-Green-Attacker.png" TargetMode="External"/><Relationship Id="rId294" Type="http://schemas.openxmlformats.org/officeDocument/2006/relationships/hyperlink" Target="https://i.postimg.cc/XN9Tfmvh/200-Stealth-Black-Soba-Mask.png" TargetMode="External"/><Relationship Id="rId179" Type="http://schemas.openxmlformats.org/officeDocument/2006/relationships/hyperlink" Target="https://i.postimg.cc/1zRtDxvf/Blue-Attacker.png" TargetMode="External"/><Relationship Id="rId178" Type="http://schemas.openxmlformats.org/officeDocument/2006/relationships/hyperlink" Target="https://i.postimg.cc/bNT98H6d/258-Raid-on-Onigashima-Killer.png" TargetMode="External"/><Relationship Id="rId299" Type="http://schemas.openxmlformats.org/officeDocument/2006/relationships/hyperlink" Target="https://i.postimg.cc/J0nmNGTf/Transforming-Class-Blue-Attacker.png" TargetMode="External"/><Relationship Id="rId177" Type="http://schemas.openxmlformats.org/officeDocument/2006/relationships/hyperlink" Target="https://i.postimg.cc/m2xg81dx/Blue-Defender.png" TargetMode="External"/><Relationship Id="rId298" Type="http://schemas.openxmlformats.org/officeDocument/2006/relationships/hyperlink" Target="https://i.postimg.cc/GmmV1pjw/198-Man-Who-Dreams-of-Becoming-the-King-of-the-Pirates-Monkey-D-Luffy.png" TargetMode="External"/><Relationship Id="rId198" Type="http://schemas.openxmlformats.org/officeDocument/2006/relationships/hyperlink" Target="https://i.postimg.cc/YqbYT29W/248-Raid-on-Onigashima-Nico-Robin.png" TargetMode="External"/><Relationship Id="rId197" Type="http://schemas.openxmlformats.org/officeDocument/2006/relationships/hyperlink" Target="https://i.postimg.cc/P5XhRWY7/Red-Defender.png" TargetMode="External"/><Relationship Id="rId196" Type="http://schemas.openxmlformats.org/officeDocument/2006/relationships/hyperlink" Target="https://i.postimg.cc/zXJTdHJN/249-Raid-on-Onigashima-Brook.png" TargetMode="External"/><Relationship Id="rId195" Type="http://schemas.openxmlformats.org/officeDocument/2006/relationships/hyperlink" Target="https://i.postimg.cc/1zRtDxvf/Blue-Attacker.png" TargetMode="External"/><Relationship Id="rId199" Type="http://schemas.openxmlformats.org/officeDocument/2006/relationships/hyperlink" Target="https://i.postimg.cc/1zRtDxvf/Blue-Attacker.png" TargetMode="External"/><Relationship Id="rId150" Type="http://schemas.openxmlformats.org/officeDocument/2006/relationships/hyperlink" Target="https://i.postimg.cc/52bKS2rQ/272-Land-of-Wano-Otama-Komachiyo.png" TargetMode="External"/><Relationship Id="rId271" Type="http://schemas.openxmlformats.org/officeDocument/2006/relationships/hyperlink" Target="https://i.postimg.cc/4NzNM4MY/Blue-Runner.png" TargetMode="External"/><Relationship Id="rId392" Type="http://schemas.openxmlformats.org/officeDocument/2006/relationships/hyperlink" Target="https://i.postimg.cc/Nfq2V9BF/151-Most-Handsome-Swordman-in-the-Land-of-Wano-Kikunojo.png" TargetMode="External"/><Relationship Id="rId270" Type="http://schemas.openxmlformats.org/officeDocument/2006/relationships/hyperlink" Target="https://i.postimg.cc/y87B3BXv/212-STAMPEDE-Boa-Hancock.png" TargetMode="External"/><Relationship Id="rId391" Type="http://schemas.openxmlformats.org/officeDocument/2006/relationships/hyperlink" Target="https://i.postimg.cc/P5XhRWY7/Red-Defender.png" TargetMode="External"/><Relationship Id="rId390" Type="http://schemas.openxmlformats.org/officeDocument/2006/relationships/hyperlink" Target="https://i.postimg.cc/5yvYy1qf/152-Kozuki-Clan-Servant-Kawamatsu.png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149" Type="http://schemas.openxmlformats.org/officeDocument/2006/relationships/hyperlink" Target="https://i.postimg.cc/PxgT30Qb/Green-Runner.png" TargetMode="External"/><Relationship Id="rId4" Type="http://schemas.openxmlformats.org/officeDocument/2006/relationships/hyperlink" Target="https://docs.google.com/spreadsheets/d/1kVZgROomdPGJnmApJBTCzBKDuwW1hlyruldRkuZXe5o/export?format=xlsx" TargetMode="External"/><Relationship Id="rId148" Type="http://schemas.openxmlformats.org/officeDocument/2006/relationships/hyperlink" Target="https://i.postimg.cc/sgm66RF6/273-Navy-HQ-Admiral-Ryokugyu-Aramaki.png" TargetMode="External"/><Relationship Id="rId269" Type="http://schemas.openxmlformats.org/officeDocument/2006/relationships/hyperlink" Target="https://i.postimg.cc/Hk6HDrtk/Red-Runner.png" TargetMode="External"/><Relationship Id="rId9" Type="http://schemas.openxmlformats.org/officeDocument/2006/relationships/hyperlink" Target="https://i.postimg.cc/qv4MdVVj/Dark-Defender.png" TargetMode="External"/><Relationship Id="rId143" Type="http://schemas.openxmlformats.org/officeDocument/2006/relationships/hyperlink" Target="https://i.postimg.cc/0j7xLZVT/Light-Defender.png" TargetMode="External"/><Relationship Id="rId264" Type="http://schemas.openxmlformats.org/officeDocument/2006/relationships/hyperlink" Target="https://i.postimg.cc/QC5s1dyn/215-FILM-Z-Zephyr.png" TargetMode="External"/><Relationship Id="rId385" Type="http://schemas.openxmlformats.org/officeDocument/2006/relationships/hyperlink" Target="https://i.postimg.cc/4NzNM4MY/Blue-Runner.png" TargetMode="External"/><Relationship Id="rId142" Type="http://schemas.openxmlformats.org/officeDocument/2006/relationships/hyperlink" Target="https://i.postimg.cc/HLLSFPdp/276-Great-Pirate-Edward-Newgate.png" TargetMode="External"/><Relationship Id="rId263" Type="http://schemas.openxmlformats.org/officeDocument/2006/relationships/hyperlink" Target="https://i.postimg.cc/L6B2DCYf/Red-Attacker.png" TargetMode="External"/><Relationship Id="rId384" Type="http://schemas.openxmlformats.org/officeDocument/2006/relationships/hyperlink" Target="https://i.postimg.cc/PJ8fy4Py/155-Kyoshiro-Family-Boss-Napping-Kyoshiro.png" TargetMode="External"/><Relationship Id="rId141" Type="http://schemas.openxmlformats.org/officeDocument/2006/relationships/hyperlink" Target="https://i.postimg.cc/NGXg9fQd/Light-Attacker.png" TargetMode="External"/><Relationship Id="rId262" Type="http://schemas.openxmlformats.org/officeDocument/2006/relationships/hyperlink" Target="https://i.postimg.cc/NMZBKHpH/216-FILM-RED-Uta.png" TargetMode="External"/><Relationship Id="rId383" Type="http://schemas.openxmlformats.org/officeDocument/2006/relationships/hyperlink" Target="https://i.postimg.cc/qRhpGpyM/Green-Defender.png" TargetMode="External"/><Relationship Id="rId140" Type="http://schemas.openxmlformats.org/officeDocument/2006/relationships/hyperlink" Target="https://i.postimg.cc/Df4N2Ds0/277-Heir-to-the-Shogun-of-Wano-Kozuki-Oden.png" TargetMode="External"/><Relationship Id="rId261" Type="http://schemas.openxmlformats.org/officeDocument/2006/relationships/hyperlink" Target="https://i.postimg.cc/L6B2DCYf/Red-Attacker.png" TargetMode="External"/><Relationship Id="rId382" Type="http://schemas.openxmlformats.org/officeDocument/2006/relationships/hyperlink" Target="https://i.postimg.cc/63qp2wKD/156-Kozuki-Clan-Servant-Ashura-Doji.png" TargetMode="External"/><Relationship Id="rId5" Type="http://schemas.openxmlformats.org/officeDocument/2006/relationships/hyperlink" Target="https://docs.google.com/spreadsheets/d/1JUadSrTDCUWqNdeGg8HZeVOYveHTWOfqM0Xspsg3qiA/edit?usp=sharing" TargetMode="External"/><Relationship Id="rId147" Type="http://schemas.openxmlformats.org/officeDocument/2006/relationships/hyperlink" Target="https://i.postimg.cc/P5XhRWY7/Red-Defender.png" TargetMode="External"/><Relationship Id="rId268" Type="http://schemas.openxmlformats.org/officeDocument/2006/relationships/hyperlink" Target="https://i.postimg.cc/J4VRmjyw/213-FILM-STRONG-WORLD-Shiki.png" TargetMode="External"/><Relationship Id="rId389" Type="http://schemas.openxmlformats.org/officeDocument/2006/relationships/hyperlink" Target="https://i.postimg.cc/Hk6HDrtk/Red-Runner.png" TargetMode="External"/><Relationship Id="rId6" Type="http://schemas.openxmlformats.org/officeDocument/2006/relationships/hyperlink" Target="https://docs.google.com/spreadsheets/d/1rVptXdp1CJzesnpYgUXBmxvT5PnUlRJp3MZnYbmbTEw/edit?usp=sharing" TargetMode="External"/><Relationship Id="rId146" Type="http://schemas.openxmlformats.org/officeDocument/2006/relationships/hyperlink" Target="https://i.postimg.cc/FsjnSLTQ/274-Shogun-of-Wano-Kozuki-Momonosuke.png" TargetMode="External"/><Relationship Id="rId267" Type="http://schemas.openxmlformats.org/officeDocument/2006/relationships/hyperlink" Target="https://i.postimg.cc/1zRtDxvf/Blue-Attacker.png" TargetMode="External"/><Relationship Id="rId388" Type="http://schemas.openxmlformats.org/officeDocument/2006/relationships/hyperlink" Target="https://i.postimg.cc/1tbVy4FW/153-Land-of-Wano-Chopperemon.png" TargetMode="External"/><Relationship Id="rId7" Type="http://schemas.openxmlformats.org/officeDocument/2006/relationships/hyperlink" Target="https://coff.ee/omarrifai51" TargetMode="External"/><Relationship Id="rId145" Type="http://schemas.openxmlformats.org/officeDocument/2006/relationships/hyperlink" Target="https://i.postimg.cc/L6B2DCYf/Red-Attacker.png" TargetMode="External"/><Relationship Id="rId266" Type="http://schemas.openxmlformats.org/officeDocument/2006/relationships/hyperlink" Target="https://i.postimg.cc/3rD3PtxC/214-FILM-GOLD-Gild-Tesoro.png" TargetMode="External"/><Relationship Id="rId387" Type="http://schemas.openxmlformats.org/officeDocument/2006/relationships/hyperlink" Target="https://i.postimg.cc/0NH8mz6B/Green-Attacker.png" TargetMode="External"/><Relationship Id="rId8" Type="http://schemas.openxmlformats.org/officeDocument/2006/relationships/hyperlink" Target="https://i.postimg.cc/MZLRHkwV/343-Baroque-Works-Officer-Agent-Mr-3.png" TargetMode="External"/><Relationship Id="rId144" Type="http://schemas.openxmlformats.org/officeDocument/2006/relationships/hyperlink" Target="https://i.postimg.cc/mr6d4Ng7/275-Fire-Fist-Ogre-Princess-Ace-Yamato.png" TargetMode="External"/><Relationship Id="rId265" Type="http://schemas.openxmlformats.org/officeDocument/2006/relationships/hyperlink" Target="https://i.postimg.cc/qRhpGpyM/Green-Defender.png" TargetMode="External"/><Relationship Id="rId386" Type="http://schemas.openxmlformats.org/officeDocument/2006/relationships/hyperlink" Target="https://i.postimg.cc/25cBX0SN/154-King-of-the-Pirates-Gol-D-Roger.png" TargetMode="External"/><Relationship Id="rId260" Type="http://schemas.openxmlformats.org/officeDocument/2006/relationships/hyperlink" Target="https://i.postimg.cc/Kz1mcNrb/217-FILM-RED-Monkey-D-Luffy.png" TargetMode="External"/><Relationship Id="rId381" Type="http://schemas.openxmlformats.org/officeDocument/2006/relationships/hyperlink" Target="https://i.postimg.cc/P5XhRWY7/Red-Defender.png" TargetMode="External"/><Relationship Id="rId380" Type="http://schemas.openxmlformats.org/officeDocument/2006/relationships/hyperlink" Target="https://i.postimg.cc/d0q1FrxQ/157-Hero-of-the-Navy-Monkey-D-Garb.png" TargetMode="External"/><Relationship Id="rId139" Type="http://schemas.openxmlformats.org/officeDocument/2006/relationships/hyperlink" Target="https://i.postimg.cc/NGXg9fQd/Light-Attacker.png" TargetMode="External"/><Relationship Id="rId138" Type="http://schemas.openxmlformats.org/officeDocument/2006/relationships/hyperlink" Target="https://i.postimg.cc/MHB3dMxV/278-Whole-Cake-Island-Carrot.png" TargetMode="External"/><Relationship Id="rId259" Type="http://schemas.openxmlformats.org/officeDocument/2006/relationships/hyperlink" Target="https://i.postimg.cc/0NH8mz6B/Green-Attacker.png" TargetMode="External"/><Relationship Id="rId137" Type="http://schemas.openxmlformats.org/officeDocument/2006/relationships/hyperlink" Target="https://i.postimg.cc/rppVK1p4/Dark-Runner.png" TargetMode="External"/><Relationship Id="rId258" Type="http://schemas.openxmlformats.org/officeDocument/2006/relationships/hyperlink" Target="https://i.postimg.cc/tgSXHf6D/218-FILM-RED-Shanks.png" TargetMode="External"/><Relationship Id="rId379" Type="http://schemas.openxmlformats.org/officeDocument/2006/relationships/hyperlink" Target="https://i.postimg.cc/0NH8mz6B/Green-Attacker.png" TargetMode="External"/><Relationship Id="rId132" Type="http://schemas.openxmlformats.org/officeDocument/2006/relationships/hyperlink" Target="https://i.postimg.cc/pr0hgxYV/281-The-Sky-Knight-Ganfor.png" TargetMode="External"/><Relationship Id="rId253" Type="http://schemas.openxmlformats.org/officeDocument/2006/relationships/hyperlink" Target="https://i.postimg.cc/qRhpGpyM/Green-Defender.png" TargetMode="External"/><Relationship Id="rId374" Type="http://schemas.openxmlformats.org/officeDocument/2006/relationships/hyperlink" Target="https://i.postimg.cc/QxTVJX7D/160-Revolutionary-Army-Officer-Koala.png" TargetMode="External"/><Relationship Id="rId495" Type="http://schemas.openxmlformats.org/officeDocument/2006/relationships/hyperlink" Target="https://i.postimg.cc/PxgT30Qb/Green-Runner.png" TargetMode="External"/><Relationship Id="rId131" Type="http://schemas.openxmlformats.org/officeDocument/2006/relationships/hyperlink" Target="https://i.postimg.cc/1zRtDxvf/Blue-Attacker.png" TargetMode="External"/><Relationship Id="rId252" Type="http://schemas.openxmlformats.org/officeDocument/2006/relationships/hyperlink" Target="https://i.postimg.cc/QdDNgcsg/221-FILM-RED-Tony-Tony-Chopper.png" TargetMode="External"/><Relationship Id="rId373" Type="http://schemas.openxmlformats.org/officeDocument/2006/relationships/hyperlink" Target="https://i.postimg.cc/Hk6HDrtk/Red-Runner.png" TargetMode="External"/><Relationship Id="rId494" Type="http://schemas.openxmlformats.org/officeDocument/2006/relationships/hyperlink" Target="https://i.postimg.cc/5yvgVhXC/100-Son-of-the-King-of-the-Pirates-Portgaz-D-Ace.png" TargetMode="External"/><Relationship Id="rId130" Type="http://schemas.openxmlformats.org/officeDocument/2006/relationships/hyperlink" Target="https://i.postimg.cc/QNFR6m9R/282-The-Great-Warrior-of-Shandora-Kalgara.png" TargetMode="External"/><Relationship Id="rId251" Type="http://schemas.openxmlformats.org/officeDocument/2006/relationships/hyperlink" Target="https://i.postimg.cc/P5XhRWY7/Red-Defender.png" TargetMode="External"/><Relationship Id="rId372" Type="http://schemas.openxmlformats.org/officeDocument/2006/relationships/hyperlink" Target="https://i.postimg.cc/gc5nhwn4/161-Savior-God-Usopp.png" TargetMode="External"/><Relationship Id="rId493" Type="http://schemas.openxmlformats.org/officeDocument/2006/relationships/hyperlink" Target="https://i.postimg.cc/Hk6HDrtk/Red-Runner.png" TargetMode="External"/><Relationship Id="rId250" Type="http://schemas.openxmlformats.org/officeDocument/2006/relationships/hyperlink" Target="https://i.postimg.cc/BZ8vJqMF/222-FILM-RED-Yasopp.png" TargetMode="External"/><Relationship Id="rId371" Type="http://schemas.openxmlformats.org/officeDocument/2006/relationships/hyperlink" Target="https://i.postimg.cc/m2xg81dx/Blue-Defender.png" TargetMode="External"/><Relationship Id="rId492" Type="http://schemas.openxmlformats.org/officeDocument/2006/relationships/hyperlink" Target="https://i.postimg.cc/gJ1s1z2p/101-Whitebeard-Pirates-1st-Division-Commander-Marco.png" TargetMode="External"/><Relationship Id="rId136" Type="http://schemas.openxmlformats.org/officeDocument/2006/relationships/hyperlink" Target="https://i.postimg.cc/7L0w9jpW/279-Great-Pirate-Gol-D-Roger.png" TargetMode="External"/><Relationship Id="rId257" Type="http://schemas.openxmlformats.org/officeDocument/2006/relationships/hyperlink" Target="https://i.postimg.cc/m2xg81dx/Blue-Defender.png" TargetMode="External"/><Relationship Id="rId378" Type="http://schemas.openxmlformats.org/officeDocument/2006/relationships/hyperlink" Target="https://i.postimg.cc/SxLsHDVt/158-Roger-s-Rival-Edward-Newgate.png" TargetMode="External"/><Relationship Id="rId499" Type="http://schemas.openxmlformats.org/officeDocument/2006/relationships/hyperlink" Target="https://i.postimg.cc/4NzNM4MY/Blue-Runner.png" TargetMode="External"/><Relationship Id="rId135" Type="http://schemas.openxmlformats.org/officeDocument/2006/relationships/hyperlink" Target="https://i.postimg.cc/qv4MdVVj/Dark-Defender.png" TargetMode="External"/><Relationship Id="rId256" Type="http://schemas.openxmlformats.org/officeDocument/2006/relationships/hyperlink" Target="https://i.postimg.cc/3xZ8tWJs/219-FILM-RED-Ben-Beckman.png" TargetMode="External"/><Relationship Id="rId377" Type="http://schemas.openxmlformats.org/officeDocument/2006/relationships/hyperlink" Target="https://i.postimg.cc/PxgT30Qb/Green-Runner.png" TargetMode="External"/><Relationship Id="rId498" Type="http://schemas.openxmlformats.org/officeDocument/2006/relationships/hyperlink" Target="https://i.postimg.cc/L6KvT8WB/098-Happy-Holiday-Nico-Robin.png" TargetMode="External"/><Relationship Id="rId134" Type="http://schemas.openxmlformats.org/officeDocument/2006/relationships/hyperlink" Target="https://i.postimg.cc/L8rmzm0P/280-Ex-Roger-Pirates-First-Mate-Silvers-Rayleigh.png" TargetMode="External"/><Relationship Id="rId255" Type="http://schemas.openxmlformats.org/officeDocument/2006/relationships/hyperlink" Target="https://i.postimg.cc/4NzNM4MY/Blue-Runner.png" TargetMode="External"/><Relationship Id="rId376" Type="http://schemas.openxmlformats.org/officeDocument/2006/relationships/hyperlink" Target="https://i.postimg.cc/2SNyHPdZ/159-Minks-Carrot.png" TargetMode="External"/><Relationship Id="rId497" Type="http://schemas.openxmlformats.org/officeDocument/2006/relationships/hyperlink" Target="https://i.postimg.cc/0NH8mz6B/Green-Attacker.png" TargetMode="External"/><Relationship Id="rId133" Type="http://schemas.openxmlformats.org/officeDocument/2006/relationships/hyperlink" Target="https://i.postimg.cc/qv4MdVVj/Dark-Defender.png" TargetMode="External"/><Relationship Id="rId254" Type="http://schemas.openxmlformats.org/officeDocument/2006/relationships/hyperlink" Target="https://i.postimg.cc/15w5Nvx5/220-FILM-RED-Nami.png" TargetMode="External"/><Relationship Id="rId375" Type="http://schemas.openxmlformats.org/officeDocument/2006/relationships/hyperlink" Target="https://i.postimg.cc/L6B2DCYf/Red-Attacker.png" TargetMode="External"/><Relationship Id="rId496" Type="http://schemas.openxmlformats.org/officeDocument/2006/relationships/hyperlink" Target="https://i.postimg.cc/G3sqGyXm/099-Animal-Kingdom-Pirates-Supreme-Commander-Kaido.png" TargetMode="External"/><Relationship Id="rId172" Type="http://schemas.openxmlformats.org/officeDocument/2006/relationships/hyperlink" Target="https://i.postimg.cc/qqHxBmV6/261-Raid-on-Onigashima-Sanji.png" TargetMode="External"/><Relationship Id="rId293" Type="http://schemas.openxmlformats.org/officeDocument/2006/relationships/hyperlink" Target="https://i.postimg.cc/0NH8mz6B/Green-Attacker.png" TargetMode="External"/><Relationship Id="rId171" Type="http://schemas.openxmlformats.org/officeDocument/2006/relationships/hyperlink" Target="https://i.postimg.cc/PxgT30Qb/Green-Runner.png" TargetMode="External"/><Relationship Id="rId292" Type="http://schemas.openxmlformats.org/officeDocument/2006/relationships/hyperlink" Target="https://i.postimg.cc/g05fsP89/201-Blackbeard-Pirates-Helsman-Champ-Jesus-Burgess-png.png" TargetMode="External"/><Relationship Id="rId170" Type="http://schemas.openxmlformats.org/officeDocument/2006/relationships/hyperlink" Target="https://i.postimg.cc/s28JqjTc/262-Animal-Kingdom-Pirates-Tobi-Roppo-Sasaki.png" TargetMode="External"/><Relationship Id="rId291" Type="http://schemas.openxmlformats.org/officeDocument/2006/relationships/hyperlink" Target="https://i.postimg.cc/4NzNM4MY/Blue-Runner.png" TargetMode="External"/><Relationship Id="rId290" Type="http://schemas.openxmlformats.org/officeDocument/2006/relationships/hyperlink" Target="https://i.postimg.cc/gJZ1BBHx/202-Whitebeard-Pirates-5th-Division-Commander-Vista.png" TargetMode="External"/><Relationship Id="rId165" Type="http://schemas.openxmlformats.org/officeDocument/2006/relationships/hyperlink" Target="https://i.postimg.cc/1zRtDxvf/Blue-Attacker.png" TargetMode="External"/><Relationship Id="rId286" Type="http://schemas.openxmlformats.org/officeDocument/2006/relationships/hyperlink" Target="https://i.postimg.cc/1z4kDzgc/204-Blackbeard-Pirates-Former-Head-Jailer-of-Impel-Down-Shiryu.png" TargetMode="External"/><Relationship Id="rId164" Type="http://schemas.openxmlformats.org/officeDocument/2006/relationships/hyperlink" Target="https://i.postimg.cc/Xq9x9Rcg/265-Revolutionary-Army-Solider-Hack.png" TargetMode="External"/><Relationship Id="rId285" Type="http://schemas.openxmlformats.org/officeDocument/2006/relationships/hyperlink" Target="https://i.postimg.cc/P5XhRWY7/Red-Defender.png" TargetMode="External"/><Relationship Id="rId163" Type="http://schemas.openxmlformats.org/officeDocument/2006/relationships/hyperlink" Target="https://i.postimg.cc/m2xg81dx/Blue-Defender.png" TargetMode="External"/><Relationship Id="rId284" Type="http://schemas.openxmlformats.org/officeDocument/2006/relationships/hyperlink" Target="https://i.postimg.cc/3xLMyGwx/205-Land-of-Wano-Usohachi.png" TargetMode="External"/><Relationship Id="rId162" Type="http://schemas.openxmlformats.org/officeDocument/2006/relationships/hyperlink" Target="https://i.postimg.cc/jqf8Vf0J/266-Revolutionary-Army-Officer-Inazuma.png" TargetMode="External"/><Relationship Id="rId283" Type="http://schemas.openxmlformats.org/officeDocument/2006/relationships/hyperlink" Target="https://i.postimg.cc/1zRtDxvf/Blue-Attacker.png" TargetMode="External"/><Relationship Id="rId169" Type="http://schemas.openxmlformats.org/officeDocument/2006/relationships/hyperlink" Target="https://i.postimg.cc/L6B2DCYf/Red-Attacker.png" TargetMode="External"/><Relationship Id="rId168" Type="http://schemas.openxmlformats.org/officeDocument/2006/relationships/hyperlink" Target="https://i.postimg.cc/43n5W7Qy/263-Lunarian-Alber.png" TargetMode="External"/><Relationship Id="rId289" Type="http://schemas.openxmlformats.org/officeDocument/2006/relationships/hyperlink" Target="https://i.postimg.cc/m2xg81dx/Blue-Defender.png" TargetMode="External"/><Relationship Id="rId167" Type="http://schemas.openxmlformats.org/officeDocument/2006/relationships/hyperlink" Target="https://i.postimg.cc/Hk6HDrtk/Red-Runner.png" TargetMode="External"/><Relationship Id="rId288" Type="http://schemas.openxmlformats.org/officeDocument/2006/relationships/hyperlink" Target="https://i.postimg.cc/NFvZh7dp/203-Whitebeard-Pirates-3rd-Division-Commander-Jozu.png" TargetMode="External"/><Relationship Id="rId166" Type="http://schemas.openxmlformats.org/officeDocument/2006/relationships/hyperlink" Target="https://i.postimg.cc/qv1wcXnW/264-Cyborg-Queen.png" TargetMode="External"/><Relationship Id="rId287" Type="http://schemas.openxmlformats.org/officeDocument/2006/relationships/hyperlink" Target="https://i.postimg.cc/L6B2DCYf/Red-Attacker.png" TargetMode="External"/><Relationship Id="rId161" Type="http://schemas.openxmlformats.org/officeDocument/2006/relationships/hyperlink" Target="https://i.postimg.cc/PxgT30Qb/Green-Runner.png" TargetMode="External"/><Relationship Id="rId282" Type="http://schemas.openxmlformats.org/officeDocument/2006/relationships/hyperlink" Target="https://i.postimg.cc/bN9fhWcb/206-Land-of-Wano-Franosuke.png" TargetMode="External"/><Relationship Id="rId160" Type="http://schemas.openxmlformats.org/officeDocument/2006/relationships/hyperlink" Target="https://i.postimg.cc/wTc0MdBq/267-Revolutionary-Army-Captain-of-the-Northern-Forces-Karasu.png" TargetMode="External"/><Relationship Id="rId281" Type="http://schemas.openxmlformats.org/officeDocument/2006/relationships/hyperlink" Target="https://i.postimg.cc/Hk6HDrtk/Red-Runner.png" TargetMode="External"/><Relationship Id="rId280" Type="http://schemas.openxmlformats.org/officeDocument/2006/relationships/hyperlink" Target="https://i.postimg.cc/1R6ZW4vv/207-Shandian-Warrior-Wyper.png" TargetMode="External"/><Relationship Id="rId159" Type="http://schemas.openxmlformats.org/officeDocument/2006/relationships/hyperlink" Target="https://i.postimg.cc/P5XhRWY7/Red-Defender.png" TargetMode="External"/><Relationship Id="rId154" Type="http://schemas.openxmlformats.org/officeDocument/2006/relationships/hyperlink" Target="https://i.postimg.cc/qRh1vhNS/270-Raid-on-Onigashima-Tony-Tony-Chopper.png" TargetMode="External"/><Relationship Id="rId275" Type="http://schemas.openxmlformats.org/officeDocument/2006/relationships/hyperlink" Target="https://i.postimg.cc/0NH8mz6B/Green-Attacker.png" TargetMode="External"/><Relationship Id="rId396" Type="http://schemas.openxmlformats.org/officeDocument/2006/relationships/hyperlink" Target="https://i.postimg.cc/MGFvYX9W/149-Fire-Fist-Portgaz-D-Ace.png" TargetMode="External"/><Relationship Id="rId153" Type="http://schemas.openxmlformats.org/officeDocument/2006/relationships/hyperlink" Target="https://i.postimg.cc/Hk6HDrtk/Red-Runner.png" TargetMode="External"/><Relationship Id="rId274" Type="http://schemas.openxmlformats.org/officeDocument/2006/relationships/hyperlink" Target="https://i.postimg.cc/pd6tSjN6/210-Big-Mom-Pirates-Crewmate-Charlotte-Perospero.png" TargetMode="External"/><Relationship Id="rId395" Type="http://schemas.openxmlformats.org/officeDocument/2006/relationships/hyperlink" Target="https://i.postimg.cc/PxgT30Qb/Green-Runner.png" TargetMode="External"/><Relationship Id="rId152" Type="http://schemas.openxmlformats.org/officeDocument/2006/relationships/hyperlink" Target="https://i.postimg.cc/SN0vjr7r/271-Raid-on-Onigashima-Franky.png" TargetMode="External"/><Relationship Id="rId273" Type="http://schemas.openxmlformats.org/officeDocument/2006/relationships/hyperlink" Target="https://i.postimg.cc/PxgT30Qb/Green-Runner.png" TargetMode="External"/><Relationship Id="rId394" Type="http://schemas.openxmlformats.org/officeDocument/2006/relationships/hyperlink" Target="https://i.postimg.cc/2561vnFc/150-Daimyo-of-Kuri-Kozuki-Oden.png" TargetMode="External"/><Relationship Id="rId151" Type="http://schemas.openxmlformats.org/officeDocument/2006/relationships/hyperlink" Target="https://i.postimg.cc/4NzNM4MY/Blue-Runner.png" TargetMode="External"/><Relationship Id="rId272" Type="http://schemas.openxmlformats.org/officeDocument/2006/relationships/hyperlink" Target="https://i.postimg.cc/DzZT5gNG/211-Land-of-Wano-Marco.png" TargetMode="External"/><Relationship Id="rId393" Type="http://schemas.openxmlformats.org/officeDocument/2006/relationships/hyperlink" Target="https://i.postimg.cc/1zRtDxvf/Blue-Attacker.png" TargetMode="External"/><Relationship Id="rId158" Type="http://schemas.openxmlformats.org/officeDocument/2006/relationships/hyperlink" Target="https://i.postimg.cc/c4NFdJ0k/268-Revolutionary-Army-Captain-of-the-Eastern-Forces-Belo-Betty.png" TargetMode="External"/><Relationship Id="rId279" Type="http://schemas.openxmlformats.org/officeDocument/2006/relationships/hyperlink" Target="https://i.postimg.cc/P5XhRWY7/Red-Defender.png" TargetMode="External"/><Relationship Id="rId157" Type="http://schemas.openxmlformats.org/officeDocument/2006/relationships/hyperlink" Target="https://i.postimg.cc/qRhpGpyM/Green-Defender.png" TargetMode="External"/><Relationship Id="rId278" Type="http://schemas.openxmlformats.org/officeDocument/2006/relationships/hyperlink" Target="https://i.postimg.cc/cCQy65vp/208-Animal-Kingdom-Pirates-Tobi-Roppo-Page-One.png" TargetMode="External"/><Relationship Id="rId399" Type="http://schemas.openxmlformats.org/officeDocument/2006/relationships/hyperlink" Target="https://i.postimg.cc/4NzNM4MY/Blue-Runner.png" TargetMode="External"/><Relationship Id="rId156" Type="http://schemas.openxmlformats.org/officeDocument/2006/relationships/hyperlink" Target="https://i.postimg.cc/13mMNYgp/269-Animal-Kingdom-Pirates-Tobi-Roppo-Black-Maria.png" TargetMode="External"/><Relationship Id="rId277" Type="http://schemas.openxmlformats.org/officeDocument/2006/relationships/hyperlink" Target="https://i.postimg.cc/1zRtDxvf/Blue-Attacker.png" TargetMode="External"/><Relationship Id="rId398" Type="http://schemas.openxmlformats.org/officeDocument/2006/relationships/hyperlink" Target="https://i.postimg.cc/qR6gD0F2/148-Royal-Wedding-Sanji.png" TargetMode="External"/><Relationship Id="rId155" Type="http://schemas.openxmlformats.org/officeDocument/2006/relationships/hyperlink" Target="https://i.postimg.cc/0NH8mz6B/Green-Attacker.png" TargetMode="External"/><Relationship Id="rId276" Type="http://schemas.openxmlformats.org/officeDocument/2006/relationships/hyperlink" Target="https://i.postimg.cc/B6PGfv4Q/209-Animal-Kingdom-Pirates-Tobi-Roppo-Ulti.png" TargetMode="External"/><Relationship Id="rId397" Type="http://schemas.openxmlformats.org/officeDocument/2006/relationships/hyperlink" Target="https://i.postimg.cc/m2xg81dx/Blue-Defender.png" TargetMode="External"/><Relationship Id="rId40" Type="http://schemas.openxmlformats.org/officeDocument/2006/relationships/hyperlink" Target="https://i.postimg.cc/50KFKP2c/327-Egghead-Nami.png" TargetMode="External"/><Relationship Id="rId42" Type="http://schemas.openxmlformats.org/officeDocument/2006/relationships/hyperlink" Target="https://i.postimg.cc/Kz0LqhWx/326-Blind-Swordsman-Fujitora-Issho.png" TargetMode="External"/><Relationship Id="rId41" Type="http://schemas.openxmlformats.org/officeDocument/2006/relationships/hyperlink" Target="https://i.postimg.cc/Hk6HDrtk/Red-Runner.png" TargetMode="External"/><Relationship Id="rId44" Type="http://schemas.openxmlformats.org/officeDocument/2006/relationships/hyperlink" Target="https://i.postimg.cc/0jrShHgm/325-Groves-of-Wrath-Ryokugyu-Aramaki.png" TargetMode="External"/><Relationship Id="rId43" Type="http://schemas.openxmlformats.org/officeDocument/2006/relationships/hyperlink" Target="https://i.postimg.cc/02q9pRQP/Light-Runner.png" TargetMode="External"/><Relationship Id="rId46" Type="http://schemas.openxmlformats.org/officeDocument/2006/relationships/hyperlink" Target="https://i.postimg.cc/HLKWkgdw/324-Ama-no-Murakumo-Sword-Kizaru-Borsalino.png" TargetMode="External"/><Relationship Id="rId45" Type="http://schemas.openxmlformats.org/officeDocument/2006/relationships/hyperlink" Target="https://i.postimg.cc/P5XhRWY7/Red-Defender.png" TargetMode="External"/><Relationship Id="rId509" Type="http://schemas.openxmlformats.org/officeDocument/2006/relationships/hyperlink" Target="https://i.postimg.cc/P5XhRWY7/Red-Defender.png" TargetMode="External"/><Relationship Id="rId508" Type="http://schemas.openxmlformats.org/officeDocument/2006/relationships/hyperlink" Target="https://i.postimg.cc/FKBVJrcS/093-Firetank-Pirates-Godfather-Capone-Bege.png" TargetMode="External"/><Relationship Id="rId629" Type="http://schemas.openxmlformats.org/officeDocument/2006/relationships/hyperlink" Target="https://i.postimg.cc/m2xg81dx/Blue-Defender.png" TargetMode="External"/><Relationship Id="rId503" Type="http://schemas.openxmlformats.org/officeDocument/2006/relationships/hyperlink" Target="https://i.postimg.cc/1zRtDxvf/Blue-Attacker.png" TargetMode="External"/><Relationship Id="rId624" Type="http://schemas.openxmlformats.org/officeDocument/2006/relationships/hyperlink" Target="https://i.postimg.cc/9F7Kmk61/035-Red-Haired-Pirates-Captain-Shanks.png" TargetMode="External"/><Relationship Id="rId502" Type="http://schemas.openxmlformats.org/officeDocument/2006/relationships/hyperlink" Target="https://i.postimg.cc/RZvRkb4W/096-Happy-Holiday-Tony-Tony-Chopper.png" TargetMode="External"/><Relationship Id="rId623" Type="http://schemas.openxmlformats.org/officeDocument/2006/relationships/hyperlink" Target="https://i.postimg.cc/PxgT30Qb/Green-Runner.png" TargetMode="External"/><Relationship Id="rId501" Type="http://schemas.openxmlformats.org/officeDocument/2006/relationships/hyperlink" Target="https://i.postimg.cc/L6B2DCYf/Red-Attacker.png" TargetMode="External"/><Relationship Id="rId622" Type="http://schemas.openxmlformats.org/officeDocument/2006/relationships/hyperlink" Target="https://i.postimg.cc/NFWn88H1/036-Red-Haired-Pirates-Sharp-Shooter-Yasopp.png" TargetMode="External"/><Relationship Id="rId500" Type="http://schemas.openxmlformats.org/officeDocument/2006/relationships/hyperlink" Target="https://i.postimg.cc/7Y39Qy8v/097-Happy-Holiday-Franky.png" TargetMode="External"/><Relationship Id="rId621" Type="http://schemas.openxmlformats.org/officeDocument/2006/relationships/hyperlink" Target="https://i.postimg.cc/m2xg81dx/Blue-Defender.png" TargetMode="External"/><Relationship Id="rId507" Type="http://schemas.openxmlformats.org/officeDocument/2006/relationships/hyperlink" Target="https://i.postimg.cc/4NzNM4MY/Blue-Runner.png" TargetMode="External"/><Relationship Id="rId628" Type="http://schemas.openxmlformats.org/officeDocument/2006/relationships/hyperlink" Target="https://i.postimg.cc/y8C5kPBK/033-Veau-Vengeance-Sanji.png" TargetMode="External"/><Relationship Id="rId506" Type="http://schemas.openxmlformats.org/officeDocument/2006/relationships/hyperlink" Target="https://i.postimg.cc/6Q3h327w/094-Germa-66-Vinsmoke-Reiju.png" TargetMode="External"/><Relationship Id="rId627" Type="http://schemas.openxmlformats.org/officeDocument/2006/relationships/hyperlink" Target="https://i.postimg.cc/0NH8mz6B/Green-Attacker.png" TargetMode="External"/><Relationship Id="rId505" Type="http://schemas.openxmlformats.org/officeDocument/2006/relationships/hyperlink" Target="https://i.postimg.cc/m2xg81dx/Blue-Defender.png" TargetMode="External"/><Relationship Id="rId626" Type="http://schemas.openxmlformats.org/officeDocument/2006/relationships/hyperlink" Target="https://i.postimg.cc/jq9BrTFL/034-Obe-Sword-Style-Iai-Lion-Song-Roronoa-Zoro.png" TargetMode="External"/><Relationship Id="rId504" Type="http://schemas.openxmlformats.org/officeDocument/2006/relationships/hyperlink" Target="https://i.postimg.cc/Z5jc4F5V/095-The-Seven-Warlords-of-the-Sea-Bartholomew-Kuma.png" TargetMode="External"/><Relationship Id="rId625" Type="http://schemas.openxmlformats.org/officeDocument/2006/relationships/hyperlink" Target="https://i.postimg.cc/P5XhRWY7/Red-Defender.png" TargetMode="External"/><Relationship Id="rId48" Type="http://schemas.openxmlformats.org/officeDocument/2006/relationships/hyperlink" Target="https://i.postimg.cc/023G8RPz/323-Davy-Back-Fight-Sanji.png" TargetMode="External"/><Relationship Id="rId47" Type="http://schemas.openxmlformats.org/officeDocument/2006/relationships/hyperlink" Target="https://i.postimg.cc/KjHbJxwR/Transforming-Element-Red-Attacker.png" TargetMode="External"/><Relationship Id="rId49" Type="http://schemas.openxmlformats.org/officeDocument/2006/relationships/hyperlink" Target="https://i.postimg.cc/Hk6HDrtk/Red-Runner.png" TargetMode="External"/><Relationship Id="rId620" Type="http://schemas.openxmlformats.org/officeDocument/2006/relationships/hyperlink" Target="https://i.postimg.cc/vT1j62cY/037-Girl-from-Syrub-Village-Kaya.png" TargetMode="External"/><Relationship Id="rId31" Type="http://schemas.openxmlformats.org/officeDocument/2006/relationships/hyperlink" Target="https://i.postimg.cc/0j7xLZVT/Light-Defender.png" TargetMode="External"/><Relationship Id="rId30" Type="http://schemas.openxmlformats.org/officeDocument/2006/relationships/hyperlink" Target="https://i.postimg.cc/nLqZkVQz/332-Egghead-Nico-Robin.png" TargetMode="External"/><Relationship Id="rId33" Type="http://schemas.openxmlformats.org/officeDocument/2006/relationships/hyperlink" Target="https://i.postimg.cc/0j0ZVpyR/Transforming-Class-Light-Attacker.png" TargetMode="External"/><Relationship Id="rId32" Type="http://schemas.openxmlformats.org/officeDocument/2006/relationships/hyperlink" Target="https://i.postimg.cc/fLZsg4xb/331-Egghead-Tony-Tony-Chopper.png" TargetMode="External"/><Relationship Id="rId35" Type="http://schemas.openxmlformats.org/officeDocument/2006/relationships/hyperlink" Target="https://i.postimg.cc/P52mhmnd/Transforming-Element-Blue-Attacker.png" TargetMode="External"/><Relationship Id="rId34" Type="http://schemas.openxmlformats.org/officeDocument/2006/relationships/hyperlink" Target="https://i.postimg.cc/L84ykwkF/330-Egghead-Brook.png" TargetMode="External"/><Relationship Id="rId619" Type="http://schemas.openxmlformats.org/officeDocument/2006/relationships/hyperlink" Target="https://i.postimg.cc/L6B2DCYf/Red-Attacker.png" TargetMode="External"/><Relationship Id="rId618" Type="http://schemas.openxmlformats.org/officeDocument/2006/relationships/hyperlink" Target="https://i.postimg.cc/269MyNj9/038-The-Seven-Warlords-of-the-Sea-Dracule-Mihawk.png" TargetMode="External"/><Relationship Id="rId613" Type="http://schemas.openxmlformats.org/officeDocument/2006/relationships/hyperlink" Target="https://i.postimg.cc/qRhpGpyM/Green-Defender.png" TargetMode="External"/><Relationship Id="rId612" Type="http://schemas.openxmlformats.org/officeDocument/2006/relationships/hyperlink" Target="https://i.postimg.cc/cLqqfWRV/041-Navy-HQ-Captain-Smoker.png" TargetMode="External"/><Relationship Id="rId611" Type="http://schemas.openxmlformats.org/officeDocument/2006/relationships/hyperlink" Target="https://i.postimg.cc/qRhpGpyM/Green-Defender.png" TargetMode="External"/><Relationship Id="rId610" Type="http://schemas.openxmlformats.org/officeDocument/2006/relationships/hyperlink" Target="https://i.postimg.cc/7ZSFVRXb/042-Drum-Kingdom-Former-Ruler-Wapol.png" TargetMode="External"/><Relationship Id="rId617" Type="http://schemas.openxmlformats.org/officeDocument/2006/relationships/hyperlink" Target="https://i.postimg.cc/1zRtDxvf/Blue-Attacker.png" TargetMode="External"/><Relationship Id="rId616" Type="http://schemas.openxmlformats.org/officeDocument/2006/relationships/hyperlink" Target="https://i.postimg.cc/0NfLgJTs/039-Arlong-Pirates-Captain-Arlong.png" TargetMode="External"/><Relationship Id="rId615" Type="http://schemas.openxmlformats.org/officeDocument/2006/relationships/hyperlink" Target="https://i.postimg.cc/L6B2DCYf/Red-Attacker.png" TargetMode="External"/><Relationship Id="rId614" Type="http://schemas.openxmlformats.org/officeDocument/2006/relationships/hyperlink" Target="https://i.postimg.cc/mDgKTg4F/040-30-Million-Berry-Bounty-Monkey-D-Luffy.png" TargetMode="External"/><Relationship Id="rId37" Type="http://schemas.openxmlformats.org/officeDocument/2006/relationships/hyperlink" Target="https://i.postimg.cc/02q9pRQP/Light-Runner.png" TargetMode="External"/><Relationship Id="rId36" Type="http://schemas.openxmlformats.org/officeDocument/2006/relationships/hyperlink" Target="https://i.postimg.cc/pVzdz7Qm/329-The-Four-Emperors-Monkey-D-Luffy.png" TargetMode="External"/><Relationship Id="rId39" Type="http://schemas.openxmlformats.org/officeDocument/2006/relationships/hyperlink" Target="https://i.postimg.cc/0j7xLZVT/Light-Defender.png" TargetMode="External"/><Relationship Id="rId38" Type="http://schemas.openxmlformats.org/officeDocument/2006/relationships/hyperlink" Target="https://i.postimg.cc/pV7FD1Sz/328-Egghead-Usopp.png" TargetMode="External"/><Relationship Id="rId20" Type="http://schemas.openxmlformats.org/officeDocument/2006/relationships/hyperlink" Target="https://i.postimg.cc/XvHRZRhz/337-Genius-Scientist-Vegapunk.png" TargetMode="External"/><Relationship Id="rId22" Type="http://schemas.openxmlformats.org/officeDocument/2006/relationships/hyperlink" Target="https://i.postimg.cc/5t7hHhGr/336-Father-and-Daughter-Kuma-Bonney.png" TargetMode="External"/><Relationship Id="rId21" Type="http://schemas.openxmlformats.org/officeDocument/2006/relationships/hyperlink" Target="https://i.postimg.cc/PxgT30Qb/Green-Runner.png" TargetMode="External"/><Relationship Id="rId24" Type="http://schemas.openxmlformats.org/officeDocument/2006/relationships/hyperlink" Target="https://i.postimg.cc/sxMBVywR/335-Egghead-Jimbie.png" TargetMode="External"/><Relationship Id="rId23" Type="http://schemas.openxmlformats.org/officeDocument/2006/relationships/hyperlink" Target="https://i.postimg.cc/L6B2DCYf/Red-Attacker.png" TargetMode="External"/><Relationship Id="rId409" Type="http://schemas.openxmlformats.org/officeDocument/2006/relationships/hyperlink" Target="https://i.postimg.cc/L6B2DCYf/Red-Attacker.png" TargetMode="External"/><Relationship Id="rId404" Type="http://schemas.openxmlformats.org/officeDocument/2006/relationships/hyperlink" Target="https://i.postimg.cc/13Wt9fhp/145-Kozuki-Clan-Servant-Kin-emon.png" TargetMode="External"/><Relationship Id="rId525" Type="http://schemas.openxmlformats.org/officeDocument/2006/relationships/hyperlink" Target="https://i.postimg.cc/qRhpGpyM/Green-Defender.png" TargetMode="External"/><Relationship Id="rId646" Type="http://schemas.openxmlformats.org/officeDocument/2006/relationships/hyperlink" Target="https://i.postimg.cc/c4fW96Ls/024-Krieg-s-Pirate-Armada-Admiral-Don-Krieg.png" TargetMode="External"/><Relationship Id="rId403" Type="http://schemas.openxmlformats.org/officeDocument/2006/relationships/hyperlink" Target="https://i.postimg.cc/1zRtDxvf/Blue-Attacker.png" TargetMode="External"/><Relationship Id="rId524" Type="http://schemas.openxmlformats.org/officeDocument/2006/relationships/hyperlink" Target="https://i.postimg.cc/VsjXzB7n/085-Big-Mom-Pirates-Captain-Charlotte-Linlin.png" TargetMode="External"/><Relationship Id="rId645" Type="http://schemas.openxmlformats.org/officeDocument/2006/relationships/hyperlink" Target="https://i.postimg.cc/L6B2DCYf/Red-Attacker.png" TargetMode="External"/><Relationship Id="rId402" Type="http://schemas.openxmlformats.org/officeDocument/2006/relationships/hyperlink" Target="https://i.postimg.cc/SNfRvgg1/146-Luffy-Law-Pirate-Alliance-Monkey-D-Luffy.png" TargetMode="External"/><Relationship Id="rId523" Type="http://schemas.openxmlformats.org/officeDocument/2006/relationships/hyperlink" Target="https://i.postimg.cc/L6B2DCYf/Red-Attacker.png" TargetMode="External"/><Relationship Id="rId644" Type="http://schemas.openxmlformats.org/officeDocument/2006/relationships/hyperlink" Target="https://i.postimg.cc/PfghQ1h3/025-Arlong-Pirates-Officer-Hatchan.png" TargetMode="External"/><Relationship Id="rId401" Type="http://schemas.openxmlformats.org/officeDocument/2006/relationships/hyperlink" Target="https://i.postimg.cc/L6B2DCYf/Red-Attacker.png" TargetMode="External"/><Relationship Id="rId522" Type="http://schemas.openxmlformats.org/officeDocument/2006/relationships/hyperlink" Target="https://i.postimg.cc/mkN9VBc8/086-Big-Mom-Pirates-Sweet-3-General-Charlotte-Katakuri.png" TargetMode="External"/><Relationship Id="rId643" Type="http://schemas.openxmlformats.org/officeDocument/2006/relationships/hyperlink" Target="https://i.postimg.cc/m2xg81dx/Blue-Defender.png" TargetMode="External"/><Relationship Id="rId408" Type="http://schemas.openxmlformats.org/officeDocument/2006/relationships/hyperlink" Target="https://i.postimg.cc/02n5fbNL/143-Punk-Hazard-Smoker-Chambres.png" TargetMode="External"/><Relationship Id="rId529" Type="http://schemas.openxmlformats.org/officeDocument/2006/relationships/hyperlink" Target="https://i.postimg.cc/m2xg81dx/Blue-Defender.png" TargetMode="External"/><Relationship Id="rId407" Type="http://schemas.openxmlformats.org/officeDocument/2006/relationships/hyperlink" Target="https://i.postimg.cc/0NH8mz6B/Green-Attacker.png" TargetMode="External"/><Relationship Id="rId528" Type="http://schemas.openxmlformats.org/officeDocument/2006/relationships/hyperlink" Target="https://i.postimg.cc/wTgLMyPP/083-Land-of-Wano-Basil-Hawkins.png" TargetMode="External"/><Relationship Id="rId649" Type="http://schemas.openxmlformats.org/officeDocument/2006/relationships/hyperlink" Target="https://i.postimg.cc/L6B2DCYf/Red-Attacker.png" TargetMode="External"/><Relationship Id="rId406" Type="http://schemas.openxmlformats.org/officeDocument/2006/relationships/hyperlink" Target="https://i.postimg.cc/Pfm5C6nf/144-Former-Navy-Admiral-Kuzan.png" TargetMode="External"/><Relationship Id="rId527" Type="http://schemas.openxmlformats.org/officeDocument/2006/relationships/hyperlink" Target="https://i.postimg.cc/1zRtDxvf/Blue-Attacker.png" TargetMode="External"/><Relationship Id="rId648" Type="http://schemas.openxmlformats.org/officeDocument/2006/relationships/hyperlink" Target="https://i.postimg.cc/0yxsLxz7/023-Krieg-s-Pirate-Armada-Battle-Commander-Gin.png" TargetMode="External"/><Relationship Id="rId405" Type="http://schemas.openxmlformats.org/officeDocument/2006/relationships/hyperlink" Target="https://i.postimg.cc/P5XhRWY7/Red-Defender.png" TargetMode="External"/><Relationship Id="rId526" Type="http://schemas.openxmlformats.org/officeDocument/2006/relationships/hyperlink" Target="https://i.postimg.cc/L5MfznsJ/084-Land-of-Wano-Zorojuro.png" TargetMode="External"/><Relationship Id="rId647" Type="http://schemas.openxmlformats.org/officeDocument/2006/relationships/hyperlink" Target="https://i.postimg.cc/qRhpGpyM/Green-Defender.png" TargetMode="External"/><Relationship Id="rId26" Type="http://schemas.openxmlformats.org/officeDocument/2006/relationships/hyperlink" Target="https://i.postimg.cc/Gt4Bcrqw/334-Egghead-Franky.png" TargetMode="External"/><Relationship Id="rId25" Type="http://schemas.openxmlformats.org/officeDocument/2006/relationships/hyperlink" Target="https://i.postimg.cc/rppVK1p4/Dark-Runner.png" TargetMode="External"/><Relationship Id="rId28" Type="http://schemas.openxmlformats.org/officeDocument/2006/relationships/hyperlink" Target="https://i.postimg.cc/28691fqR/333-The-Five-Elders-St-Jaygarcia-Saturn.png" TargetMode="External"/><Relationship Id="rId27" Type="http://schemas.openxmlformats.org/officeDocument/2006/relationships/hyperlink" Target="https://i.postimg.cc/QdmN84js/Dark-Attacker.png" TargetMode="External"/><Relationship Id="rId400" Type="http://schemas.openxmlformats.org/officeDocument/2006/relationships/hyperlink" Target="https://i.postimg.cc/Y2gh1rYH/147-The-Billion-Fold-World-Trichiliocosm-Roronoa-Zoro.png" TargetMode="External"/><Relationship Id="rId521" Type="http://schemas.openxmlformats.org/officeDocument/2006/relationships/hyperlink" Target="https://i.postimg.cc/m2xg81dx/Blue-Defender.png" TargetMode="External"/><Relationship Id="rId642" Type="http://schemas.openxmlformats.org/officeDocument/2006/relationships/hyperlink" Target="https://i.postimg.cc/SjFZYyBd/026-Arlong-Pirates-Officer-Kuroobi.png" TargetMode="External"/><Relationship Id="rId29" Type="http://schemas.openxmlformats.org/officeDocument/2006/relationships/hyperlink" Target="https://i.postimg.cc/MZPzWmHq/Transforming-Class-Dark-Defender.png" TargetMode="External"/><Relationship Id="rId520" Type="http://schemas.openxmlformats.org/officeDocument/2006/relationships/hyperlink" Target="https://i.postimg.cc/cJrQWpjL/087-Ray-of-Hope-Nightmare-Luffy.png" TargetMode="External"/><Relationship Id="rId641" Type="http://schemas.openxmlformats.org/officeDocument/2006/relationships/hyperlink" Target="https://i.postimg.cc/0NH8mz6B/Green-Attacker.png" TargetMode="External"/><Relationship Id="rId640" Type="http://schemas.openxmlformats.org/officeDocument/2006/relationships/hyperlink" Target="https://i.postimg.cc/jqwtfMVn/027-Arlong-Pirates-Officer-Choo.png" TargetMode="External"/><Relationship Id="rId11" Type="http://schemas.openxmlformats.org/officeDocument/2006/relationships/hyperlink" Target="https://i.postimg.cc/PxgT30Qb/Green-Runner.png" TargetMode="External"/><Relationship Id="rId10" Type="http://schemas.openxmlformats.org/officeDocument/2006/relationships/hyperlink" Target="https://i.postimg.cc/KcWLjXbt/342-Baroque-Works-Officer-Agent-Ms-Valentine.png" TargetMode="External"/><Relationship Id="rId13" Type="http://schemas.openxmlformats.org/officeDocument/2006/relationships/hyperlink" Target="https://i.postimg.cc/nLHLrFW9/Transforming-Element-Dark-Attacker.png" TargetMode="External"/><Relationship Id="rId12" Type="http://schemas.openxmlformats.org/officeDocument/2006/relationships/hyperlink" Target="https://i.postimg.cc/2ST14Lhy/341-The-Four-Emperors-Marshall-D-Teach.png" TargetMode="External"/><Relationship Id="rId519" Type="http://schemas.openxmlformats.org/officeDocument/2006/relationships/hyperlink" Target="https://i.postimg.cc/0NH8mz6B/Green-Attacker.png" TargetMode="External"/><Relationship Id="rId514" Type="http://schemas.openxmlformats.org/officeDocument/2006/relationships/hyperlink" Target="https://i.postimg.cc/MKSbBrc9/090-Imprisoned-Bride-Nami.png" TargetMode="External"/><Relationship Id="rId635" Type="http://schemas.openxmlformats.org/officeDocument/2006/relationships/hyperlink" Target="https://i.postimg.cc/4NzNM4MY/Blue-Runner.png" TargetMode="External"/><Relationship Id="rId513" Type="http://schemas.openxmlformats.org/officeDocument/2006/relationships/hyperlink" Target="https://i.postimg.cc/1zRtDxvf/Blue-Attacker.png" TargetMode="External"/><Relationship Id="rId634" Type="http://schemas.openxmlformats.org/officeDocument/2006/relationships/hyperlink" Target="https://i.postimg.cc/hGp3ZRm4/030-Baroque-Works-Frontier-Agents-Ms-Wednesday.png" TargetMode="External"/><Relationship Id="rId512" Type="http://schemas.openxmlformats.org/officeDocument/2006/relationships/hyperlink" Target="https://i.postimg.cc/G3YxH1pB/091-The-Seven-Warlords-of-the-Sea-Jimbei.png" TargetMode="External"/><Relationship Id="rId633" Type="http://schemas.openxmlformats.org/officeDocument/2006/relationships/hyperlink" Target="https://i.postimg.cc/0NH8mz6B/Green-Attacker.png" TargetMode="External"/><Relationship Id="rId511" Type="http://schemas.openxmlformats.org/officeDocument/2006/relationships/hyperlink" Target="https://i.postimg.cc/L6B2DCYf/Red-Attacker.png" TargetMode="External"/><Relationship Id="rId632" Type="http://schemas.openxmlformats.org/officeDocument/2006/relationships/hyperlink" Target="https://i.postimg.cc/XJq1T1Kf/031-Climate-Baton-Nami.png" TargetMode="External"/><Relationship Id="rId518" Type="http://schemas.openxmlformats.org/officeDocument/2006/relationships/hyperlink" Target="https://i.postimg.cc/HkSQfY6N/088-Legendary-Samurai-Zombie-Ryuma.png" TargetMode="External"/><Relationship Id="rId639" Type="http://schemas.openxmlformats.org/officeDocument/2006/relationships/hyperlink" Target="https://i.postimg.cc/4NzNM4MY/Blue-Runner.png" TargetMode="External"/><Relationship Id="rId517" Type="http://schemas.openxmlformats.org/officeDocument/2006/relationships/hyperlink" Target="https://i.postimg.cc/PxgT30Qb/Green-Runner.png" TargetMode="External"/><Relationship Id="rId638" Type="http://schemas.openxmlformats.org/officeDocument/2006/relationships/hyperlink" Target="https://i.postimg.cc/zBQ25wp9/028-Navy-HQ-Master-Chief-Petty-Officer-Tashigi.png" TargetMode="External"/><Relationship Id="rId516" Type="http://schemas.openxmlformats.org/officeDocument/2006/relationships/hyperlink" Target="https://i.postimg.cc/VksqGrWM/089-Thriller-Park-Pirates-Mysterious-Four-Perona.png" TargetMode="External"/><Relationship Id="rId637" Type="http://schemas.openxmlformats.org/officeDocument/2006/relationships/hyperlink" Target="https://i.postimg.cc/PxgT30Qb/Green-Runner.png" TargetMode="External"/><Relationship Id="rId515" Type="http://schemas.openxmlformats.org/officeDocument/2006/relationships/hyperlink" Target="https://i.postimg.cc/1zRtDxvf/Blue-Attacker.png" TargetMode="External"/><Relationship Id="rId636" Type="http://schemas.openxmlformats.org/officeDocument/2006/relationships/hyperlink" Target="https://i.postimg.cc/5yF7tHRj/029-Slip-Slip-Fruit-Alvida.png" TargetMode="External"/><Relationship Id="rId15" Type="http://schemas.openxmlformats.org/officeDocument/2006/relationships/hyperlink" Target="https://i.postimg.cc/0j0ZVpyR/Transforming-Class-Light-Attacker.png" TargetMode="External"/><Relationship Id="rId14" Type="http://schemas.openxmlformats.org/officeDocument/2006/relationships/hyperlink" Target="https://i.postimg.cc/Jz7CBYLG/340-ASL-Ace-Sabo-Luffy.png" TargetMode="External"/><Relationship Id="rId17" Type="http://schemas.openxmlformats.org/officeDocument/2006/relationships/hyperlink" Target="https://i.postimg.cc/Hk6HDrtk/Red-Runner.png" TargetMode="External"/><Relationship Id="rId16" Type="http://schemas.openxmlformats.org/officeDocument/2006/relationships/hyperlink" Target="https://i.postimg.cc/DZzPtPj6/339-Winner-Island-Trafalgar-Law.png" TargetMode="External"/><Relationship Id="rId19" Type="http://schemas.openxmlformats.org/officeDocument/2006/relationships/hyperlink" Target="https://i.postimg.cc/0j7xLZVT/Light-Defender.png" TargetMode="External"/><Relationship Id="rId510" Type="http://schemas.openxmlformats.org/officeDocument/2006/relationships/hyperlink" Target="https://i.postimg.cc/vTR7300H/092-Whole-Cake-Island-Sanji.png" TargetMode="External"/><Relationship Id="rId631" Type="http://schemas.openxmlformats.org/officeDocument/2006/relationships/hyperlink" Target="https://i.postimg.cc/1zRtDxvf/Blue-Attacker.png" TargetMode="External"/><Relationship Id="rId18" Type="http://schemas.openxmlformats.org/officeDocument/2006/relationships/hyperlink" Target="https://i.postimg.cc/tC85ZhVM/338-Winner-Island-Bepo.png" TargetMode="External"/><Relationship Id="rId630" Type="http://schemas.openxmlformats.org/officeDocument/2006/relationships/hyperlink" Target="https://i.postimg.cc/zfJckGVP/032-5t-Hammer-Usopp.png" TargetMode="External"/><Relationship Id="rId84" Type="http://schemas.openxmlformats.org/officeDocument/2006/relationships/hyperlink" Target="https://i.postimg.cc/d0zFgJmh/305-Egghead-Sanji.png" TargetMode="External"/><Relationship Id="rId83" Type="http://schemas.openxmlformats.org/officeDocument/2006/relationships/hyperlink" Target="https://i.postimg.cc/m2xg81dx/Blue-Defender.png" TargetMode="External"/><Relationship Id="rId86" Type="http://schemas.openxmlformats.org/officeDocument/2006/relationships/hyperlink" Target="https://i.postimg.cc/KYKF91LX/304-Seraphim-S-Shark.png" TargetMode="External"/><Relationship Id="rId85" Type="http://schemas.openxmlformats.org/officeDocument/2006/relationships/hyperlink" Target="https://i.postimg.cc/m2xg81dx/Blue-Defender.png" TargetMode="External"/><Relationship Id="rId88" Type="http://schemas.openxmlformats.org/officeDocument/2006/relationships/hyperlink" Target="https://i.postimg.cc/j5sGsLmy/303-Punk-06-York.png" TargetMode="External"/><Relationship Id="rId87" Type="http://schemas.openxmlformats.org/officeDocument/2006/relationships/hyperlink" Target="https://i.postimg.cc/PxgT30Qb/Green-Runner.png" TargetMode="External"/><Relationship Id="rId89" Type="http://schemas.openxmlformats.org/officeDocument/2006/relationships/hyperlink" Target="https://i.postimg.cc/P5XhRWY7/Red-Defender.png" TargetMode="External"/><Relationship Id="rId80" Type="http://schemas.openxmlformats.org/officeDocument/2006/relationships/hyperlink" Target="https://i.postimg.cc/vBLzmK4B/307-Navy-HQ-Lt-Commander-Helmeppo.png" TargetMode="External"/><Relationship Id="rId82" Type="http://schemas.openxmlformats.org/officeDocument/2006/relationships/hyperlink" Target="https://i.postimg.cc/LszxNssL/306-Egghead-Jewelry-Bonney.png" TargetMode="External"/><Relationship Id="rId81" Type="http://schemas.openxmlformats.org/officeDocument/2006/relationships/hyperlink" Target="https://i.postimg.cc/02q9pRQP/Light-Runner.png" TargetMode="External"/><Relationship Id="rId73" Type="http://schemas.openxmlformats.org/officeDocument/2006/relationships/hyperlink" Target="https://i.postimg.cc/MZPzWmHq/Transforming-Class-Dark-Defender.png" TargetMode="External"/><Relationship Id="rId72" Type="http://schemas.openxmlformats.org/officeDocument/2006/relationships/hyperlink" Target="https://i.postimg.cc/Bv7cNzNX/311-Assistant-Fish-Man-Karate-Master-Koala.png" TargetMode="External"/><Relationship Id="rId75" Type="http://schemas.openxmlformats.org/officeDocument/2006/relationships/hyperlink" Target="https://i.postimg.cc/vZ9ytRzZ/Transforming-Class-Green-Defender.png" TargetMode="External"/><Relationship Id="rId74" Type="http://schemas.openxmlformats.org/officeDocument/2006/relationships/hyperlink" Target="https://i.postimg.cc/zB7mxZRD/310-Blackbeard-Pirates-Kuzan.png" TargetMode="External"/><Relationship Id="rId77" Type="http://schemas.openxmlformats.org/officeDocument/2006/relationships/hyperlink" Target="https://i.postimg.cc/QdmN84js/Dark-Attacker.png" TargetMode="External"/><Relationship Id="rId76" Type="http://schemas.openxmlformats.org/officeDocument/2006/relationships/hyperlink" Target="https://i.postimg.cc/FHf17Y4x/309-Navy-HQ-Captain-Koby.png" TargetMode="External"/><Relationship Id="rId79" Type="http://schemas.openxmlformats.org/officeDocument/2006/relationships/hyperlink" Target="https://i.postimg.cc/QdmN84js/Dark-Attacker.png" TargetMode="External"/><Relationship Id="rId78" Type="http://schemas.openxmlformats.org/officeDocument/2006/relationships/hyperlink" Target="https://i.postimg.cc/283vfK7H/308-Legendary-Hero-Monkey-D-Garp.png" TargetMode="External"/><Relationship Id="rId71" Type="http://schemas.openxmlformats.org/officeDocument/2006/relationships/hyperlink" Target="https://i.postimg.cc/PxgT30Qb/Green-Runner.png" TargetMode="External"/><Relationship Id="rId70" Type="http://schemas.openxmlformats.org/officeDocument/2006/relationships/hyperlink" Target="https://i.postimg.cc/13TGnV64/312-Flame-Emperor-Sabo.png" TargetMode="External"/><Relationship Id="rId62" Type="http://schemas.openxmlformats.org/officeDocument/2006/relationships/hyperlink" Target="https://i.postimg.cc/s1d6cJ1Y/316-Strong-Strong-Fruit-Jesus-Burgess-Skill.png" TargetMode="External"/><Relationship Id="rId61" Type="http://schemas.openxmlformats.org/officeDocument/2006/relationships/hyperlink" Target="https://i.postimg.cc/0NH8mz6B/Green-Attacker.png" TargetMode="External"/><Relationship Id="rId64" Type="http://schemas.openxmlformats.org/officeDocument/2006/relationships/hyperlink" Target="https://i.postimg.cc/d3Wx2hQ1/315-Germa-66-Vinsmoke-Yonji.png" TargetMode="External"/><Relationship Id="rId63" Type="http://schemas.openxmlformats.org/officeDocument/2006/relationships/hyperlink" Target="https://i.postimg.cc/P5XhRWY7/Red-Defender.png" TargetMode="External"/><Relationship Id="rId66" Type="http://schemas.openxmlformats.org/officeDocument/2006/relationships/hyperlink" Target="https://i.postimg.cc/ncz5HGTQ/314-Germa-66-Vinsmoke-Neji.png" TargetMode="External"/><Relationship Id="rId65" Type="http://schemas.openxmlformats.org/officeDocument/2006/relationships/hyperlink" Target="https://i.postimg.cc/qRhpGpyM/Green-Defender.png" TargetMode="External"/><Relationship Id="rId68" Type="http://schemas.openxmlformats.org/officeDocument/2006/relationships/hyperlink" Target="https://i.postimg.cc/PfK9sRbj/313-Germa-66-Vinsmoke-Ichiji.png" TargetMode="External"/><Relationship Id="rId67" Type="http://schemas.openxmlformats.org/officeDocument/2006/relationships/hyperlink" Target="https://i.postimg.cc/4NzNM4MY/Blue-Runner.png" TargetMode="External"/><Relationship Id="rId609" Type="http://schemas.openxmlformats.org/officeDocument/2006/relationships/hyperlink" Target="https://i.postimg.cc/P5XhRWY7/Red-Defender.png" TargetMode="External"/><Relationship Id="rId608" Type="http://schemas.openxmlformats.org/officeDocument/2006/relationships/hyperlink" Target="https://i.postimg.cc/X7BSZqCf/043-Gum-Gum-Storm-Monkey-D-Luffy.png" TargetMode="External"/><Relationship Id="rId607" Type="http://schemas.openxmlformats.org/officeDocument/2006/relationships/hyperlink" Target="https://i.postimg.cc/PxgT30Qb/Green-Runner.png" TargetMode="External"/><Relationship Id="rId60" Type="http://schemas.openxmlformats.org/officeDocument/2006/relationships/hyperlink" Target="https://i.postimg.cc/c1gdF4rC/317-Clear-Clear-Fruit-Shiryu-Skill.png" TargetMode="External"/><Relationship Id="rId602" Type="http://schemas.openxmlformats.org/officeDocument/2006/relationships/hyperlink" Target="https://i.postimg.cc/gJMFh6sD/046-Kami-Eneru.png" TargetMode="External"/><Relationship Id="rId601" Type="http://schemas.openxmlformats.org/officeDocument/2006/relationships/hyperlink" Target="https://i.postimg.cc/P5XhRWY7/Red-Defender.png" TargetMode="External"/><Relationship Id="rId600" Type="http://schemas.openxmlformats.org/officeDocument/2006/relationships/hyperlink" Target="https://i.postimg.cc/rmy2z91s/047-Whitebeard-Pirates-Captain-Whitebeard-Edward-Newgate.png" TargetMode="External"/><Relationship Id="rId606" Type="http://schemas.openxmlformats.org/officeDocument/2006/relationships/hyperlink" Target="https://i.postimg.cc/8k0gPMjk/044-Peacock-Slasher-Nefeltari-Vivi.png" TargetMode="External"/><Relationship Id="rId605" Type="http://schemas.openxmlformats.org/officeDocument/2006/relationships/hyperlink" Target="https://i.postimg.cc/m2xg81dx/Blue-Defender.png" TargetMode="External"/><Relationship Id="rId604" Type="http://schemas.openxmlformats.org/officeDocument/2006/relationships/hyperlink" Target="https://i.postimg.cc/x8cr3TFS/045-The-Seven-Warlords-of-the-Sea-Crocodile.png" TargetMode="External"/><Relationship Id="rId603" Type="http://schemas.openxmlformats.org/officeDocument/2006/relationships/hyperlink" Target="https://i.postimg.cc/0NH8mz6B/Green-Attacker.png" TargetMode="External"/><Relationship Id="rId69" Type="http://schemas.openxmlformats.org/officeDocument/2006/relationships/hyperlink" Target="https://i.postimg.cc/L6B2DCYf/Red-Attacker.png" TargetMode="External"/><Relationship Id="rId51" Type="http://schemas.openxmlformats.org/officeDocument/2006/relationships/hyperlink" Target="https://i.postimg.cc/qRhpGpyM/Green-Defender.png" TargetMode="External"/><Relationship Id="rId50" Type="http://schemas.openxmlformats.org/officeDocument/2006/relationships/hyperlink" Target="https://i.postimg.cc/KzBkWfHQ/322-Davy-Back-Fight-Foxy.png" TargetMode="External"/><Relationship Id="rId53" Type="http://schemas.openxmlformats.org/officeDocument/2006/relationships/hyperlink" Target="https://i.postimg.cc/L6B2DCYf/Red-Attacker.png" TargetMode="External"/><Relationship Id="rId52" Type="http://schemas.openxmlformats.org/officeDocument/2006/relationships/hyperlink" Target="https://i.postimg.cc/tJbZGP0b/321-Davy-Back-Fight-Monkey-D-Luffy.png" TargetMode="External"/><Relationship Id="rId55" Type="http://schemas.openxmlformats.org/officeDocument/2006/relationships/hyperlink" Target="https://i.postimg.cc/NGXg9fQd/Light-Attacker.png" TargetMode="External"/><Relationship Id="rId54" Type="http://schemas.openxmlformats.org/officeDocument/2006/relationships/hyperlink" Target="https://i.postimg.cc/L6zzngtT/320-Happosui-Army-13th-Chief-Sai.png" TargetMode="External"/><Relationship Id="rId57" Type="http://schemas.openxmlformats.org/officeDocument/2006/relationships/hyperlink" Target="https://i.postimg.cc/P5XhRWY7/Red-Defender.png" TargetMode="External"/><Relationship Id="rId56" Type="http://schemas.openxmlformats.org/officeDocument/2006/relationships/hyperlink" Target="https://i.postimg.cc/hPFLD1dv/319-Tontatta-Pirates-Captain-Leo.png" TargetMode="External"/><Relationship Id="rId59" Type="http://schemas.openxmlformats.org/officeDocument/2006/relationships/hyperlink" Target="https://i.postimg.cc/0j7xLZVT/Light-Defender.png" TargetMode="External"/><Relationship Id="rId58" Type="http://schemas.openxmlformats.org/officeDocument/2006/relationships/hyperlink" Target="https://i.postimg.cc/j567pxV1/318-Celestial-Dragon-St-Charlos.png" TargetMode="External"/><Relationship Id="rId590" Type="http://schemas.openxmlformats.org/officeDocument/2006/relationships/hyperlink" Target="https://i.postimg.cc/ZY74BXDS/052-Baroque-Works-Vice-President-Ms-All-Sunday.png" TargetMode="External"/><Relationship Id="rId107" Type="http://schemas.openxmlformats.org/officeDocument/2006/relationships/hyperlink" Target="https://i.postimg.cc/0j7xLZVT/Light-Defender.png" TargetMode="External"/><Relationship Id="rId228" Type="http://schemas.openxmlformats.org/officeDocument/2006/relationships/hyperlink" Target="https://i.postimg.cc/Kvwv1CpW/233-Battle-of-Monsters-on-Onigashima-Olin-the-Oiran.png" TargetMode="External"/><Relationship Id="rId349" Type="http://schemas.openxmlformats.org/officeDocument/2006/relationships/hyperlink" Target="https://i.postimg.cc/4NzNM4MY/Blue-Runner.png" TargetMode="External"/><Relationship Id="rId106" Type="http://schemas.openxmlformats.org/officeDocument/2006/relationships/hyperlink" Target="https://i.postimg.cc/jd2ZcRj0/294-Awakened-Form-Kaku.png" TargetMode="External"/><Relationship Id="rId227" Type="http://schemas.openxmlformats.org/officeDocument/2006/relationships/hyperlink" Target="https://i.postimg.cc/PxgT30Qb/Green-Runner.png" TargetMode="External"/><Relationship Id="rId348" Type="http://schemas.openxmlformats.org/officeDocument/2006/relationships/hyperlink" Target="https://i.postimg.cc/VNBCBz3v/173-Baroque-Works-Officer-Agent-Ms-Goldenweek.png" TargetMode="External"/><Relationship Id="rId469" Type="http://schemas.openxmlformats.org/officeDocument/2006/relationships/hyperlink" Target="https://i.postimg.cc/1zRtDxvf/Blue-Attacker.png" TargetMode="External"/><Relationship Id="rId105" Type="http://schemas.openxmlformats.org/officeDocument/2006/relationships/hyperlink" Target="https://i.postimg.cc/qRhpGpyM/Green-Defender.png" TargetMode="External"/><Relationship Id="rId226" Type="http://schemas.openxmlformats.org/officeDocument/2006/relationships/hyperlink" Target="https://i.postimg.cc/HWSLgrwd/234-Battle-of-Monsters-on-Onigashima-Kaido.png" TargetMode="External"/><Relationship Id="rId347" Type="http://schemas.openxmlformats.org/officeDocument/2006/relationships/hyperlink" Target="https://i.postimg.cc/1zRtDxvf/Blue-Attacker.png" TargetMode="External"/><Relationship Id="rId468" Type="http://schemas.openxmlformats.org/officeDocument/2006/relationships/hyperlink" Target="https://i.postimg.cc/RVHQJxV6/113-STAMPEDE-Douglas-Bullet.png" TargetMode="External"/><Relationship Id="rId589" Type="http://schemas.openxmlformats.org/officeDocument/2006/relationships/hyperlink" Target="https://i.postimg.cc/Hk6HDrtk/Red-Runner.png" TargetMode="External"/><Relationship Id="rId104" Type="http://schemas.openxmlformats.org/officeDocument/2006/relationships/hyperlink" Target="https://i.postimg.cc/pdKbm7TM/295-Vegapunk-s-Spy-Stussy.png" TargetMode="External"/><Relationship Id="rId225" Type="http://schemas.openxmlformats.org/officeDocument/2006/relationships/hyperlink" Target="https://i.postimg.cc/KjHbJxwR/Transforming-Element-Red-Attacker.png" TargetMode="External"/><Relationship Id="rId346" Type="http://schemas.openxmlformats.org/officeDocument/2006/relationships/hyperlink" Target="https://i.postimg.cc/Gp1Dy4g6/174-Lieutenant-Royal-Guard-of-Alabasta-Pell.png" TargetMode="External"/><Relationship Id="rId467" Type="http://schemas.openxmlformats.org/officeDocument/2006/relationships/hyperlink" Target="https://i.postimg.cc/qRhpGpyM/Green-Defender.png" TargetMode="External"/><Relationship Id="rId588" Type="http://schemas.openxmlformats.org/officeDocument/2006/relationships/hyperlink" Target="https://i.postimg.cc/wMGpCssv/053-The-Seven-Warlords-of-the-Sea-Hancock.png" TargetMode="External"/><Relationship Id="rId109" Type="http://schemas.openxmlformats.org/officeDocument/2006/relationships/hyperlink" Target="https://i.postimg.cc/bN48nY15/Transforming-Class-Blue-Runner.png" TargetMode="External"/><Relationship Id="rId108" Type="http://schemas.openxmlformats.org/officeDocument/2006/relationships/hyperlink" Target="https://i.postimg.cc/7YRXQjCC/293-Awakened-Form-Rob-Lucci.png" TargetMode="External"/><Relationship Id="rId229" Type="http://schemas.openxmlformats.org/officeDocument/2006/relationships/hyperlink" Target="https://i.postimg.cc/k4wqRxyN/Transforming-Class-Red-Defender.png" TargetMode="External"/><Relationship Id="rId220" Type="http://schemas.openxmlformats.org/officeDocument/2006/relationships/hyperlink" Target="https://i.postimg.cc/pTRd28cX/237-Animal-Kingdom-Pirates-Tobi-Roppo-Who-s-Who.png" TargetMode="External"/><Relationship Id="rId341" Type="http://schemas.openxmlformats.org/officeDocument/2006/relationships/hyperlink" Target="https://i.postimg.cc/m2xg81dx/Blue-Defender.png" TargetMode="External"/><Relationship Id="rId462" Type="http://schemas.openxmlformats.org/officeDocument/2006/relationships/hyperlink" Target="https://i.postimg.cc/cC6hbKSX/116-Gerand-Line-Navel-Base-5-Vice-Admiral-Smoker.png" TargetMode="External"/><Relationship Id="rId583" Type="http://schemas.openxmlformats.org/officeDocument/2006/relationships/hyperlink" Target="https://i.postimg.cc/1zRtDxvf/Blue-Attacker.png" TargetMode="External"/><Relationship Id="rId340" Type="http://schemas.openxmlformats.org/officeDocument/2006/relationships/hyperlink" Target="https://i.postimg.cc/bY61BNd2/177-Land-of-Wano-Bonekichi.png" TargetMode="External"/><Relationship Id="rId461" Type="http://schemas.openxmlformats.org/officeDocument/2006/relationships/hyperlink" Target="https://i.postimg.cc/m2xg81dx/Blue-Defender.png" TargetMode="External"/><Relationship Id="rId582" Type="http://schemas.openxmlformats.org/officeDocument/2006/relationships/hyperlink" Target="https://i.postimg.cc/cJys1Ykt/056-Arm-Point-Tony-Tony-Chopper.png" TargetMode="External"/><Relationship Id="rId460" Type="http://schemas.openxmlformats.org/officeDocument/2006/relationships/hyperlink" Target="https://i.postimg.cc/PrgySrFQ/117-Impel-Down-Warden-Magellan.png" TargetMode="External"/><Relationship Id="rId581" Type="http://schemas.openxmlformats.org/officeDocument/2006/relationships/hyperlink" Target="https://i.postimg.cc/m2xg81dx/Blue-Defender.png" TargetMode="External"/><Relationship Id="rId580" Type="http://schemas.openxmlformats.org/officeDocument/2006/relationships/hyperlink" Target="https://i.postimg.cc/gk7z51vD/057-Bellamy-Pirates-Captain-Bellamy.png" TargetMode="External"/><Relationship Id="rId103" Type="http://schemas.openxmlformats.org/officeDocument/2006/relationships/hyperlink" Target="https://i.postimg.cc/02q9pRQP/Light-Runner.png" TargetMode="External"/><Relationship Id="rId224" Type="http://schemas.openxmlformats.org/officeDocument/2006/relationships/hyperlink" Target="https://i.postimg.cc/d3SQmfsL/235-Raid-on-Onigashima-Roronoa-Zoro.png" TargetMode="External"/><Relationship Id="rId345" Type="http://schemas.openxmlformats.org/officeDocument/2006/relationships/hyperlink" Target="https://i.postimg.cc/Hk6HDrtk/Red-Runner.png" TargetMode="External"/><Relationship Id="rId466" Type="http://schemas.openxmlformats.org/officeDocument/2006/relationships/hyperlink" Target="https://i.postimg.cc/gJ2Hxwnm/114-Navy-HQ-Rear-Admiral-Hina.png" TargetMode="External"/><Relationship Id="rId587" Type="http://schemas.openxmlformats.org/officeDocument/2006/relationships/hyperlink" Target="https://i.postimg.cc/qRhpGpyM/Green-Defender.png" TargetMode="External"/><Relationship Id="rId102" Type="http://schemas.openxmlformats.org/officeDocument/2006/relationships/hyperlink" Target="https://i.postimg.cc/ryHDJR4K/296-Divine-Departure-Shanks.png" TargetMode="External"/><Relationship Id="rId223" Type="http://schemas.openxmlformats.org/officeDocument/2006/relationships/hyperlink" Target="https://i.postimg.cc/m2xg81dx/Blue-Defender.png" TargetMode="External"/><Relationship Id="rId344" Type="http://schemas.openxmlformats.org/officeDocument/2006/relationships/hyperlink" Target="https://i.postimg.cc/MpBRH75y/175-Princess-and-Loyal-Partner-Vivi-Karoo.png" TargetMode="External"/><Relationship Id="rId465" Type="http://schemas.openxmlformats.org/officeDocument/2006/relationships/hyperlink" Target="https://i.postimg.cc/Hk6HDrtk/Red-Runner.png" TargetMode="External"/><Relationship Id="rId586" Type="http://schemas.openxmlformats.org/officeDocument/2006/relationships/hyperlink" Target="https://i.postimg.cc/zvBN2kv6/054-The-Seven-Warlords-of-the-Sea-Gecko-Moria.png" TargetMode="External"/><Relationship Id="rId101" Type="http://schemas.openxmlformats.org/officeDocument/2006/relationships/hyperlink" Target="https://i.postimg.cc/QdmN84js/Dark-Attacker.png" TargetMode="External"/><Relationship Id="rId222" Type="http://schemas.openxmlformats.org/officeDocument/2006/relationships/hyperlink" Target="https://i.postimg.cc/vBhZDBC7/236-Raid-on-Onigashima-Jimbei.png" TargetMode="External"/><Relationship Id="rId343" Type="http://schemas.openxmlformats.org/officeDocument/2006/relationships/hyperlink" Target="https://i.postimg.cc/PxgT30Qb/Green-Runner.png" TargetMode="External"/><Relationship Id="rId464" Type="http://schemas.openxmlformats.org/officeDocument/2006/relationships/hyperlink" Target="https://i.postimg.cc/TP9c2j2t/115-Grand-Line-Naval-Base-5-Captain-Tashigi.png" TargetMode="External"/><Relationship Id="rId585" Type="http://schemas.openxmlformats.org/officeDocument/2006/relationships/hyperlink" Target="https://i.postimg.cc/Hk6HDrtk/Red-Runner.png" TargetMode="External"/><Relationship Id="rId100" Type="http://schemas.openxmlformats.org/officeDocument/2006/relationships/hyperlink" Target="https://i.postimg.cc/s2xdCKNf/297-The-Blue-Dorry.png" TargetMode="External"/><Relationship Id="rId221" Type="http://schemas.openxmlformats.org/officeDocument/2006/relationships/hyperlink" Target="https://i.postimg.cc/0NH8mz6B/Green-Attacker.png" TargetMode="External"/><Relationship Id="rId342" Type="http://schemas.openxmlformats.org/officeDocument/2006/relationships/hyperlink" Target="https://i.postimg.cc/NfSmQJ6s/176-Land-of-Wano-Orobi.png" TargetMode="External"/><Relationship Id="rId463" Type="http://schemas.openxmlformats.org/officeDocument/2006/relationships/hyperlink" Target="https://i.postimg.cc/1zRtDxvf/Blue-Attacker.png" TargetMode="External"/><Relationship Id="rId584" Type="http://schemas.openxmlformats.org/officeDocument/2006/relationships/hyperlink" Target="https://i.postimg.cc/wv9gLzp6/055-108-Pound-Phoenix-Roronoa-Zoro.png" TargetMode="External"/><Relationship Id="rId217" Type="http://schemas.openxmlformats.org/officeDocument/2006/relationships/hyperlink" Target="https://i.postimg.cc/1zRtDxvf/Blue-Attacker.png" TargetMode="External"/><Relationship Id="rId338" Type="http://schemas.openxmlformats.org/officeDocument/2006/relationships/hyperlink" Target="https://i.postimg.cc/rsYW0g79/178-Navy-HQ-Fleet-ADmiral-Akainu-Sakazuki.png" TargetMode="External"/><Relationship Id="rId459" Type="http://schemas.openxmlformats.org/officeDocument/2006/relationships/hyperlink" Target="https://i.postimg.cc/PxgT30Qb/Green-Runner.png" TargetMode="External"/><Relationship Id="rId216" Type="http://schemas.openxmlformats.org/officeDocument/2006/relationships/hyperlink" Target="https://i.postimg.cc/HsxVcwYr/239-Big-Mom-Pirates-Sweet-3-General-Charlotte-Cracker.png" TargetMode="External"/><Relationship Id="rId337" Type="http://schemas.openxmlformats.org/officeDocument/2006/relationships/hyperlink" Target="https://i.postimg.cc/4NzNM4MY/Blue-Runner.png" TargetMode="External"/><Relationship Id="rId458" Type="http://schemas.openxmlformats.org/officeDocument/2006/relationships/hyperlink" Target="https://i.postimg.cc/s2RngDYg/118-Revolutoonary-Army-Emporio-Ivankov.png" TargetMode="External"/><Relationship Id="rId579" Type="http://schemas.openxmlformats.org/officeDocument/2006/relationships/hyperlink" Target="https://i.postimg.cc/1zRtDxvf/Blue-Attacker.png" TargetMode="External"/><Relationship Id="rId215" Type="http://schemas.openxmlformats.org/officeDocument/2006/relationships/hyperlink" Target="https://i.postimg.cc/P5XhRWY7/Red-Defender.png" TargetMode="External"/><Relationship Id="rId336" Type="http://schemas.openxmlformats.org/officeDocument/2006/relationships/hyperlink" Target="https://i.postimg.cc/Rh0KZ2pF/179-Navy-HQ-Master-Chief-Petty-Officer-Koby.png" TargetMode="External"/><Relationship Id="rId457" Type="http://schemas.openxmlformats.org/officeDocument/2006/relationships/hyperlink" Target="https://i.postimg.cc/Hk6HDrtk/Red-Runner.png" TargetMode="External"/><Relationship Id="rId578" Type="http://schemas.openxmlformats.org/officeDocument/2006/relationships/hyperlink" Target="https://i.postimg.cc/rwtVLgjL/058-Kid-Pirates-Captain-Eustass-Kid.png" TargetMode="External"/><Relationship Id="rId214" Type="http://schemas.openxmlformats.org/officeDocument/2006/relationships/hyperlink" Target="https://i.postimg.cc/j28235Xq/240-Big-Mom-Pirates-Crewmate-Charlotte-Brulee.png" TargetMode="External"/><Relationship Id="rId335" Type="http://schemas.openxmlformats.org/officeDocument/2006/relationships/hyperlink" Target="https://i.postimg.cc/qRhpGpyM/Green-Defender.png" TargetMode="External"/><Relationship Id="rId456" Type="http://schemas.openxmlformats.org/officeDocument/2006/relationships/hyperlink" Target="https://i.postimg.cc/m2JXKShM/119-Gear-Four-Snakeman-Monkey-D-Luffy.png" TargetMode="External"/><Relationship Id="rId577" Type="http://schemas.openxmlformats.org/officeDocument/2006/relationships/hyperlink" Target="https://i.postimg.cc/PxgT30Qb/Green-Runner.png" TargetMode="External"/><Relationship Id="rId219" Type="http://schemas.openxmlformats.org/officeDocument/2006/relationships/hyperlink" Target="https://i.postimg.cc/qRhpGpyM/Green-Defender.png" TargetMode="External"/><Relationship Id="rId218" Type="http://schemas.openxmlformats.org/officeDocument/2006/relationships/hyperlink" Target="https://i.postimg.cc/5tw0dp3R/238-First-Act-as-a-Married-Couple-Charlotte-Pudding.png" TargetMode="External"/><Relationship Id="rId339" Type="http://schemas.openxmlformats.org/officeDocument/2006/relationships/hyperlink" Target="https://i.postimg.cc/L6B2DCYf/Red-Attacker.png" TargetMode="External"/><Relationship Id="rId330" Type="http://schemas.openxmlformats.org/officeDocument/2006/relationships/hyperlink" Target="https://i.postimg.cc/5tcBS7y7/182-Don-Quixote-Pirates-Officer-Se-or-Pink.png" TargetMode="External"/><Relationship Id="rId451" Type="http://schemas.openxmlformats.org/officeDocument/2006/relationships/hyperlink" Target="https://i.postimg.cc/P5XhRWY7/Red-Defender.png" TargetMode="External"/><Relationship Id="rId572" Type="http://schemas.openxmlformats.org/officeDocument/2006/relationships/hyperlink" Target="https://i.postimg.cc/rmTFjWS2/061-Alabasta-Princess-Nefeltari-Vivi.png" TargetMode="External"/><Relationship Id="rId693" Type="http://schemas.openxmlformats.org/officeDocument/2006/relationships/hyperlink" Target="https://i.postimg.cc/L6B2DCYf/Red-Attacker.png" TargetMode="External"/><Relationship Id="rId450" Type="http://schemas.openxmlformats.org/officeDocument/2006/relationships/hyperlink" Target="https://i.postimg.cc/yxNpCQFh/122-Fallen-Monk-Pirates-Captain-Mad-Monk-Urouge.png" TargetMode="External"/><Relationship Id="rId571" Type="http://schemas.openxmlformats.org/officeDocument/2006/relationships/hyperlink" Target="https://i.postimg.cc/qRhpGpyM/Green-Defender.png" TargetMode="External"/><Relationship Id="rId692" Type="http://schemas.openxmlformats.org/officeDocument/2006/relationships/hyperlink" Target="https://i.postimg.cc/jdt3Tjhq/001-Straw-Hat-Pirates-Captain-Monkey-D-Luffy.png" TargetMode="External"/><Relationship Id="rId570" Type="http://schemas.openxmlformats.org/officeDocument/2006/relationships/hyperlink" Target="https://i.postimg.cc/cJwLfTtc/062-2-Years-Later-Combatant-Roronoa-Zoro.png" TargetMode="External"/><Relationship Id="rId691" Type="http://schemas.openxmlformats.org/officeDocument/2006/relationships/hyperlink" Target="https://i.postimg.cc/qRhpGpyM/Green-Defender.png" TargetMode="External"/><Relationship Id="rId690" Type="http://schemas.openxmlformats.org/officeDocument/2006/relationships/hyperlink" Target="https://i.postimg.cc/L8syq07r/002-Straw-Hat-Pirates-Combatant-Roronoa-Zoro.png" TargetMode="External"/><Relationship Id="rId213" Type="http://schemas.openxmlformats.org/officeDocument/2006/relationships/hyperlink" Target="https://i.postimg.cc/0NH8mz6B/Green-Attacker.png" TargetMode="External"/><Relationship Id="rId334" Type="http://schemas.openxmlformats.org/officeDocument/2006/relationships/hyperlink" Target="https://i.postimg.cc/XJL93n8m/180-Navy-HQ-Science-Team-Captain-Sentomaru.png" TargetMode="External"/><Relationship Id="rId455" Type="http://schemas.openxmlformats.org/officeDocument/2006/relationships/hyperlink" Target="https://i.postimg.cc/0NH8mz6B/Green-Attacker.png" TargetMode="External"/><Relationship Id="rId576" Type="http://schemas.openxmlformats.org/officeDocument/2006/relationships/hyperlink" Target="https://i.postimg.cc/jd2qMRJ2/059-Heart-Pirates-Captain-Trafalger-Law.png" TargetMode="External"/><Relationship Id="rId212" Type="http://schemas.openxmlformats.org/officeDocument/2006/relationships/hyperlink" Target="https://i.postimg.cc/3NrWZp2b/241-Leader-of-the-Whale-Forest-Guardians-Pedro.png" TargetMode="External"/><Relationship Id="rId333" Type="http://schemas.openxmlformats.org/officeDocument/2006/relationships/hyperlink" Target="https://i.postimg.cc/qRhpGpyM/Green-Defender.png" TargetMode="External"/><Relationship Id="rId454" Type="http://schemas.openxmlformats.org/officeDocument/2006/relationships/hyperlink" Target="https://i.postimg.cc/JzX68BBF/120-The-Pirate-King-s-Right-Arm-The-Dark-King-Silvers-Rayleigh.png" TargetMode="External"/><Relationship Id="rId575" Type="http://schemas.openxmlformats.org/officeDocument/2006/relationships/hyperlink" Target="https://i.postimg.cc/1zRtDxvf/Blue-Attacker.png" TargetMode="External"/><Relationship Id="rId211" Type="http://schemas.openxmlformats.org/officeDocument/2006/relationships/hyperlink" Target="https://i.postimg.cc/P5XhRWY7/Red-Defender.png" TargetMode="External"/><Relationship Id="rId332" Type="http://schemas.openxmlformats.org/officeDocument/2006/relationships/hyperlink" Target="https://i.postimg.cc/sXs5tMp5/181-Don-Quixote-Pirates-Servant-Assassin-Baby-5.png" TargetMode="External"/><Relationship Id="rId453" Type="http://schemas.openxmlformats.org/officeDocument/2006/relationships/hyperlink" Target="https://i.postimg.cc/m2xg81dx/Blue-Defender.png" TargetMode="External"/><Relationship Id="rId574" Type="http://schemas.openxmlformats.org/officeDocument/2006/relationships/hyperlink" Target="https://i.postimg.cc/zvtzqc4q/060-2-Years-Later-Captain-Monkey-D-Luffy.png" TargetMode="External"/><Relationship Id="rId695" Type="http://schemas.openxmlformats.org/officeDocument/2006/relationships/vmlDrawing" Target="../drawings/vmlDrawing1.vml"/><Relationship Id="rId210" Type="http://schemas.openxmlformats.org/officeDocument/2006/relationships/hyperlink" Target="https://i.postimg.cc/hjBXfNvn/242-Big-Mom-Pirates-Crewmate-Charoltte-Oven.png" TargetMode="External"/><Relationship Id="rId331" Type="http://schemas.openxmlformats.org/officeDocument/2006/relationships/hyperlink" Target="https://i.postimg.cc/Hk6HDrtk/Red-Runner.png" TargetMode="External"/><Relationship Id="rId452" Type="http://schemas.openxmlformats.org/officeDocument/2006/relationships/hyperlink" Target="https://i.postimg.cc/15f7WdRs/121-Navy-HQ-Fleet-Admiral-Sengoku.png" TargetMode="External"/><Relationship Id="rId573" Type="http://schemas.openxmlformats.org/officeDocument/2006/relationships/hyperlink" Target="https://i.postimg.cc/Hk6HDrtk/Red-Runner.png" TargetMode="External"/><Relationship Id="rId694" Type="http://schemas.openxmlformats.org/officeDocument/2006/relationships/drawing" Target="../drawings/drawing1.xml"/><Relationship Id="rId370" Type="http://schemas.openxmlformats.org/officeDocument/2006/relationships/hyperlink" Target="https://i.postimg.cc/kGkGPHkL/162-Iron-Pirate-General-Franky.png" TargetMode="External"/><Relationship Id="rId491" Type="http://schemas.openxmlformats.org/officeDocument/2006/relationships/hyperlink" Target="https://i.postimg.cc/qRhpGpyM/Green-Defender.png" TargetMode="External"/><Relationship Id="rId490" Type="http://schemas.openxmlformats.org/officeDocument/2006/relationships/hyperlink" Target="https://i.postimg.cc/ydDnfgBn/102-Navy-HQ-Vice-Admiral-Monkey-D-Garb.png" TargetMode="External"/><Relationship Id="rId129" Type="http://schemas.openxmlformats.org/officeDocument/2006/relationships/hyperlink" Target="https://i.postimg.cc/m2xg81dx/Blue-Defender.png" TargetMode="External"/><Relationship Id="rId128" Type="http://schemas.openxmlformats.org/officeDocument/2006/relationships/hyperlink" Target="https://i.postimg.cc/HjG03dcs/283-Lvneel-Kingdom-Exploration-Ship-Admiral-Mont-Blanc-Noland.png" TargetMode="External"/><Relationship Id="rId249" Type="http://schemas.openxmlformats.org/officeDocument/2006/relationships/hyperlink" Target="https://i.postimg.cc/L6B2DCYf/Red-Attacker.png" TargetMode="External"/><Relationship Id="rId127" Type="http://schemas.openxmlformats.org/officeDocument/2006/relationships/hyperlink" Target="https://i.postimg.cc/0j7xLZVT/Light-Defender.png" TargetMode="External"/><Relationship Id="rId248" Type="http://schemas.openxmlformats.org/officeDocument/2006/relationships/hyperlink" Target="https://i.postimg.cc/PNG9jbKS/223-FILM-RED-Usopp.png" TargetMode="External"/><Relationship Id="rId369" Type="http://schemas.openxmlformats.org/officeDocument/2006/relationships/hyperlink" Target="https://i.postimg.cc/m2xg81dx/Blue-Defender.png" TargetMode="External"/><Relationship Id="rId126" Type="http://schemas.openxmlformats.org/officeDocument/2006/relationships/hyperlink" Target="https://i.postimg.cc/Dz5gh9DB/284-Fake-Straw-Hat-Pirates-Captain-Demaro-Black.png" TargetMode="External"/><Relationship Id="rId247" Type="http://schemas.openxmlformats.org/officeDocument/2006/relationships/hyperlink" Target="https://i.postimg.cc/PxgT30Qb/Green-Runner.png" TargetMode="External"/><Relationship Id="rId368" Type="http://schemas.openxmlformats.org/officeDocument/2006/relationships/hyperlink" Target="https://i.postimg.cc/hGrXQpd7/163-The-Guardian-of-the-Forest-Gaimon.png" TargetMode="External"/><Relationship Id="rId489" Type="http://schemas.openxmlformats.org/officeDocument/2006/relationships/hyperlink" Target="https://i.postimg.cc/P5XhRWY7/Red-Defender.png" TargetMode="External"/><Relationship Id="rId121" Type="http://schemas.openxmlformats.org/officeDocument/2006/relationships/hyperlink" Target="https://i.postimg.cc/Hk6HDrtk/Red-Runner.png" TargetMode="External"/><Relationship Id="rId242" Type="http://schemas.openxmlformats.org/officeDocument/2006/relationships/hyperlink" Target="https://i.postimg.cc/KjdSYhcr/226-Don-Quixote-Pirates-Supreme-Officer-Trebol.png" TargetMode="External"/><Relationship Id="rId363" Type="http://schemas.openxmlformats.org/officeDocument/2006/relationships/hyperlink" Target="https://i.postimg.cc/1zRtDxvf/Blue-Attacker.png" TargetMode="External"/><Relationship Id="rId484" Type="http://schemas.openxmlformats.org/officeDocument/2006/relationships/hyperlink" Target="https://i.postimg.cc/k5XTbYp0/105-The-Parmount-War-Monkey-D-Luffy.png" TargetMode="External"/><Relationship Id="rId120" Type="http://schemas.openxmlformats.org/officeDocument/2006/relationships/hyperlink" Target="https://i.postimg.cc/44QSGYNk/287-Egghead-Monkey-D-Luffy.png" TargetMode="External"/><Relationship Id="rId241" Type="http://schemas.openxmlformats.org/officeDocument/2006/relationships/hyperlink" Target="https://i.postimg.cc/4NzNM4MY/Blue-Runner.png" TargetMode="External"/><Relationship Id="rId362" Type="http://schemas.openxmlformats.org/officeDocument/2006/relationships/hyperlink" Target="https://i.postimg.cc/Sxc2kyQd/166-Monster-Point-Tony-Tony-Chopper.png" TargetMode="External"/><Relationship Id="rId483" Type="http://schemas.openxmlformats.org/officeDocument/2006/relationships/hyperlink" Target="https://i.postimg.cc/P5XhRWY7/Red-Defender.png" TargetMode="External"/><Relationship Id="rId240" Type="http://schemas.openxmlformats.org/officeDocument/2006/relationships/hyperlink" Target="https://i.postimg.cc/76trpTpR/227-Veteran-Kunoichi-Shinobu.png" TargetMode="External"/><Relationship Id="rId361" Type="http://schemas.openxmlformats.org/officeDocument/2006/relationships/hyperlink" Target="https://i.postimg.cc/P5XhRWY7/Red-Defender.png" TargetMode="External"/><Relationship Id="rId482" Type="http://schemas.openxmlformats.org/officeDocument/2006/relationships/hyperlink" Target="https://i.postimg.cc/0rRS0r26/106-Barto-Club-Captain-Bartolomeo.png" TargetMode="External"/><Relationship Id="rId360" Type="http://schemas.openxmlformats.org/officeDocument/2006/relationships/hyperlink" Target="https://i.postimg.cc/m2z1pY00/167-Enies-Lobby-Nico-Robin.png" TargetMode="External"/><Relationship Id="rId481" Type="http://schemas.openxmlformats.org/officeDocument/2006/relationships/hyperlink" Target="https://i.postimg.cc/0NH8mz6B/Green-Attacker.png" TargetMode="External"/><Relationship Id="rId125" Type="http://schemas.openxmlformats.org/officeDocument/2006/relationships/hyperlink" Target="https://i.postimg.cc/P5XhRWY7/Red-Defender.png" TargetMode="External"/><Relationship Id="rId246" Type="http://schemas.openxmlformats.org/officeDocument/2006/relationships/hyperlink" Target="https://i.postimg.cc/rmP7h24X/224-The-Bullet-of-Dressrosa-Bellamy.png" TargetMode="External"/><Relationship Id="rId367" Type="http://schemas.openxmlformats.org/officeDocument/2006/relationships/hyperlink" Target="https://i.postimg.cc/0NH8mz6B/Green-Attacker.png" TargetMode="External"/><Relationship Id="rId488" Type="http://schemas.openxmlformats.org/officeDocument/2006/relationships/hyperlink" Target="https://i.postimg.cc/1zCJccxf/103-The-Seven-Warlords-of-the-Sea-Marshall-D-Teach.png" TargetMode="External"/><Relationship Id="rId124" Type="http://schemas.openxmlformats.org/officeDocument/2006/relationships/hyperlink" Target="https://i.postimg.cc/dtQSVJL7/285-The-Most-Defensive-Man-in-the-World-Sentomaru.png" TargetMode="External"/><Relationship Id="rId245" Type="http://schemas.openxmlformats.org/officeDocument/2006/relationships/hyperlink" Target="https://i.postimg.cc/0NH8mz6B/Green-Attacker.png" TargetMode="External"/><Relationship Id="rId366" Type="http://schemas.openxmlformats.org/officeDocument/2006/relationships/hyperlink" Target="https://i.postimg.cc/gJ2nV8Vt/164-King-of-the-Day-Dogstorm.png" TargetMode="External"/><Relationship Id="rId487" Type="http://schemas.openxmlformats.org/officeDocument/2006/relationships/hyperlink" Target="https://i.postimg.cc/1zRtDxvf/Blue-Attacker.png" TargetMode="External"/><Relationship Id="rId123" Type="http://schemas.openxmlformats.org/officeDocument/2006/relationships/hyperlink" Target="https://i.postimg.cc/QdmN84js/Dark-Attacker.png" TargetMode="External"/><Relationship Id="rId244" Type="http://schemas.openxmlformats.org/officeDocument/2006/relationships/hyperlink" Target="https://i.postimg.cc/tTTLt4YN/225-Don-Quixote-Pirates-Supreme-Officer-Diamante.png" TargetMode="External"/><Relationship Id="rId365" Type="http://schemas.openxmlformats.org/officeDocument/2006/relationships/hyperlink" Target="https://i.postimg.cc/Hk6HDrtk/Red-Runner.png" TargetMode="External"/><Relationship Id="rId486" Type="http://schemas.openxmlformats.org/officeDocument/2006/relationships/hyperlink" Target="https://i.postimg.cc/bwR6df30/104-The-Four-Emperors-Shanks.png" TargetMode="External"/><Relationship Id="rId122" Type="http://schemas.openxmlformats.org/officeDocument/2006/relationships/hyperlink" Target="https://i.postimg.cc/QCm4Jynx/286-The-Navy-s-Human-Weapon-Pacifista.png" TargetMode="External"/><Relationship Id="rId243" Type="http://schemas.openxmlformats.org/officeDocument/2006/relationships/hyperlink" Target="https://i.postimg.cc/qRhpGpyM/Green-Defender.png" TargetMode="External"/><Relationship Id="rId364" Type="http://schemas.openxmlformats.org/officeDocument/2006/relationships/hyperlink" Target="https://i.postimg.cc/W4jD4Qhv/165-King-of-the-Night-Cat-Viper.png" TargetMode="External"/><Relationship Id="rId485" Type="http://schemas.openxmlformats.org/officeDocument/2006/relationships/hyperlink" Target="https://i.postimg.cc/PxgT30Qb/Green-Runner.png" TargetMode="External"/><Relationship Id="rId95" Type="http://schemas.openxmlformats.org/officeDocument/2006/relationships/hyperlink" Target="https://i.postimg.cc/qRhpGpyM/Green-Defender.png" TargetMode="External"/><Relationship Id="rId94" Type="http://schemas.openxmlformats.org/officeDocument/2006/relationships/hyperlink" Target="https://i.postimg.cc/qv2FNnGJ/300.Punk-02_Lilith.png" TargetMode="External"/><Relationship Id="rId97" Type="http://schemas.openxmlformats.org/officeDocument/2006/relationships/hyperlink" Target="https://i.postimg.cc/Kv1x433L/Transforming-Class-Dark-Runner.png" TargetMode="External"/><Relationship Id="rId96" Type="http://schemas.openxmlformats.org/officeDocument/2006/relationships/hyperlink" Target="https://i.postimg.cc/3xn5qz9b/299-Happy-Halloween-Uta.png" TargetMode="External"/><Relationship Id="rId99" Type="http://schemas.openxmlformats.org/officeDocument/2006/relationships/hyperlink" Target="https://i.postimg.cc/qv4MdVVj/Dark-Defender.png" TargetMode="External"/><Relationship Id="rId480" Type="http://schemas.openxmlformats.org/officeDocument/2006/relationships/hyperlink" Target="https://i.postimg.cc/26th32s7/107-Beautiful-Pirates-Captain-Cavendish.png" TargetMode="External"/><Relationship Id="rId98" Type="http://schemas.openxmlformats.org/officeDocument/2006/relationships/hyperlink" Target="https://i.postimg.cc/6QPsWRkr/298-The-Red-Broggy.png" TargetMode="External"/><Relationship Id="rId91" Type="http://schemas.openxmlformats.org/officeDocument/2006/relationships/hyperlink" Target="https://i.postimg.cc/QdmN84js/Dark-Attacker.png" TargetMode="External"/><Relationship Id="rId90" Type="http://schemas.openxmlformats.org/officeDocument/2006/relationships/hyperlink" Target="https://i.postimg.cc/02rKRFgm/302-Punk-05-Atlas.png" TargetMode="External"/><Relationship Id="rId93" Type="http://schemas.openxmlformats.org/officeDocument/2006/relationships/hyperlink" Target="https://i.postimg.cc/0NH8mz6B/Green-Attacker.png" TargetMode="External"/><Relationship Id="rId92" Type="http://schemas.openxmlformats.org/officeDocument/2006/relationships/hyperlink" Target="https://i.postimg.cc/FRMxyG5h/301.Seraphim_S-Bear.png" TargetMode="External"/><Relationship Id="rId118" Type="http://schemas.openxmlformats.org/officeDocument/2006/relationships/hyperlink" Target="https://i.postimg.cc/rsDwWZsY/287-Seraphim-S-Snake.png" TargetMode="External"/><Relationship Id="rId239" Type="http://schemas.openxmlformats.org/officeDocument/2006/relationships/hyperlink" Target="https://i.postimg.cc/L6B2DCYf/Red-Attacker.png" TargetMode="External"/><Relationship Id="rId117" Type="http://schemas.openxmlformats.org/officeDocument/2006/relationships/hyperlink" Target="https://i.postimg.cc/02q9pRQP/Light-Runner.png" TargetMode="External"/><Relationship Id="rId238" Type="http://schemas.openxmlformats.org/officeDocument/2006/relationships/hyperlink" Target="https://i.postimg.cc/bv8PbPxm/228-Kozuki-Clan-Servant-Raizo.png" TargetMode="External"/><Relationship Id="rId359" Type="http://schemas.openxmlformats.org/officeDocument/2006/relationships/hyperlink" Target="https://i.postimg.cc/qRhpGpyM/Green-Defender.png" TargetMode="External"/><Relationship Id="rId116" Type="http://schemas.openxmlformats.org/officeDocument/2006/relationships/hyperlink" Target="https://i.postimg.cc/WbLM7CcB/289-Egghead-Roronoa-Zoro.png" TargetMode="External"/><Relationship Id="rId237" Type="http://schemas.openxmlformats.org/officeDocument/2006/relationships/hyperlink" Target="https://i.postimg.cc/m2xg81dx/Blue-Defender.png" TargetMode="External"/><Relationship Id="rId358" Type="http://schemas.openxmlformats.org/officeDocument/2006/relationships/hyperlink" Target="https://i.postimg.cc/9XNqB8Nd/168-Raid-on-Onigashima-Monkey-D-Luffy.png" TargetMode="External"/><Relationship Id="rId479" Type="http://schemas.openxmlformats.org/officeDocument/2006/relationships/hyperlink" Target="https://i.postimg.cc/m2xg81dx/Blue-Defender.png" TargetMode="External"/><Relationship Id="rId115" Type="http://schemas.openxmlformats.org/officeDocument/2006/relationships/hyperlink" Target="https://i.postimg.cc/L6B2DCYf/Red-Attacker.png" TargetMode="External"/><Relationship Id="rId236" Type="http://schemas.openxmlformats.org/officeDocument/2006/relationships/hyperlink" Target="https://i.postimg.cc/qv20zq3t/229-Hyogoro-Family-Big-Boss-Hyogoro.png" TargetMode="External"/><Relationship Id="rId357" Type="http://schemas.openxmlformats.org/officeDocument/2006/relationships/hyperlink" Target="https://i.postimg.cc/4NzNM4MY/Blue-Runner.png" TargetMode="External"/><Relationship Id="rId478" Type="http://schemas.openxmlformats.org/officeDocument/2006/relationships/hyperlink" Target="https://i.postimg.cc/d13Gqzx0/108-Navy-HQ-Admiral-Fujitora-Issho.png" TargetMode="External"/><Relationship Id="rId599" Type="http://schemas.openxmlformats.org/officeDocument/2006/relationships/hyperlink" Target="https://i.postimg.cc/1zRtDxvf/Blue-Attacker.png" TargetMode="External"/><Relationship Id="rId119" Type="http://schemas.openxmlformats.org/officeDocument/2006/relationships/hyperlink" Target="https://i.postimg.cc/m2xg81dx/Blue-Defender.png" TargetMode="External"/><Relationship Id="rId110" Type="http://schemas.openxmlformats.org/officeDocument/2006/relationships/hyperlink" Target="https://i.postimg.cc/3x519MTZ/292-CP9-Jabra.png" TargetMode="External"/><Relationship Id="rId231" Type="http://schemas.openxmlformats.org/officeDocument/2006/relationships/hyperlink" Target="https://i.postimg.cc/1zRtDxvf/Blue-Attacker.png" TargetMode="External"/><Relationship Id="rId352" Type="http://schemas.openxmlformats.org/officeDocument/2006/relationships/hyperlink" Target="https://i.postimg.cc/85Zf9tkV/171-Raid-on-Onigashima-Trafalger-Law.png" TargetMode="External"/><Relationship Id="rId473" Type="http://schemas.openxmlformats.org/officeDocument/2006/relationships/hyperlink" Target="https://i.postimg.cc/Hk6HDrtk/Red-Runner.png" TargetMode="External"/><Relationship Id="rId594" Type="http://schemas.openxmlformats.org/officeDocument/2006/relationships/hyperlink" Target="https://i.postimg.cc/pX3vkzHc/050-Navy-HQ-Admiral-Aokiji-Kuzan.png" TargetMode="External"/><Relationship Id="rId230" Type="http://schemas.openxmlformats.org/officeDocument/2006/relationships/hyperlink" Target="https://i.postimg.cc/zGhDKp9G/232-ODYSSEY-Adio-Suerte.png" TargetMode="External"/><Relationship Id="rId351" Type="http://schemas.openxmlformats.org/officeDocument/2006/relationships/hyperlink" Target="https://i.postimg.cc/qRhpGpyM/Green-Defender.png" TargetMode="External"/><Relationship Id="rId472" Type="http://schemas.openxmlformats.org/officeDocument/2006/relationships/hyperlink" Target="https://i.postimg.cc/nhfKvSCd/111-CP9-Kaku.png" TargetMode="External"/><Relationship Id="rId593" Type="http://schemas.openxmlformats.org/officeDocument/2006/relationships/hyperlink" Target="https://i.postimg.cc/0NH8mz6B/Green-Attacker.png" TargetMode="External"/><Relationship Id="rId350" Type="http://schemas.openxmlformats.org/officeDocument/2006/relationships/hyperlink" Target="https://i.postimg.cc/3R8DtPTB/172-Baroque-Works-Officer-Agent-Mr-3.png" TargetMode="External"/><Relationship Id="rId471" Type="http://schemas.openxmlformats.org/officeDocument/2006/relationships/hyperlink" Target="https://i.postimg.cc/PxgT30Qb/Green-Runner.png" TargetMode="External"/><Relationship Id="rId592" Type="http://schemas.openxmlformats.org/officeDocument/2006/relationships/hyperlink" Target="https://i.postimg.cc/VLJ1j43b/051-Baroque-Works-Officer-Agent-Bon-Clay-aka-Mr-2.png" TargetMode="External"/><Relationship Id="rId470" Type="http://schemas.openxmlformats.org/officeDocument/2006/relationships/hyperlink" Target="https://i.postimg.cc/T2SJP3Gv/112-The-King-of-the-Snipers-Sniper-King.png" TargetMode="External"/><Relationship Id="rId591" Type="http://schemas.openxmlformats.org/officeDocument/2006/relationships/hyperlink" Target="https://i.postimg.cc/4NzNM4MY/Blue-Runner.png" TargetMode="External"/><Relationship Id="rId114" Type="http://schemas.openxmlformats.org/officeDocument/2006/relationships/hyperlink" Target="https://i.postimg.cc/BZ1THsk5/290-Seraphim-S-Hawk.png" TargetMode="External"/><Relationship Id="rId235" Type="http://schemas.openxmlformats.org/officeDocument/2006/relationships/hyperlink" Target="https://i.postimg.cc/1zRtDxvf/Blue-Attacker.png" TargetMode="External"/><Relationship Id="rId356" Type="http://schemas.openxmlformats.org/officeDocument/2006/relationships/hyperlink" Target="https://i.postimg.cc/XqhG7qyH/169-Impel-Down-Prisoner-Bon-Clay-aka-Mr-2.png" TargetMode="External"/><Relationship Id="rId477" Type="http://schemas.openxmlformats.org/officeDocument/2006/relationships/hyperlink" Target="https://i.postimg.cc/L6B2DCYf/Red-Attacker.png" TargetMode="External"/><Relationship Id="rId598" Type="http://schemas.openxmlformats.org/officeDocument/2006/relationships/hyperlink" Target="https://i.postimg.cc/fbNNQskx/048-Whitebeard-Pirates-2nd-Division-Commander-Portgaz-D-Ace.png" TargetMode="External"/><Relationship Id="rId113" Type="http://schemas.openxmlformats.org/officeDocument/2006/relationships/hyperlink" Target="https://i.postimg.cc/4NzNM4MY/Blue-Runner.png" TargetMode="External"/><Relationship Id="rId234" Type="http://schemas.openxmlformats.org/officeDocument/2006/relationships/hyperlink" Target="https://i.postimg.cc/vTDbBvrM/230-Top-Secret-Special-Force-Captain-of-Sword-X-Drake.png" TargetMode="External"/><Relationship Id="rId355" Type="http://schemas.openxmlformats.org/officeDocument/2006/relationships/hyperlink" Target="https://i.postimg.cc/P5XhRWY7/Red-Defender.png" TargetMode="External"/><Relationship Id="rId476" Type="http://schemas.openxmlformats.org/officeDocument/2006/relationships/hyperlink" Target="https://i.postimg.cc/jjZzYsv9/109-Luffy-s-Brother-Sabo.png" TargetMode="External"/><Relationship Id="rId597" Type="http://schemas.openxmlformats.org/officeDocument/2006/relationships/hyperlink" Target="https://i.postimg.cc/L6B2DCYf/Red-Attacker.png" TargetMode="External"/><Relationship Id="rId112" Type="http://schemas.openxmlformats.org/officeDocument/2006/relationships/hyperlink" Target="https://i.postimg.cc/tCVDhqLT/291-CP9-Blueno.png" TargetMode="External"/><Relationship Id="rId233" Type="http://schemas.openxmlformats.org/officeDocument/2006/relationships/hyperlink" Target="https://i.postimg.cc/Hk6HDrtk/Red-Runner.png" TargetMode="External"/><Relationship Id="rId354" Type="http://schemas.openxmlformats.org/officeDocument/2006/relationships/hyperlink" Target="https://i.postimg.cc/Vv508n50/170-Raid-on-Onigashima-Eustass-Kid.png" TargetMode="External"/><Relationship Id="rId475" Type="http://schemas.openxmlformats.org/officeDocument/2006/relationships/hyperlink" Target="https://i.postimg.cc/0NH8mz6B/Green-Attacker.png" TargetMode="External"/><Relationship Id="rId596" Type="http://schemas.openxmlformats.org/officeDocument/2006/relationships/hyperlink" Target="https://i.postimg.cc/y89HGx61/049-Navy-HQ-Admiral-Akainu-Sakazuki.png" TargetMode="External"/><Relationship Id="rId111" Type="http://schemas.openxmlformats.org/officeDocument/2006/relationships/hyperlink" Target="https://i.postimg.cc/0NH8mz6B/Green-Attacker.png" TargetMode="External"/><Relationship Id="rId232" Type="http://schemas.openxmlformats.org/officeDocument/2006/relationships/hyperlink" Target="https://i.postimg.cc/JhWrqZLc/231-Animal-Kingdom-Pirates-Lead-Performer-King.png" TargetMode="External"/><Relationship Id="rId353" Type="http://schemas.openxmlformats.org/officeDocument/2006/relationships/hyperlink" Target="https://i.postimg.cc/L6B2DCYf/Red-Attacker.png" TargetMode="External"/><Relationship Id="rId474" Type="http://schemas.openxmlformats.org/officeDocument/2006/relationships/hyperlink" Target="https://i.postimg.cc/k5nxHVNK/110-CP9-Rob-Lucci.png" TargetMode="External"/><Relationship Id="rId595" Type="http://schemas.openxmlformats.org/officeDocument/2006/relationships/hyperlink" Target="https://i.postimg.cc/m2xg81dx/Blue-Defender.png" TargetMode="External"/><Relationship Id="rId305" Type="http://schemas.openxmlformats.org/officeDocument/2006/relationships/hyperlink" Target="https://i.postimg.cc/0NH8mz6B/Green-Attacker.png" TargetMode="External"/><Relationship Id="rId426" Type="http://schemas.openxmlformats.org/officeDocument/2006/relationships/hyperlink" Target="https://i.postimg.cc/hPZWvxvP/134-Hunger-Pangs-Charlotte-Linlin.png" TargetMode="External"/><Relationship Id="rId547" Type="http://schemas.openxmlformats.org/officeDocument/2006/relationships/hyperlink" Target="https://i.postimg.cc/0NH8mz6B/Green-Attacker.png" TargetMode="External"/><Relationship Id="rId668" Type="http://schemas.openxmlformats.org/officeDocument/2006/relationships/hyperlink" Target="https://i.postimg.cc/BnNdkF9G/013-The-Idiot-Son-Helmeppo.png" TargetMode="External"/><Relationship Id="rId304" Type="http://schemas.openxmlformats.org/officeDocument/2006/relationships/hyperlink" Target="https://i.postimg.cc/6qhjks2p/195-Animal-Kingdom-Pirates-Lead-Performer-Jack.png" TargetMode="External"/><Relationship Id="rId425" Type="http://schemas.openxmlformats.org/officeDocument/2006/relationships/hyperlink" Target="https://i.postimg.cc/qRhpGpyM/Green-Defender.png" TargetMode="External"/><Relationship Id="rId546" Type="http://schemas.openxmlformats.org/officeDocument/2006/relationships/hyperlink" Target="https://i.postimg.cc/fWjSGWLv/074-Bikini-Boa-Hancock.png" TargetMode="External"/><Relationship Id="rId667" Type="http://schemas.openxmlformats.org/officeDocument/2006/relationships/hyperlink" Target="https://i.postimg.cc/m2xg81dx/Blue-Defender.png" TargetMode="External"/><Relationship Id="rId303" Type="http://schemas.openxmlformats.org/officeDocument/2006/relationships/hyperlink" Target="https://i.postimg.cc/P5XhRWY7/Red-Defender.png" TargetMode="External"/><Relationship Id="rId424" Type="http://schemas.openxmlformats.org/officeDocument/2006/relationships/hyperlink" Target="https://i.postimg.cc/zDj1m41h/135-Superhuman-Charlotte-Katakuri.png" TargetMode="External"/><Relationship Id="rId545" Type="http://schemas.openxmlformats.org/officeDocument/2006/relationships/hyperlink" Target="https://i.postimg.cc/qRhpGpyM/Green-Defender.png" TargetMode="External"/><Relationship Id="rId666" Type="http://schemas.openxmlformats.org/officeDocument/2006/relationships/hyperlink" Target="https://i.postimg.cc/Qdj2fbzb/014-Navy-Captain-Morgan.png" TargetMode="External"/><Relationship Id="rId302" Type="http://schemas.openxmlformats.org/officeDocument/2006/relationships/hyperlink" Target="https://i.postimg.cc/C1k64nwD/196-Animal-Kingdom-Pirates-Lead-Performer-Queen.png" TargetMode="External"/><Relationship Id="rId423" Type="http://schemas.openxmlformats.org/officeDocument/2006/relationships/hyperlink" Target="https://i.postimg.cc/1zRtDxvf/Blue-Attacker.png" TargetMode="External"/><Relationship Id="rId544" Type="http://schemas.openxmlformats.org/officeDocument/2006/relationships/hyperlink" Target="https://i.postimg.cc/kGcVKsZH/075-Impel-Down-Prisoner-Crocodile.png" TargetMode="External"/><Relationship Id="rId665" Type="http://schemas.openxmlformats.org/officeDocument/2006/relationships/hyperlink" Target="https://i.postimg.cc/PxgT30Qb/Green-Runner.png" TargetMode="External"/><Relationship Id="rId309" Type="http://schemas.openxmlformats.org/officeDocument/2006/relationships/hyperlink" Target="https://i.postimg.cc/1zRtDxvf/Blue-Attacker.png" TargetMode="External"/><Relationship Id="rId308" Type="http://schemas.openxmlformats.org/officeDocument/2006/relationships/hyperlink" Target="https://i.postimg.cc/BnbYVVqJ/193-Former-Whitebeard-Pirates-16th-Division-Commander-Izo.png" TargetMode="External"/><Relationship Id="rId429" Type="http://schemas.openxmlformats.org/officeDocument/2006/relationships/hyperlink" Target="https://i.postimg.cc/m2xg81dx/Blue-Defender.png" TargetMode="External"/><Relationship Id="rId307" Type="http://schemas.openxmlformats.org/officeDocument/2006/relationships/hyperlink" Target="https://i.postimg.cc/Hk6HDrtk/Red-Runner.png" TargetMode="External"/><Relationship Id="rId428" Type="http://schemas.openxmlformats.org/officeDocument/2006/relationships/hyperlink" Target="https://i.postimg.cc/Vk2xB8Xx/133-Don-Quixote-Family-Officer-Corazon.png" TargetMode="External"/><Relationship Id="rId549" Type="http://schemas.openxmlformats.org/officeDocument/2006/relationships/hyperlink" Target="https://i.postimg.cc/4NzNM4MY/Blue-Runner.png" TargetMode="External"/><Relationship Id="rId306" Type="http://schemas.openxmlformats.org/officeDocument/2006/relationships/hyperlink" Target="https://i.postimg.cc/m28pVsWd/194-Kaido-s-Son-Yamato.png" TargetMode="External"/><Relationship Id="rId427" Type="http://schemas.openxmlformats.org/officeDocument/2006/relationships/hyperlink" Target="https://i.postimg.cc/4NzNM4MY/Blue-Runner.png" TargetMode="External"/><Relationship Id="rId548" Type="http://schemas.openxmlformats.org/officeDocument/2006/relationships/hyperlink" Target="https://i.postimg.cc/bNySpXSf/073-Bikini-Nami.png" TargetMode="External"/><Relationship Id="rId669" Type="http://schemas.openxmlformats.org/officeDocument/2006/relationships/hyperlink" Target="https://i.postimg.cc/PxgT30Qb/Green-Runner.png" TargetMode="External"/><Relationship Id="rId660" Type="http://schemas.openxmlformats.org/officeDocument/2006/relationships/hyperlink" Target="https://i.postimg.cc/dtRMRX53/017-Black-Cat-Pirates-Guard-Butchie.png" TargetMode="External"/><Relationship Id="rId301" Type="http://schemas.openxmlformats.org/officeDocument/2006/relationships/hyperlink" Target="https://i.postimg.cc/m2xg81dx/Blue-Defender.png" TargetMode="External"/><Relationship Id="rId422" Type="http://schemas.openxmlformats.org/officeDocument/2006/relationships/hyperlink" Target="https://i.postimg.cc/ZnVkrvLH/136-The-Seven-Warlords-of-the-Sea-Buggy.png" TargetMode="External"/><Relationship Id="rId543" Type="http://schemas.openxmlformats.org/officeDocument/2006/relationships/hyperlink" Target="https://i.postimg.cc/L6B2DCYf/Red-Attacker.png" TargetMode="External"/><Relationship Id="rId664" Type="http://schemas.openxmlformats.org/officeDocument/2006/relationships/hyperlink" Target="https://i.postimg.cc/3RPM9HM4/015-Buggy-Pirates-Chief-of-Staff-Cabaji.png" TargetMode="External"/><Relationship Id="rId300" Type="http://schemas.openxmlformats.org/officeDocument/2006/relationships/hyperlink" Target="https://i.postimg.cc/HW0hcMZ1/197-The-Strongest-Creature-Alive-Kaido.png" TargetMode="External"/><Relationship Id="rId421" Type="http://schemas.openxmlformats.org/officeDocument/2006/relationships/hyperlink" Target="https://i.postimg.cc/P5XhRWY7/Red-Defender.png" TargetMode="External"/><Relationship Id="rId542" Type="http://schemas.openxmlformats.org/officeDocument/2006/relationships/hyperlink" Target="https://i.postimg.cc/x8YJXhsH/076-Navy-Infiltrator-Portgaz-D-Ace.png" TargetMode="External"/><Relationship Id="rId663" Type="http://schemas.openxmlformats.org/officeDocument/2006/relationships/hyperlink" Target="https://i.postimg.cc/P5XhRWY7/Red-Defender.png" TargetMode="External"/><Relationship Id="rId420" Type="http://schemas.openxmlformats.org/officeDocument/2006/relationships/hyperlink" Target="https://i.postimg.cc/QCXG9JcV/137-Former-World-Government-Science-Division-Member-Caesar-Clown.png" TargetMode="External"/><Relationship Id="rId541" Type="http://schemas.openxmlformats.org/officeDocument/2006/relationships/hyperlink" Target="https://i.postimg.cc/m2xg81dx/Blue-Defender.png" TargetMode="External"/><Relationship Id="rId662" Type="http://schemas.openxmlformats.org/officeDocument/2006/relationships/hyperlink" Target="https://i.postimg.cc/J4CVkmcS/016-Black-Cat-Pirates-Captain-Django.png" TargetMode="External"/><Relationship Id="rId540" Type="http://schemas.openxmlformats.org/officeDocument/2006/relationships/hyperlink" Target="https://i.postimg.cc/DZ14yncn/077-STAMPEDE-Smoker.png" TargetMode="External"/><Relationship Id="rId661" Type="http://schemas.openxmlformats.org/officeDocument/2006/relationships/hyperlink" Target="https://i.postimg.cc/m2xg81dx/Blue-Defender.png" TargetMode="External"/><Relationship Id="rId415" Type="http://schemas.openxmlformats.org/officeDocument/2006/relationships/hyperlink" Target="https://i.postimg.cc/m2xg81dx/Blue-Defender.png" TargetMode="External"/><Relationship Id="rId536" Type="http://schemas.openxmlformats.org/officeDocument/2006/relationships/hyperlink" Target="https://i.postimg.cc/6Q2Ggd27/079-STAMPEDE-Sabo.png" TargetMode="External"/><Relationship Id="rId657" Type="http://schemas.openxmlformats.org/officeDocument/2006/relationships/hyperlink" Target="https://i.postimg.cc/4NzNM4MY/Blue-Runner.png" TargetMode="External"/><Relationship Id="rId414" Type="http://schemas.openxmlformats.org/officeDocument/2006/relationships/hyperlink" Target="https://i.postimg.cc/C5YYCgph/140-Ghost-Princess-Perona.png" TargetMode="External"/><Relationship Id="rId535" Type="http://schemas.openxmlformats.org/officeDocument/2006/relationships/hyperlink" Target="https://i.postimg.cc/0NH8mz6B/Green-Attacker.png" TargetMode="External"/><Relationship Id="rId656" Type="http://schemas.openxmlformats.org/officeDocument/2006/relationships/hyperlink" Target="https://i.postimg.cc/brb7BF86/019-Bounty-Hunter-Johnny.png" TargetMode="External"/><Relationship Id="rId413" Type="http://schemas.openxmlformats.org/officeDocument/2006/relationships/hyperlink" Target="https://i.postimg.cc/PxgT30Qb/Green-Runner.png" TargetMode="External"/><Relationship Id="rId534" Type="http://schemas.openxmlformats.org/officeDocument/2006/relationships/hyperlink" Target="https://i.postimg.cc/HkLM4GT9/080-Gear-Four-Bounceman-Monkey-D-Luffy.png" TargetMode="External"/><Relationship Id="rId655" Type="http://schemas.openxmlformats.org/officeDocument/2006/relationships/hyperlink" Target="https://i.postimg.cc/Hk6HDrtk/Red-Runner.png" TargetMode="External"/><Relationship Id="rId412" Type="http://schemas.openxmlformats.org/officeDocument/2006/relationships/hyperlink" Target="https://i.postimg.cc/BvLq4pC0/141-The-Parmount-War-Crocodile.png" TargetMode="External"/><Relationship Id="rId533" Type="http://schemas.openxmlformats.org/officeDocument/2006/relationships/hyperlink" Target="https://i.postimg.cc/Hk6HDrtk/Red-Runner.png" TargetMode="External"/><Relationship Id="rId654" Type="http://schemas.openxmlformats.org/officeDocument/2006/relationships/hyperlink" Target="https://i.postimg.cc/k4V3xgHP/020-Buggy-Pirates-Captain-Buggy.png" TargetMode="External"/><Relationship Id="rId419" Type="http://schemas.openxmlformats.org/officeDocument/2006/relationships/hyperlink" Target="https://i.postimg.cc/qRhpGpyM/Green-Defender.png" TargetMode="External"/><Relationship Id="rId418" Type="http://schemas.openxmlformats.org/officeDocument/2006/relationships/hyperlink" Target="https://i.postimg.cc/VNCc36Ys/138-The-Greatest-Swordman-in-the-World-Dracule-Mihawk.png" TargetMode="External"/><Relationship Id="rId539" Type="http://schemas.openxmlformats.org/officeDocument/2006/relationships/hyperlink" Target="https://i.postimg.cc/1zRtDxvf/Blue-Attacker.png" TargetMode="External"/><Relationship Id="rId417" Type="http://schemas.openxmlformats.org/officeDocument/2006/relationships/hyperlink" Target="https://i.postimg.cc/1zRtDxvf/Blue-Attacker.png" TargetMode="External"/><Relationship Id="rId538" Type="http://schemas.openxmlformats.org/officeDocument/2006/relationships/hyperlink" Target="https://i.postimg.cc/Dz9bT8Lx/078-STAMPEDE-Monkey-D-Luffy.png" TargetMode="External"/><Relationship Id="rId659" Type="http://schemas.openxmlformats.org/officeDocument/2006/relationships/hyperlink" Target="https://i.postimg.cc/Hk6HDrtk/Red-Runner.png" TargetMode="External"/><Relationship Id="rId416" Type="http://schemas.openxmlformats.org/officeDocument/2006/relationships/hyperlink" Target="https://i.postimg.cc/RVS4N4TG/139-Kuja-Pirates-Captain-Boa-Hancock.png" TargetMode="External"/><Relationship Id="rId537" Type="http://schemas.openxmlformats.org/officeDocument/2006/relationships/hyperlink" Target="https://i.postimg.cc/0NH8mz6B/Green-Attacker.png" TargetMode="External"/><Relationship Id="rId658" Type="http://schemas.openxmlformats.org/officeDocument/2006/relationships/hyperlink" Target="https://i.postimg.cc/J7kC0tJb/018-Bounty-Hunter-Yosaku.png" TargetMode="External"/><Relationship Id="rId411" Type="http://schemas.openxmlformats.org/officeDocument/2006/relationships/hyperlink" Target="https://i.postimg.cc/1zRtDxvf/Blue-Attacker.png" TargetMode="External"/><Relationship Id="rId532" Type="http://schemas.openxmlformats.org/officeDocument/2006/relationships/hyperlink" Target="https://i.postimg.cc/7ZQ2KB68/081-The-Seven-Warlords-of-the-Sea-Don-Quixote-Doflamingo.png" TargetMode="External"/><Relationship Id="rId653" Type="http://schemas.openxmlformats.org/officeDocument/2006/relationships/hyperlink" Target="https://i.postimg.cc/0NH8mz6B/Green-Attacker.png" TargetMode="External"/><Relationship Id="rId410" Type="http://schemas.openxmlformats.org/officeDocument/2006/relationships/hyperlink" Target="https://i.postimg.cc/bwFz7Wkg/142-The-Parmount-War-Gecko-Moria.png" TargetMode="External"/><Relationship Id="rId531" Type="http://schemas.openxmlformats.org/officeDocument/2006/relationships/hyperlink" Target="https://i.postimg.cc/P5XhRWY7/Red-Defender.png" TargetMode="External"/><Relationship Id="rId652" Type="http://schemas.openxmlformats.org/officeDocument/2006/relationships/hyperlink" Target="https://i.postimg.cc/FKCXdLDx/021-Black-Cat-Pirates-Former-Captain-Captain-Kuro.png" TargetMode="External"/><Relationship Id="rId530" Type="http://schemas.openxmlformats.org/officeDocument/2006/relationships/hyperlink" Target="https://i.postimg.cc/m2jMHZWr/082-Land-of-Wano-Trafalgar-Law.png" TargetMode="External"/><Relationship Id="rId651" Type="http://schemas.openxmlformats.org/officeDocument/2006/relationships/hyperlink" Target="https://i.postimg.cc/P5XhRWY7/Red-Defender.png" TargetMode="External"/><Relationship Id="rId650" Type="http://schemas.openxmlformats.org/officeDocument/2006/relationships/hyperlink" Target="https://i.postimg.cc/xd1S1RyC/022-Baratie-Head-Chef-Zeff.png" TargetMode="External"/><Relationship Id="rId206" Type="http://schemas.openxmlformats.org/officeDocument/2006/relationships/hyperlink" Target="https://i.postimg.cc/rFnRQhnG/244-Slicing-Winds-of-Rommel-Hakuba.png" TargetMode="External"/><Relationship Id="rId327" Type="http://schemas.openxmlformats.org/officeDocument/2006/relationships/hyperlink" Target="https://i.postimg.cc/P5XhRWY7/Red-Defender.png" TargetMode="External"/><Relationship Id="rId448" Type="http://schemas.openxmlformats.org/officeDocument/2006/relationships/hyperlink" Target="https://i.postimg.cc/7LgW3THz/123-On-Air-Pirates-Captain-Scratchmen-Apoo.png" TargetMode="External"/><Relationship Id="rId569" Type="http://schemas.openxmlformats.org/officeDocument/2006/relationships/hyperlink" Target="https://i.postimg.cc/Hk6HDrtk/Red-Runner.png" TargetMode="External"/><Relationship Id="rId205" Type="http://schemas.openxmlformats.org/officeDocument/2006/relationships/hyperlink" Target="https://i.postimg.cc/bJqqv61N/Transforming-Element-Green-Attacker.png" TargetMode="External"/><Relationship Id="rId326" Type="http://schemas.openxmlformats.org/officeDocument/2006/relationships/hyperlink" Target="https://i.postimg.cc/GtMPPbTG/184-Don-Quixote-Pirates-Special-Officer-Sugar.png" TargetMode="External"/><Relationship Id="rId447" Type="http://schemas.openxmlformats.org/officeDocument/2006/relationships/hyperlink" Target="https://i.postimg.cc/4NzNM4MY/Blue-Runner.png" TargetMode="External"/><Relationship Id="rId568" Type="http://schemas.openxmlformats.org/officeDocument/2006/relationships/hyperlink" Target="https://i.postimg.cc/pL9TLP24/063-2-Years-Later-Navigator-Nami.png" TargetMode="External"/><Relationship Id="rId689" Type="http://schemas.openxmlformats.org/officeDocument/2006/relationships/hyperlink" Target="https://i.postimg.cc/PxgT30Qb/Green-Runner.png" TargetMode="External"/><Relationship Id="rId204" Type="http://schemas.openxmlformats.org/officeDocument/2006/relationships/hyperlink" Target="https://i.postimg.cc/ZnJvDXzH/245-Disciple-of-the-Martial-Arts-Kung-Fu-Jugon.png" TargetMode="External"/><Relationship Id="rId325" Type="http://schemas.openxmlformats.org/officeDocument/2006/relationships/hyperlink" Target="https://i.postimg.cc/0NH8mz6B/Green-Attacker.png" TargetMode="External"/><Relationship Id="rId446" Type="http://schemas.openxmlformats.org/officeDocument/2006/relationships/hyperlink" Target="https://i.postimg.cc/DyZH9Z6V/124-Kid-Pirates-Fighter-Killer.png" TargetMode="External"/><Relationship Id="rId567" Type="http://schemas.openxmlformats.org/officeDocument/2006/relationships/hyperlink" Target="https://i.postimg.cc/m2xg81dx/Blue-Defender.png" TargetMode="External"/><Relationship Id="rId688" Type="http://schemas.openxmlformats.org/officeDocument/2006/relationships/hyperlink" Target="https://i.postimg.cc/tRhv86Wm/003-Straw-Hat-Pirates-Navigator-Nami.png" TargetMode="External"/><Relationship Id="rId203" Type="http://schemas.openxmlformats.org/officeDocument/2006/relationships/hyperlink" Target="https://i.postimg.cc/L6B2DCYf/Red-Attacker.png" TargetMode="External"/><Relationship Id="rId324" Type="http://schemas.openxmlformats.org/officeDocument/2006/relationships/hyperlink" Target="https://i.postimg.cc/XqNcyrqn/185-Don-Quixote-Pirates-Supreme-Officer-Vergo.png" TargetMode="External"/><Relationship Id="rId445" Type="http://schemas.openxmlformats.org/officeDocument/2006/relationships/hyperlink" Target="https://i.postimg.cc/qRhpGpyM/Green-Defender.png" TargetMode="External"/><Relationship Id="rId566" Type="http://schemas.openxmlformats.org/officeDocument/2006/relationships/hyperlink" Target="https://i.postimg.cc/SxwKXHRs/064-Revolutoonary-Army-Chief-of-Staff-Sabo.png" TargetMode="External"/><Relationship Id="rId687" Type="http://schemas.openxmlformats.org/officeDocument/2006/relationships/hyperlink" Target="https://i.postimg.cc/4NzNM4MY/Blue-Runner.png" TargetMode="External"/><Relationship Id="rId209" Type="http://schemas.openxmlformats.org/officeDocument/2006/relationships/hyperlink" Target="https://i.postimg.cc/m2xg81dx/Blue-Defender.png" TargetMode="External"/><Relationship Id="rId208" Type="http://schemas.openxmlformats.org/officeDocument/2006/relationships/hyperlink" Target="https://i.postimg.cc/sgbQRMRv/243-Former-Happosui-Army-12th-Chief-Chin-Jao.png" TargetMode="External"/><Relationship Id="rId329" Type="http://schemas.openxmlformats.org/officeDocument/2006/relationships/hyperlink" Target="https://i.postimg.cc/1zRtDxvf/Blue-Attacker.png" TargetMode="External"/><Relationship Id="rId207" Type="http://schemas.openxmlformats.org/officeDocument/2006/relationships/hyperlink" Target="https://i.postimg.cc/4NzNM4MY/Blue-Runner.png" TargetMode="External"/><Relationship Id="rId328" Type="http://schemas.openxmlformats.org/officeDocument/2006/relationships/hyperlink" Target="https://i.postimg.cc/HW3t19vn/183-Don-Quixote-Pirates-Captain-Don-Quixote-Doflamingo.png" TargetMode="External"/><Relationship Id="rId449" Type="http://schemas.openxmlformats.org/officeDocument/2006/relationships/hyperlink" Target="https://i.postimg.cc/PxgT30Qb/Green-Runner.png" TargetMode="External"/><Relationship Id="rId440" Type="http://schemas.openxmlformats.org/officeDocument/2006/relationships/hyperlink" Target="https://i.postimg.cc/RCG2pfcQ/127-Land-of-Wano-Onami.png" TargetMode="External"/><Relationship Id="rId561" Type="http://schemas.openxmlformats.org/officeDocument/2006/relationships/hyperlink" Target="https://i.postimg.cc/PxgT30Qb/Green-Runner.png" TargetMode="External"/><Relationship Id="rId682" Type="http://schemas.openxmlformats.org/officeDocument/2006/relationships/hyperlink" Target="https://i.postimg.cc/kgMHQ5VY/006-Straw-Hat-Pirates-Doctor-Tony-Tony-Chopper.png" TargetMode="External"/><Relationship Id="rId560" Type="http://schemas.openxmlformats.org/officeDocument/2006/relationships/hyperlink" Target="https://i.postimg.cc/fywyzXLf/067-Bonney-Pirates-Captain-Jewelry-Bonney.png" TargetMode="External"/><Relationship Id="rId681" Type="http://schemas.openxmlformats.org/officeDocument/2006/relationships/hyperlink" Target="https://i.postimg.cc/0NH8mz6B/Green-Attacker.png" TargetMode="External"/><Relationship Id="rId680" Type="http://schemas.openxmlformats.org/officeDocument/2006/relationships/hyperlink" Target="https://i.postimg.cc/bN9MSnv2/007-Straw-Hat-Pirates-Archaeologist-Nico-Robin.png" TargetMode="External"/><Relationship Id="rId202" Type="http://schemas.openxmlformats.org/officeDocument/2006/relationships/hyperlink" Target="https://i.postimg.cc/nLQmsv14/246-The-Kingdom-of-Prodence-King-Elizabello-II.png" TargetMode="External"/><Relationship Id="rId323" Type="http://schemas.openxmlformats.org/officeDocument/2006/relationships/hyperlink" Target="https://i.postimg.cc/P5XhRWY7/Red-Defender.png" TargetMode="External"/><Relationship Id="rId444" Type="http://schemas.openxmlformats.org/officeDocument/2006/relationships/hyperlink" Target="https://i.postimg.cc/pX64RHcm/125-New-World-Eustass-Kid.png" TargetMode="External"/><Relationship Id="rId565" Type="http://schemas.openxmlformats.org/officeDocument/2006/relationships/hyperlink" Target="https://i.postimg.cc/0NH8mz6B/Green-Attacker.png" TargetMode="External"/><Relationship Id="rId686" Type="http://schemas.openxmlformats.org/officeDocument/2006/relationships/hyperlink" Target="https://i.postimg.cc/SRpTJQFr/004-Straw-Hat-Pirates-Sharp-Shooter-Usopp.png" TargetMode="External"/><Relationship Id="rId201" Type="http://schemas.openxmlformats.org/officeDocument/2006/relationships/hyperlink" Target="https://i.postimg.cc/Hk6HDrtk/Red-Runner.png" TargetMode="External"/><Relationship Id="rId322" Type="http://schemas.openxmlformats.org/officeDocument/2006/relationships/hyperlink" Target="https://i.postimg.cc/26Dxrcfb/186-Don-Quixote-Pirates-Officer-Monet.png" TargetMode="External"/><Relationship Id="rId443" Type="http://schemas.openxmlformats.org/officeDocument/2006/relationships/hyperlink" Target="https://i.postimg.cc/L6B2DCYf/Red-Attacker.png" TargetMode="External"/><Relationship Id="rId564" Type="http://schemas.openxmlformats.org/officeDocument/2006/relationships/hyperlink" Target="https://i.postimg.cc/445n88LL/065-2-Years-Later-Cook-Sanji.png" TargetMode="External"/><Relationship Id="rId685" Type="http://schemas.openxmlformats.org/officeDocument/2006/relationships/hyperlink" Target="https://i.postimg.cc/1zRtDxvf/Blue-Attacker.png" TargetMode="External"/><Relationship Id="rId200" Type="http://schemas.openxmlformats.org/officeDocument/2006/relationships/hyperlink" Target="https://i.postimg.cc/htvTnFz3/247-Triple-X-Level-Boxer-Ideo.png" TargetMode="External"/><Relationship Id="rId321" Type="http://schemas.openxmlformats.org/officeDocument/2006/relationships/hyperlink" Target="https://i.postimg.cc/m2xg81dx/Blue-Defender.png" TargetMode="External"/><Relationship Id="rId442" Type="http://schemas.openxmlformats.org/officeDocument/2006/relationships/hyperlink" Target="https://i.postimg.cc/pL57d63q/126-Land-of-Wano-X-Drake.png" TargetMode="External"/><Relationship Id="rId563" Type="http://schemas.openxmlformats.org/officeDocument/2006/relationships/hyperlink" Target="https://i.postimg.cc/4NzNM4MY/Blue-Runner.png" TargetMode="External"/><Relationship Id="rId684" Type="http://schemas.openxmlformats.org/officeDocument/2006/relationships/hyperlink" Target="https://i.postimg.cc/P56R2kYX/005-Straw-Hat-Pirates-Cook-Sanji.png" TargetMode="External"/><Relationship Id="rId320" Type="http://schemas.openxmlformats.org/officeDocument/2006/relationships/hyperlink" Target="https://i.postimg.cc/dVgBSQH9/187-Whole-Cake-Island-Nami.png" TargetMode="External"/><Relationship Id="rId441" Type="http://schemas.openxmlformats.org/officeDocument/2006/relationships/hyperlink" Target="https://i.postimg.cc/PxgT30Qb/Green-Runner.png" TargetMode="External"/><Relationship Id="rId562" Type="http://schemas.openxmlformats.org/officeDocument/2006/relationships/hyperlink" Target="https://i.postimg.cc/RhXFNFJ5/066-2-Years-Later-Sharp-Shooter-Usopp.png" TargetMode="External"/><Relationship Id="rId683" Type="http://schemas.openxmlformats.org/officeDocument/2006/relationships/hyperlink" Target="https://i.postimg.cc/Hk6HDrtk/Red-Runner.png" TargetMode="External"/><Relationship Id="rId316" Type="http://schemas.openxmlformats.org/officeDocument/2006/relationships/hyperlink" Target="https://i.postimg.cc/X7Hxdk9m/189-Big-Mom-Pirates-Crewmate-Charlotte-Pudding.png" TargetMode="External"/><Relationship Id="rId437" Type="http://schemas.openxmlformats.org/officeDocument/2006/relationships/hyperlink" Target="https://i.postimg.cc/L6B2DCYf/Red-Attacker.png" TargetMode="External"/><Relationship Id="rId558" Type="http://schemas.openxmlformats.org/officeDocument/2006/relationships/hyperlink" Target="https://i.postimg.cc/W3mtcS24/068-Navy-HQ-Admiral-Kizaru-Borsalino.png" TargetMode="External"/><Relationship Id="rId679" Type="http://schemas.openxmlformats.org/officeDocument/2006/relationships/hyperlink" Target="https://i.postimg.cc/P5XhRWY7/Red-Defender.png" TargetMode="External"/><Relationship Id="rId315" Type="http://schemas.openxmlformats.org/officeDocument/2006/relationships/hyperlink" Target="https://i.postimg.cc/P5XhRWY7/Red-Defender.png" TargetMode="External"/><Relationship Id="rId436" Type="http://schemas.openxmlformats.org/officeDocument/2006/relationships/hyperlink" Target="https://i.postimg.cc/mkZJ22GH/129-CP0-Rob-Lucci.png" TargetMode="External"/><Relationship Id="rId557" Type="http://schemas.openxmlformats.org/officeDocument/2006/relationships/hyperlink" Target="https://i.postimg.cc/4NzNM4MY/Blue-Runner.png" TargetMode="External"/><Relationship Id="rId678" Type="http://schemas.openxmlformats.org/officeDocument/2006/relationships/hyperlink" Target="https://i.postimg.cc/3JTVw13T/008-Straw-Hat-Pirates-Ship-Carpenter-Franky.png" TargetMode="External"/><Relationship Id="rId314" Type="http://schemas.openxmlformats.org/officeDocument/2006/relationships/hyperlink" Target="https://i.postimg.cc/Hn3zSQRJ/190-Whole-Cake-Island-Jimbei.png" TargetMode="External"/><Relationship Id="rId435" Type="http://schemas.openxmlformats.org/officeDocument/2006/relationships/hyperlink" Target="https://i.postimg.cc/m2xg81dx/Blue-Defender.png" TargetMode="External"/><Relationship Id="rId556" Type="http://schemas.openxmlformats.org/officeDocument/2006/relationships/hyperlink" Target="https://i.postimg.cc/fLQkP1QF/069-2-Years-Later-Doctor-Tony-Tony-Chopper.png" TargetMode="External"/><Relationship Id="rId677" Type="http://schemas.openxmlformats.org/officeDocument/2006/relationships/hyperlink" Target="https://i.postimg.cc/PxgT30Qb/Green-Runner.png" TargetMode="External"/><Relationship Id="rId313" Type="http://schemas.openxmlformats.org/officeDocument/2006/relationships/hyperlink" Target="https://i.postimg.cc/4NzNM4MY/Blue-Runner.png" TargetMode="External"/><Relationship Id="rId434" Type="http://schemas.openxmlformats.org/officeDocument/2006/relationships/hyperlink" Target="https://i.postimg.cc/pTJ3H53v/130-Amaru-Eneru.png" TargetMode="External"/><Relationship Id="rId555" Type="http://schemas.openxmlformats.org/officeDocument/2006/relationships/hyperlink" Target="https://i.postimg.cc/L6B2DCYf/Red-Attacker.png" TargetMode="External"/><Relationship Id="rId676" Type="http://schemas.openxmlformats.org/officeDocument/2006/relationships/hyperlink" Target="https://i.postimg.cc/J7JSmvVx/009-Straw-Hat-Pirates-Musician-Brook.png" TargetMode="External"/><Relationship Id="rId319" Type="http://schemas.openxmlformats.org/officeDocument/2006/relationships/hyperlink" Target="https://i.postimg.cc/PxgT30Qb/Green-Runner.png" TargetMode="External"/><Relationship Id="rId318" Type="http://schemas.openxmlformats.org/officeDocument/2006/relationships/hyperlink" Target="https://i.postimg.cc/dVh6BZB1/188-Whole-Cake-Island-Brook.png" TargetMode="External"/><Relationship Id="rId439" Type="http://schemas.openxmlformats.org/officeDocument/2006/relationships/hyperlink" Target="https://i.postimg.cc/1zRtDxvf/Blue-Attacker.png" TargetMode="External"/><Relationship Id="rId317" Type="http://schemas.openxmlformats.org/officeDocument/2006/relationships/hyperlink" Target="https://i.postimg.cc/L6B2DCYf/Red-Attacker.png" TargetMode="External"/><Relationship Id="rId438" Type="http://schemas.openxmlformats.org/officeDocument/2006/relationships/hyperlink" Target="https://i.postimg.cc/J0TgyV1d/128-Land-of-Wano-Luffytaro.png" TargetMode="External"/><Relationship Id="rId559" Type="http://schemas.openxmlformats.org/officeDocument/2006/relationships/hyperlink" Target="https://i.postimg.cc/PxgT30Qb/Green-Runner.png" TargetMode="External"/><Relationship Id="rId550" Type="http://schemas.openxmlformats.org/officeDocument/2006/relationships/hyperlink" Target="https://i.postimg.cc/MGQvdqNV/072-2-Years-Later-Ship-Carpenter-Franky.png" TargetMode="External"/><Relationship Id="rId671" Type="http://schemas.openxmlformats.org/officeDocument/2006/relationships/hyperlink" Target="https://i.postimg.cc/qRhpGpyM/Green-Defender.png" TargetMode="External"/><Relationship Id="rId670" Type="http://schemas.openxmlformats.org/officeDocument/2006/relationships/hyperlink" Target="https://i.postimg.cc/wMKPLcJD/012-Alvida-Pirates-Captain-Alvida.png" TargetMode="External"/><Relationship Id="rId312" Type="http://schemas.openxmlformats.org/officeDocument/2006/relationships/hyperlink" Target="https://i.postimg.cc/NM6pXhxk/191-Roger-Pirates-First-Mate-Silvers-Rayliegh.png" TargetMode="External"/><Relationship Id="rId433" Type="http://schemas.openxmlformats.org/officeDocument/2006/relationships/hyperlink" Target="https://i.postimg.cc/Hk6HDrtk/Red-Runner.png" TargetMode="External"/><Relationship Id="rId554" Type="http://schemas.openxmlformats.org/officeDocument/2006/relationships/hyperlink" Target="https://i.postimg.cc/RZ8W7Nsv/070-2-Years-Later-Archaeologist-Nico-Robin.png" TargetMode="External"/><Relationship Id="rId675" Type="http://schemas.openxmlformats.org/officeDocument/2006/relationships/hyperlink" Target="https://i.postimg.cc/L6B2DCYf/Red-Attacker.png" TargetMode="External"/><Relationship Id="rId311" Type="http://schemas.openxmlformats.org/officeDocument/2006/relationships/hyperlink" Target="https://i.postimg.cc/PxgT30Qb/Green-Runner.png" TargetMode="External"/><Relationship Id="rId432" Type="http://schemas.openxmlformats.org/officeDocument/2006/relationships/hyperlink" Target="https://i.postimg.cc/k4mLzv1w/131-Surgeon-of-Death-Trafalger-Law.png" TargetMode="External"/><Relationship Id="rId553" Type="http://schemas.openxmlformats.org/officeDocument/2006/relationships/hyperlink" Target="https://i.postimg.cc/PxgT30Qb/Green-Runner.png" TargetMode="External"/><Relationship Id="rId674" Type="http://schemas.openxmlformats.org/officeDocument/2006/relationships/hyperlink" Target="https://i.postimg.cc/KjnWNkrw/010-Mountain-Bandits-Leader-Higuma-the-Bear.png" TargetMode="External"/><Relationship Id="rId310" Type="http://schemas.openxmlformats.org/officeDocument/2006/relationships/hyperlink" Target="https://i.postimg.cc/sgL6d4X7/192-Kurozumi-Spy-Kurozumi-Kanjuro.png" TargetMode="External"/><Relationship Id="rId431" Type="http://schemas.openxmlformats.org/officeDocument/2006/relationships/hyperlink" Target="https://i.postimg.cc/qRhpGpyM/Green-Defender.png" TargetMode="External"/><Relationship Id="rId552" Type="http://schemas.openxmlformats.org/officeDocument/2006/relationships/hyperlink" Target="https://i.postimg.cc/wj3tRhkW/071-2-Years-Later-Musician-Brook.png" TargetMode="External"/><Relationship Id="rId673" Type="http://schemas.openxmlformats.org/officeDocument/2006/relationships/hyperlink" Target="https://i.postimg.cc/P5XhRWY7/Red-Defender.png" TargetMode="External"/><Relationship Id="rId430" Type="http://schemas.openxmlformats.org/officeDocument/2006/relationships/hyperlink" Target="https://i.postimg.cc/fR349LS7/132-The-Undefeated-Woman-Rebecca.png" TargetMode="External"/><Relationship Id="rId551" Type="http://schemas.openxmlformats.org/officeDocument/2006/relationships/hyperlink" Target="https://i.postimg.cc/P5XhRWY7/Red-Defender.png" TargetMode="External"/><Relationship Id="rId672" Type="http://schemas.openxmlformats.org/officeDocument/2006/relationships/hyperlink" Target="https://i.postimg.cc/SsY3ntXy/011-Chore-Boy-Koby.p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i.postimg.cc/kX3sHzZ6/340-ASL-Ace-Sabo-Luffy-Bounty-Color-1.png" TargetMode="External"/><Relationship Id="rId2" Type="http://schemas.openxmlformats.org/officeDocument/2006/relationships/hyperlink" Target="https://i.postimg.cc/Prsy79cZ/340-ASL-Ace-Sabo-Luffy-Bounty-Color-2.png" TargetMode="External"/><Relationship Id="rId3" Type="http://schemas.openxmlformats.org/officeDocument/2006/relationships/hyperlink" Target="https://i.postimg.cc/xTD5Zh7N/340-ASL-Ace-Sabo-Luffy-Bounty-Color-3.png" TargetMode="External"/><Relationship Id="rId4" Type="http://schemas.openxmlformats.org/officeDocument/2006/relationships/hyperlink" Target="https://i.postimg.cc/28RGtMJW/340-ASL-Ace-Sabo-Luffy-Bounty-Color-4.png" TargetMode="External"/><Relationship Id="rId9" Type="http://schemas.openxmlformats.org/officeDocument/2006/relationships/hyperlink" Target="https://i.postimg.cc/NM8kv4PP/339-Winner-Island-Trafalgar-Law-Bounty-Color-1.png" TargetMode="External"/><Relationship Id="rId143" Type="http://schemas.openxmlformats.org/officeDocument/2006/relationships/hyperlink" Target="https://i.postimg.cc/7hbZbDhB/103-The-Seven-Warlords-of-the-Sea-Marshall-D-Teach-Bounty-Color-A.png" TargetMode="External"/><Relationship Id="rId142" Type="http://schemas.openxmlformats.org/officeDocument/2006/relationships/hyperlink" Target="https://i.postimg.cc/Y0VqWVmt/134-Hunger-Pangs-Charlotte-Linlin-Bounty-Color-A.png" TargetMode="External"/><Relationship Id="rId141" Type="http://schemas.openxmlformats.org/officeDocument/2006/relationships/hyperlink" Target="https://i.postimg.cc/XYzqfYrZ/150-Daimyo-of-Kuri-Kozuki-Oden-Bounty-Color-2.png" TargetMode="External"/><Relationship Id="rId140" Type="http://schemas.openxmlformats.org/officeDocument/2006/relationships/hyperlink" Target="https://i.postimg.cc/wxbBZt4n/150-Daimyo-of-Kuri-Kozuki-Oden-Bounty-Color-A.png" TargetMode="External"/><Relationship Id="rId5" Type="http://schemas.openxmlformats.org/officeDocument/2006/relationships/hyperlink" Target="https://i.postimg.cc/pXbCS47f/341-The-Four-Emperors-Marshall-D-Teach-Bounty-Color-1.png" TargetMode="External"/><Relationship Id="rId6" Type="http://schemas.openxmlformats.org/officeDocument/2006/relationships/hyperlink" Target="https://i.postimg.cc/MK25LN40/341-The-Four-Emperors-Marshall-D-Teach-Bounty-Color-2.png" TargetMode="External"/><Relationship Id="rId146" Type="http://schemas.openxmlformats.org/officeDocument/2006/relationships/drawing" Target="../drawings/drawing3.xml"/><Relationship Id="rId7" Type="http://schemas.openxmlformats.org/officeDocument/2006/relationships/hyperlink" Target="https://i.postimg.cc/Prsy79cR/341-The-Four-Emperors-Marshall-D-Teach-Bounty-Color-3.png" TargetMode="External"/><Relationship Id="rId145" Type="http://schemas.openxmlformats.org/officeDocument/2006/relationships/hyperlink" Target="https://i.postimg.cc/zfSBc04k/086-Big-Mom-Pirates-Sweet-3-General-Charlotte-Katakuri-Bounty-Color-A.png" TargetMode="External"/><Relationship Id="rId8" Type="http://schemas.openxmlformats.org/officeDocument/2006/relationships/hyperlink" Target="https://i.postimg.cc/qMVwFSYF/341-The-Four-Emperors-Marshall-D-Teach-Bounty-Color-4.png" TargetMode="External"/><Relationship Id="rId144" Type="http://schemas.openxmlformats.org/officeDocument/2006/relationships/hyperlink" Target="https://i.postimg.cc/9MLfWzmR/100-Son-of-the-King-of-the-Pirates-Portgaz-D-Ace-Bounty-Color-A.png" TargetMode="External"/><Relationship Id="rId139" Type="http://schemas.openxmlformats.org/officeDocument/2006/relationships/hyperlink" Target="https://i.postimg.cc/5NYtVxZy/154-King-of-the-Pirates-Gol-D-Roger-Bounty-Color-A.png" TargetMode="External"/><Relationship Id="rId138" Type="http://schemas.openxmlformats.org/officeDocument/2006/relationships/hyperlink" Target="https://i.postimg.cc/jdpSqpbX/157-Hero-of-the-Navy-Monkey-D-Garb-Bounty-Color-A.png" TargetMode="External"/><Relationship Id="rId137" Type="http://schemas.openxmlformats.org/officeDocument/2006/relationships/hyperlink" Target="https://i.postimg.cc/SxQkKkPc/278-Whole-Cake-Island-Carrot-Bounty-Color-A.png" TargetMode="External"/><Relationship Id="rId132" Type="http://schemas.openxmlformats.org/officeDocument/2006/relationships/hyperlink" Target="https://i.postimg.cc/Kzpm6Vft/191-Roger-Pirates-First-Mate-Silvers-Rayliegh-Bounty-Color-A.png" TargetMode="External"/><Relationship Id="rId131" Type="http://schemas.openxmlformats.org/officeDocument/2006/relationships/hyperlink" Target="https://i.postimg.cc/SRXmkr13/193-Former-Whitebeard-Pirates-16th-Division-Commander-Izo-Bounty-Color-A.png" TargetMode="External"/><Relationship Id="rId130" Type="http://schemas.openxmlformats.org/officeDocument/2006/relationships/hyperlink" Target="https://i.postimg.cc/fy6DL96L/194-Kaido-s-Son-Yamato-Bounty-Color-A.png" TargetMode="External"/><Relationship Id="rId136" Type="http://schemas.openxmlformats.org/officeDocument/2006/relationships/hyperlink" Target="https://i.postimg.cc/Jzj4sp7W/168-Raid-on-Onigashima-Monkey-D-Luffy-Bounty-Color-A.png" TargetMode="External"/><Relationship Id="rId135" Type="http://schemas.openxmlformats.org/officeDocument/2006/relationships/hyperlink" Target="https://i.postimg.cc/Y9Cpyk6p/178-Navy-HQ-Fleet-ADmiral-Akainu-Sakazuki-Bounty-Color-C.png" TargetMode="External"/><Relationship Id="rId134" Type="http://schemas.openxmlformats.org/officeDocument/2006/relationships/hyperlink" Target="https://i.postimg.cc/yNP1PWSQ/178-Navy-HQ-Fleet-ADmiral-Akainu-Sakazuki-Bounty-Color-B.png" TargetMode="External"/><Relationship Id="rId133" Type="http://schemas.openxmlformats.org/officeDocument/2006/relationships/hyperlink" Target="https://i.postimg.cc/fbZWmYkS/178-Navy-HQ-Fleet-ADmiral-Akainu-Sakazuki-Bounty-Color-A.png" TargetMode="External"/><Relationship Id="rId40" Type="http://schemas.openxmlformats.org/officeDocument/2006/relationships/hyperlink" Target="https://i.postimg.cc/htzLLzx0/327-Egghead-Usopp-Bounty-Color-4.png" TargetMode="External"/><Relationship Id="rId42" Type="http://schemas.openxmlformats.org/officeDocument/2006/relationships/hyperlink" Target="https://i.postimg.cc/V6cWLfJW/327-Egghead-Nami-Bounty-Color-2.png" TargetMode="External"/><Relationship Id="rId41" Type="http://schemas.openxmlformats.org/officeDocument/2006/relationships/hyperlink" Target="https://i.postimg.cc/9f9BhRQf/327-Egghead-Nami-Bounty-Color-1.png" TargetMode="External"/><Relationship Id="rId44" Type="http://schemas.openxmlformats.org/officeDocument/2006/relationships/hyperlink" Target="https://i.postimg.cc/zBSSysWZ/327-Egghead-Nami-Bounty-Color-4.png" TargetMode="External"/><Relationship Id="rId43" Type="http://schemas.openxmlformats.org/officeDocument/2006/relationships/hyperlink" Target="https://i.postimg.cc/0jkGDVd6/327-Egghead-Nami-Bounty-Color-3.png" TargetMode="External"/><Relationship Id="rId46" Type="http://schemas.openxmlformats.org/officeDocument/2006/relationships/hyperlink" Target="https://i.postimg.cc/NjVFvFv6/326-Blind-Swordsman-Fujitora-Issho-Bounty-Color-2.png" TargetMode="External"/><Relationship Id="rId45" Type="http://schemas.openxmlformats.org/officeDocument/2006/relationships/hyperlink" Target="https://i.postimg.cc/gcD0kNPk/326-Blind-Swordsman-Fujitora-Issho-Bounty-Color-1.png" TargetMode="External"/><Relationship Id="rId48" Type="http://schemas.openxmlformats.org/officeDocument/2006/relationships/hyperlink" Target="https://i.postimg.cc/cH7L3cgh/326-Blind-Swordsman-Fujitora-Issho-Bounty-Color-4.png" TargetMode="External"/><Relationship Id="rId47" Type="http://schemas.openxmlformats.org/officeDocument/2006/relationships/hyperlink" Target="https://i.postimg.cc/K84jWLwc/326-Blind-Swordsman-Fujitora-Issho-Bounty-Color-3.png" TargetMode="External"/><Relationship Id="rId49" Type="http://schemas.openxmlformats.org/officeDocument/2006/relationships/hyperlink" Target="https://i.postimg.cc/7YdfGCgS/325-Groves-of-Wrath-Ryokugyu-Aramaki-Bounty-Color-A.png" TargetMode="External"/><Relationship Id="rId31" Type="http://schemas.openxmlformats.org/officeDocument/2006/relationships/hyperlink" Target="https://i.postimg.cc/3xFQ4fM0/331-Egghead-Tony-Tony-Chopper-Bounty-Color-A.png" TargetMode="External"/><Relationship Id="rId30" Type="http://schemas.openxmlformats.org/officeDocument/2006/relationships/hyperlink" Target="https://i.postimg.cc/d0QP8Rvh/332-Egghead-Nico-Robin-Bounty-Color-C.png" TargetMode="External"/><Relationship Id="rId33" Type="http://schemas.openxmlformats.org/officeDocument/2006/relationships/hyperlink" Target="https://i.postimg.cc/BvZ9x5sZ/331-Egghead-Tony-Tony-Chopper-Bounty-Color-C.png" TargetMode="External"/><Relationship Id="rId32" Type="http://schemas.openxmlformats.org/officeDocument/2006/relationships/hyperlink" Target="https://i.postimg.cc/jS4Yw3VL/331-Egghead-Tony-Tony-Chopper-Bounty-Color-B.png" TargetMode="External"/><Relationship Id="rId35" Type="http://schemas.openxmlformats.org/officeDocument/2006/relationships/hyperlink" Target="https://i.postimg.cc/tCHZ00Ww/330-Egghead-Brook-Bounty-Color-2.png" TargetMode="External"/><Relationship Id="rId34" Type="http://schemas.openxmlformats.org/officeDocument/2006/relationships/hyperlink" Target="https://i.postimg.cc/Nfw9hhmC/330-Egghead-Brook-Bounty-Color-1.png" TargetMode="External"/><Relationship Id="rId37" Type="http://schemas.openxmlformats.org/officeDocument/2006/relationships/hyperlink" Target="https://i.postimg.cc/8k4mNVNL/327-Egghead-Usopp-Bounty-Color-1.png" TargetMode="External"/><Relationship Id="rId36" Type="http://schemas.openxmlformats.org/officeDocument/2006/relationships/hyperlink" Target="https://i.postimg.cc/KvykXXBV/330-Egghead-Brook-Bounty-Color-3.png" TargetMode="External"/><Relationship Id="rId39" Type="http://schemas.openxmlformats.org/officeDocument/2006/relationships/hyperlink" Target="https://i.postimg.cc/DyYQ4dWZ/327-Egghead-Usopp-Bounty-Color-3.png" TargetMode="External"/><Relationship Id="rId38" Type="http://schemas.openxmlformats.org/officeDocument/2006/relationships/hyperlink" Target="https://i.postimg.cc/SNK7Ktx3/327-Egghead-Usopp-Bounty-Color-2.png" TargetMode="External"/><Relationship Id="rId20" Type="http://schemas.openxmlformats.org/officeDocument/2006/relationships/hyperlink" Target="https://i.postimg.cc/3w0RnQGL/335-Egghead-Jimbie-Bounty-Color-1.png" TargetMode="External"/><Relationship Id="rId22" Type="http://schemas.openxmlformats.org/officeDocument/2006/relationships/hyperlink" Target="https://i.postimg.cc/fbSLBQdp/335-Egghead-Jimbie-Bounty-Color-3.png" TargetMode="External"/><Relationship Id="rId21" Type="http://schemas.openxmlformats.org/officeDocument/2006/relationships/hyperlink" Target="https://i.postimg.cc/SKYsDb9v/335-Egghead-Jimbie-Bounty-Color-2.png" TargetMode="External"/><Relationship Id="rId24" Type="http://schemas.openxmlformats.org/officeDocument/2006/relationships/hyperlink" Target="https://i.postimg.cc/Nfw9hhRf/334-Egghead-Franky-Bounty-Color-1.png" TargetMode="External"/><Relationship Id="rId23" Type="http://schemas.openxmlformats.org/officeDocument/2006/relationships/hyperlink" Target="https://i.postimg.cc/Prsy79cR/341-The-Four-Emperors-Marshall-D-Teach-Bounty-Color-3.png" TargetMode="External"/><Relationship Id="rId26" Type="http://schemas.openxmlformats.org/officeDocument/2006/relationships/hyperlink" Target="https://i.postimg.cc/RVz6rrKY/334-Egghead-Franky-Bounty-Color-3.png" TargetMode="External"/><Relationship Id="rId25" Type="http://schemas.openxmlformats.org/officeDocument/2006/relationships/hyperlink" Target="https://i.postimg.cc/vHdgRR5Z/334-Egghead-Franky-Bounty-Color-2.png" TargetMode="External"/><Relationship Id="rId28" Type="http://schemas.openxmlformats.org/officeDocument/2006/relationships/hyperlink" Target="https://i.postimg.cc/q7BV8c0J/332-Egghead-Nico-Robin-Bounty-Color-A.png" TargetMode="External"/><Relationship Id="rId27" Type="http://schemas.openxmlformats.org/officeDocument/2006/relationships/hyperlink" Target="https://i.postimg.cc/qMVwFSYF/341-The-Four-Emperors-Marshall-D-Teach-Bounty-Color-4.png" TargetMode="External"/><Relationship Id="rId29" Type="http://schemas.openxmlformats.org/officeDocument/2006/relationships/hyperlink" Target="https://i.postimg.cc/zfDZnw5V/332-Egghead-Nico-Robin-Bounty-Color-B.png" TargetMode="External"/><Relationship Id="rId11" Type="http://schemas.openxmlformats.org/officeDocument/2006/relationships/hyperlink" Target="https://i.postimg.cc/FRXV6qG2/339-Winner-Island-Trafalgar-Law-Bounty-Color-3.png" TargetMode="External"/><Relationship Id="rId10" Type="http://schemas.openxmlformats.org/officeDocument/2006/relationships/hyperlink" Target="https://i.postimg.cc/MT0mJDr3/339-Winner-Island-Trafalgar-Law-Bounty-Color-2.png" TargetMode="External"/><Relationship Id="rId13" Type="http://schemas.openxmlformats.org/officeDocument/2006/relationships/hyperlink" Target="https://i.postimg.cc/C1ps2tJ2/338-Winner-Island-Bepo-Bounty-Color-2.png" TargetMode="External"/><Relationship Id="rId12" Type="http://schemas.openxmlformats.org/officeDocument/2006/relationships/hyperlink" Target="https://i.postimg.cc/wvYQrPFZ/338-Winner-Island-Bepo-Bounty-Color-1.png" TargetMode="External"/><Relationship Id="rId15" Type="http://schemas.openxmlformats.org/officeDocument/2006/relationships/hyperlink" Target="https://i.postimg.cc/fyhqxy6X/336-Father-and-Daughter-Kuma-Bonney-Bounty-Color-1.png" TargetMode="External"/><Relationship Id="rId14" Type="http://schemas.openxmlformats.org/officeDocument/2006/relationships/hyperlink" Target="https://i.postimg.cc/26N7tJTJ/338-Winner-Island-Bepo-Bounty-Color-3.png" TargetMode="External"/><Relationship Id="rId17" Type="http://schemas.openxmlformats.org/officeDocument/2006/relationships/hyperlink" Target="https://i.postimg.cc/pXbCS47f/341-The-Four-Emperors-Marshall-D-Teach-Bounty-Color-1.png" TargetMode="External"/><Relationship Id="rId16" Type="http://schemas.openxmlformats.org/officeDocument/2006/relationships/hyperlink" Target="https://i.postimg.cc/Y0fn8kH4/336-Father-and-Daughter-Kuma-Bonney-Bounty-Color-2.png" TargetMode="External"/><Relationship Id="rId19" Type="http://schemas.openxmlformats.org/officeDocument/2006/relationships/hyperlink" Target="https://i.postimg.cc/MK25LN40/341-The-Four-Emperors-Marshall-D-Teach-Bounty-Color-2.png" TargetMode="External"/><Relationship Id="rId18" Type="http://schemas.openxmlformats.org/officeDocument/2006/relationships/hyperlink" Target="https://i.postimg.cc/qqdD8q9y/336-Father-and-Daughter-Kuma-Bonney-Bounty-Color-3.png" TargetMode="External"/><Relationship Id="rId84" Type="http://schemas.openxmlformats.org/officeDocument/2006/relationships/hyperlink" Target="https://i.postimg.cc/fRPphsQz/300-Punk-02-Lilith-Bounty-Color-B.png" TargetMode="External"/><Relationship Id="rId83" Type="http://schemas.openxmlformats.org/officeDocument/2006/relationships/hyperlink" Target="https://i.postimg.cc/mgkJqDqp/300-Punk-02-Lilith-Bounty-Color-A.png" TargetMode="External"/><Relationship Id="rId86" Type="http://schemas.openxmlformats.org/officeDocument/2006/relationships/hyperlink" Target="https://i.postimg.cc/J419NKQL/298-The-Red-Broggy-Bounty-Color-A.png" TargetMode="External"/><Relationship Id="rId85" Type="http://schemas.openxmlformats.org/officeDocument/2006/relationships/hyperlink" Target="https://i.postimg.cc/5tFG4rfw/300-Punk-02-Lilith-Bounty-Color-C.png" TargetMode="External"/><Relationship Id="rId88" Type="http://schemas.openxmlformats.org/officeDocument/2006/relationships/hyperlink" Target="https://i.postimg.cc/cCcPq802/297-The-Blue-Dorry-Bounty-Color-A.png" TargetMode="External"/><Relationship Id="rId87" Type="http://schemas.openxmlformats.org/officeDocument/2006/relationships/hyperlink" Target="https://i.postimg.cc/jdZBZN8J/298-The-Red-Broggy-Bounty-Color-B.png" TargetMode="External"/><Relationship Id="rId89" Type="http://schemas.openxmlformats.org/officeDocument/2006/relationships/hyperlink" Target="https://i.postimg.cc/ryGBR7xj/297-The-Blue-Dorry-Bounty-Color-B.png" TargetMode="External"/><Relationship Id="rId80" Type="http://schemas.openxmlformats.org/officeDocument/2006/relationships/hyperlink" Target="https://i.postimg.cc/FR567xKw/305-Egghead-Sanji-Bounty-Color-A.png" TargetMode="External"/><Relationship Id="rId82" Type="http://schemas.openxmlformats.org/officeDocument/2006/relationships/hyperlink" Target="https://i.postimg.cc/L5m0V6LT/305-Egghead-Sanji-Bounty-Color-C.png" TargetMode="External"/><Relationship Id="rId81" Type="http://schemas.openxmlformats.org/officeDocument/2006/relationships/hyperlink" Target="https://i.postimg.cc/qRs5nChq/305-Egghead-Sanji-Bounty-Color-B.png" TargetMode="External"/><Relationship Id="rId73" Type="http://schemas.openxmlformats.org/officeDocument/2006/relationships/hyperlink" Target="https://i.postimg.cc/htNy50Vh/308-Legendary-Hero-Monkey-D-Garp-Bounty-Color-B.png" TargetMode="External"/><Relationship Id="rId72" Type="http://schemas.openxmlformats.org/officeDocument/2006/relationships/hyperlink" Target="https://i.postimg.cc/VkJZghr3/308-Legendary-Hero-Monkey-D-Garp-Bounty-Color-A.png" TargetMode="External"/><Relationship Id="rId75" Type="http://schemas.openxmlformats.org/officeDocument/2006/relationships/hyperlink" Target="https://i.postimg.cc/DZTC2yjT/308-Legendary-Hero-Monkey-D-Garp-Bounty-Color-D.png" TargetMode="External"/><Relationship Id="rId74" Type="http://schemas.openxmlformats.org/officeDocument/2006/relationships/hyperlink" Target="https://i.postimg.cc/QM54GWqm/308-Legendary-Hero-Monkey-D-Garp-Bounty-Color-C.png" TargetMode="External"/><Relationship Id="rId77" Type="http://schemas.openxmlformats.org/officeDocument/2006/relationships/hyperlink" Target="https://i.postimg.cc/ZYLQ5pzD/306-Egghead-Jewelry-Bonney-Bounty-Color-B.png" TargetMode="External"/><Relationship Id="rId76" Type="http://schemas.openxmlformats.org/officeDocument/2006/relationships/hyperlink" Target="https://i.postimg.cc/brLVVcRj/306-Egghead-Jewelry-Bonney-Bounty-Color-A.png" TargetMode="External"/><Relationship Id="rId79" Type="http://schemas.openxmlformats.org/officeDocument/2006/relationships/hyperlink" Target="https://i.postimg.cc/tCSmhbT3/306-Egghead-Jewelry-Bonney-Bounty-Color-D.png" TargetMode="External"/><Relationship Id="rId78" Type="http://schemas.openxmlformats.org/officeDocument/2006/relationships/hyperlink" Target="https://i.postimg.cc/RVVD6hMC/306-Egghead-Jewelry-Bonney-Bounty-Color-C.png" TargetMode="External"/><Relationship Id="rId71" Type="http://schemas.openxmlformats.org/officeDocument/2006/relationships/hyperlink" Target="https://i.postimg.cc/7hBXM1xH/309-Navy-HQ-Captain-Koby-Bounty-Color-C.png" TargetMode="External"/><Relationship Id="rId70" Type="http://schemas.openxmlformats.org/officeDocument/2006/relationships/hyperlink" Target="https://i.postimg.cc/90XJ7gHg/309-Navy-HQ-Captain-Koby-Bounty-Color-B.png" TargetMode="External"/><Relationship Id="rId62" Type="http://schemas.openxmlformats.org/officeDocument/2006/relationships/hyperlink" Target="https://i.postimg.cc/RZJJX1MP/316-Strong-Strong-Fruit-Jesus-Burgess-Bounty-Color-C.png" TargetMode="External"/><Relationship Id="rId61" Type="http://schemas.openxmlformats.org/officeDocument/2006/relationships/hyperlink" Target="https://i.postimg.cc/jdFJH3rw/316-Strong-Strong-Fruit-Jesus-Burgess-Bounty-Color-B.png" TargetMode="External"/><Relationship Id="rId64" Type="http://schemas.openxmlformats.org/officeDocument/2006/relationships/hyperlink" Target="https://i.postimg.cc/QC6Kn09z/312-Flame-Emperor-Sabo-Bounty-Color-B.png" TargetMode="External"/><Relationship Id="rId63" Type="http://schemas.openxmlformats.org/officeDocument/2006/relationships/hyperlink" Target="https://i.postimg.cc/FRVL099N/312-Flame-Emperor-Sabo-Bounty-Color-A.png" TargetMode="External"/><Relationship Id="rId66" Type="http://schemas.openxmlformats.org/officeDocument/2006/relationships/hyperlink" Target="https://i.postimg.cc/dQnWYFGb/310-Blackbeard-Pirates-Kuzan-Bounty-Color-A.png" TargetMode="External"/><Relationship Id="rId65" Type="http://schemas.openxmlformats.org/officeDocument/2006/relationships/hyperlink" Target="https://i.postimg.cc/59pz0N7m/312-Flame-Emperor-Sabo-Bounty-Color-C.png" TargetMode="External"/><Relationship Id="rId68" Type="http://schemas.openxmlformats.org/officeDocument/2006/relationships/hyperlink" Target="https://i.postimg.cc/Y02m3J9g/310-Blackbeard-Pirates-Kuzan-Bounty-Color-C.png" TargetMode="External"/><Relationship Id="rId67" Type="http://schemas.openxmlformats.org/officeDocument/2006/relationships/hyperlink" Target="https://i.postimg.cc/Wb35pynh/310-Blackbeard-Pirates-Kuzan-Bounty-Color-B.png" TargetMode="External"/><Relationship Id="rId60" Type="http://schemas.openxmlformats.org/officeDocument/2006/relationships/hyperlink" Target="https://i.postimg.cc/yYdZS42C/316-Strong-Strong-Fruit-Jesus-Burgess-Bounty-Color-A.png" TargetMode="External"/><Relationship Id="rId69" Type="http://schemas.openxmlformats.org/officeDocument/2006/relationships/hyperlink" Target="https://i.postimg.cc/V6WK5Qpb/309-Navy-HQ-Captain-Koby-Bounty-Color-A.png" TargetMode="External"/><Relationship Id="rId51" Type="http://schemas.openxmlformats.org/officeDocument/2006/relationships/hyperlink" Target="https://i.postimg.cc/6pZTd90g/325-Groves-of-Wrath-Ryokugyu-Aramaki-Bounty-Color-C.png" TargetMode="External"/><Relationship Id="rId50" Type="http://schemas.openxmlformats.org/officeDocument/2006/relationships/hyperlink" Target="https://i.postimg.cc/25fyGP96/325-Groves-of-Wrath-Ryokugyu-Aramaki-Bounty-Color-B.png" TargetMode="External"/><Relationship Id="rId53" Type="http://schemas.openxmlformats.org/officeDocument/2006/relationships/hyperlink" Target="https://i.postimg.cc/DZ6S8Bgz/324-Ama-no-Murakumo-Sword-Kizaru-Borsalino-Bounty-Color-A.png" TargetMode="External"/><Relationship Id="rId52" Type="http://schemas.openxmlformats.org/officeDocument/2006/relationships/hyperlink" Target="https://i.postimg.cc/B6S6920f/325-Groves-of-Wrath-Ryokugyu-Aramaki-Bounty-Color-D.png" TargetMode="External"/><Relationship Id="rId55" Type="http://schemas.openxmlformats.org/officeDocument/2006/relationships/hyperlink" Target="https://i.postimg.cc/cC56cCPy/324-Ama-no-Murakumo-Sword-Kizaru-Borsalino-Bounty-Color-C.png" TargetMode="External"/><Relationship Id="rId54" Type="http://schemas.openxmlformats.org/officeDocument/2006/relationships/hyperlink" Target="https://i.postimg.cc/nrLC7BRG/324-Ama-no-Murakumo-Sword-Kizaru-Borsalino-Bounty-Color-B.png" TargetMode="External"/><Relationship Id="rId57" Type="http://schemas.openxmlformats.org/officeDocument/2006/relationships/hyperlink" Target="https://i.postimg.cc/43C7MKyX/317-Clear-Clear-Fruit-Shiryu-Bounty-Color-A.png" TargetMode="External"/><Relationship Id="rId56" Type="http://schemas.openxmlformats.org/officeDocument/2006/relationships/hyperlink" Target="https://i.postimg.cc/qBmtrDqb/324-Ama-no-Murakumo-Sword-Kizaru-Borsalino-Bounty-Color-D.png" TargetMode="External"/><Relationship Id="rId59" Type="http://schemas.openxmlformats.org/officeDocument/2006/relationships/hyperlink" Target="https://i.postimg.cc/26rqkPnJ/317-Clear-Clear-Fruit-Shiryu-Bounty-Color-C.png" TargetMode="External"/><Relationship Id="rId58" Type="http://schemas.openxmlformats.org/officeDocument/2006/relationships/hyperlink" Target="https://i.postimg.cc/nLvjtH9B/317-Clear-Clear-Fruit-Shiryu-Bounty-Color-B.png" TargetMode="External"/><Relationship Id="rId107" Type="http://schemas.openxmlformats.org/officeDocument/2006/relationships/hyperlink" Target="https://i.postimg.cc/3x9rjdGL/261-Raid-on-Onigashima-Sanji-Bounty-Color-A.png" TargetMode="External"/><Relationship Id="rId106" Type="http://schemas.openxmlformats.org/officeDocument/2006/relationships/hyperlink" Target="https://i.postimg.cc/5t04sbqf/263-Lunarian-Alber-Bounty-Color-A.png" TargetMode="External"/><Relationship Id="rId105" Type="http://schemas.openxmlformats.org/officeDocument/2006/relationships/hyperlink" Target="https://i.postimg.cc/CKQFtXmk/270-Raid-on-Onigashima-Tony-Tony-Chopper-Bounty-Color-A.png" TargetMode="External"/><Relationship Id="rId104" Type="http://schemas.openxmlformats.org/officeDocument/2006/relationships/hyperlink" Target="https://i.postimg.cc/LXgHMDb7/271-Raid-on-Onigashima-Franky-Bounty-Color-A.png" TargetMode="External"/><Relationship Id="rId109" Type="http://schemas.openxmlformats.org/officeDocument/2006/relationships/hyperlink" Target="https://i.postimg.cc/q7BV8c03/259-Singer-of-the-New-Genesis-Uta-Bounty-Color-B.png" TargetMode="External"/><Relationship Id="rId108" Type="http://schemas.openxmlformats.org/officeDocument/2006/relationships/hyperlink" Target="https://i.postimg.cc/YCtqm1vG/259-Singer-of-the-New-Genesis-Uta-Bounty-Color-A.png" TargetMode="External"/><Relationship Id="rId103" Type="http://schemas.openxmlformats.org/officeDocument/2006/relationships/hyperlink" Target="https://i.postimg.cc/gj9GcR90/274-Shogun-of-Wano-Kozuki-Momonosuke-Bounty-Color-A.png" TargetMode="External"/><Relationship Id="rId102" Type="http://schemas.openxmlformats.org/officeDocument/2006/relationships/hyperlink" Target="https://i.postimg.cc/Y01Mv9kz/275-Fire-Fist-Ogre-Princess-Ace-Yamato-Bounty-Color-A.png" TargetMode="External"/><Relationship Id="rId101" Type="http://schemas.openxmlformats.org/officeDocument/2006/relationships/hyperlink" Target="https://i.postimg.cc/xT39Yc60/276-Great-Pirate-Edward-Newgate-Bounty-Color-A.png" TargetMode="External"/><Relationship Id="rId100" Type="http://schemas.openxmlformats.org/officeDocument/2006/relationships/hyperlink" Target="https://i.postimg.cc/5tTVpv2m/279-Great-Pirate-Gol-D-Roger-Bounty-Color-B.png" TargetMode="External"/><Relationship Id="rId129" Type="http://schemas.openxmlformats.org/officeDocument/2006/relationships/hyperlink" Target="https://i.postimg.cc/1RT9MkfQ/209-Animal-Kingdom-Pirates-Tobi-Roppo-Ulti-Bounty-Color-A.png" TargetMode="External"/><Relationship Id="rId128" Type="http://schemas.openxmlformats.org/officeDocument/2006/relationships/hyperlink" Target="https://i.postimg.cc/wTm9rwms/211-Land-of-Wano-Marco-Bounty-Color-A.png" TargetMode="External"/><Relationship Id="rId127" Type="http://schemas.openxmlformats.org/officeDocument/2006/relationships/hyperlink" Target="https://i.postimg.cc/ZK559pTP/215-FILM-Z-Zephyr-Bounty-Color-4.png" TargetMode="External"/><Relationship Id="rId126" Type="http://schemas.openxmlformats.org/officeDocument/2006/relationships/hyperlink" Target="https://i.postimg.cc/wM0xfTks/215-FILM-Z-Zephyr-Bounty-Color-3.png" TargetMode="External"/><Relationship Id="rId121" Type="http://schemas.openxmlformats.org/officeDocument/2006/relationships/hyperlink" Target="https://i.postimg.cc/wB6H7Hbh/234-Battle-of-Monsters-on-Onigashima-Kaido-Bounty-Color-A.png" TargetMode="External"/><Relationship Id="rId120" Type="http://schemas.openxmlformats.org/officeDocument/2006/relationships/hyperlink" Target="https://i.postimg.cc/cHzN931m/235-Raid-on-Onigashima-Roronoa-Zoro-Bounty-Color-B.png" TargetMode="External"/><Relationship Id="rId125" Type="http://schemas.openxmlformats.org/officeDocument/2006/relationships/hyperlink" Target="https://i.postimg.cc/7hxYnTSk/215-FILM-Z-Zephyr-Bounty-Color-2.png" TargetMode="External"/><Relationship Id="rId124" Type="http://schemas.openxmlformats.org/officeDocument/2006/relationships/hyperlink" Target="https://i.postimg.cc/fb9LzsM6/215-FILM-Z-Zephyr-Bounty-Color-1.png" TargetMode="External"/><Relationship Id="rId123" Type="http://schemas.openxmlformats.org/officeDocument/2006/relationships/hyperlink" Target="https://i.postimg.cc/L8k29hv9/233-Battle-of-Monsters-on-Onigashima-Olin-the-Oiran-Bounty-Color-A.png" TargetMode="External"/><Relationship Id="rId122" Type="http://schemas.openxmlformats.org/officeDocument/2006/relationships/hyperlink" Target="https://i.postimg.cc/LsNSP7rG/234-Battle-of-Monsters-on-Onigashima-Kaido-Bounty-Color-B.png" TargetMode="External"/><Relationship Id="rId95" Type="http://schemas.openxmlformats.org/officeDocument/2006/relationships/hyperlink" Target="https://i.postimg.cc/1znxgtrV/289-Egghead-Roronoa-Zoro-Bounty-Color-C.png" TargetMode="External"/><Relationship Id="rId94" Type="http://schemas.openxmlformats.org/officeDocument/2006/relationships/hyperlink" Target="https://i.postimg.cc/pL1bX8zt/289-Egghead-Roronoa-Zoro-Bounty-Color-B.png" TargetMode="External"/><Relationship Id="rId97" Type="http://schemas.openxmlformats.org/officeDocument/2006/relationships/hyperlink" Target="https://i.postimg.cc/J0WWCLJD/287-Egghead-Monkey-D-Luffy-Bounty-Color-B.png" TargetMode="External"/><Relationship Id="rId96" Type="http://schemas.openxmlformats.org/officeDocument/2006/relationships/hyperlink" Target="https://i.postimg.cc/fLdhPL3Q/287-Egghead-Monkey-D-Luffy-Bounty-Color-A.png" TargetMode="External"/><Relationship Id="rId99" Type="http://schemas.openxmlformats.org/officeDocument/2006/relationships/hyperlink" Target="https://i.postimg.cc/7ZBDGjvd/279-Great-Pirate-Gol-D-Roger-Bounty-Color-A.png" TargetMode="External"/><Relationship Id="rId98" Type="http://schemas.openxmlformats.org/officeDocument/2006/relationships/hyperlink" Target="https://i.postimg.cc/5yqWxRqP/287-Egghead-Monkey-D-Luffy-Bounty-Color-C.png" TargetMode="External"/><Relationship Id="rId91" Type="http://schemas.openxmlformats.org/officeDocument/2006/relationships/hyperlink" Target="https://i.postimg.cc/MTVhDF4W/296-Divine-Departure-Shanks-Bounty-Color-B.png" TargetMode="External"/><Relationship Id="rId90" Type="http://schemas.openxmlformats.org/officeDocument/2006/relationships/hyperlink" Target="https://i.postimg.cc/Jh9fjLp6/296-Divine-Departure-Shanks-Bounty-Color-A.png" TargetMode="External"/><Relationship Id="rId93" Type="http://schemas.openxmlformats.org/officeDocument/2006/relationships/hyperlink" Target="https://i.postimg.cc/nc2fgNLr/289-Egghead-Roronoa-Zoro-Bounty-Color-A.png" TargetMode="External"/><Relationship Id="rId92" Type="http://schemas.openxmlformats.org/officeDocument/2006/relationships/hyperlink" Target="https://i.postimg.cc/sxzb0Jd5/296-Divine-Departure-Shanks-Bounty-Color-C.png" TargetMode="External"/><Relationship Id="rId118" Type="http://schemas.openxmlformats.org/officeDocument/2006/relationships/hyperlink" Target="https://i.postimg.cc/gcfxrXy8/236-Raid-on-Onigashima-Jinbe-Bounty-Color-A.png" TargetMode="External"/><Relationship Id="rId117" Type="http://schemas.openxmlformats.org/officeDocument/2006/relationships/hyperlink" Target="https://i.postimg.cc/c1KKsM3d/238-First-Act-as-a-Married-Couple-Charlotte-Pudding-Bounty-Color-A.png" TargetMode="External"/><Relationship Id="rId116" Type="http://schemas.openxmlformats.org/officeDocument/2006/relationships/hyperlink" Target="https://i.postimg.cc/NLqvYwH2/248-Raid-on-Onigashima-Nico-Robin-Bounty-Color-A.png" TargetMode="External"/><Relationship Id="rId115" Type="http://schemas.openxmlformats.org/officeDocument/2006/relationships/hyperlink" Target="https://i.postimg.cc/65nyZWzS/249-Raid-on-Onigashima-Brook-Bounty-Color-A.png" TargetMode="External"/><Relationship Id="rId119" Type="http://schemas.openxmlformats.org/officeDocument/2006/relationships/hyperlink" Target="https://i.postimg.cc/pTrHJCvr/235-Raid-on-Onigashima-Roronoa-Zoro-Bounty-Color-A.png" TargetMode="External"/><Relationship Id="rId110" Type="http://schemas.openxmlformats.org/officeDocument/2006/relationships/hyperlink" Target="https://i.postimg.cc/HsDLTGHt/258-Raid-on-Onigashima-Killer-Bounty-Color-A.png" TargetMode="External"/><Relationship Id="rId114" Type="http://schemas.openxmlformats.org/officeDocument/2006/relationships/hyperlink" Target="https://i.postimg.cc/Bn3tcrVv/251-Raid-on-Onigashima-Nami-Bounty-Color-A.png" TargetMode="External"/><Relationship Id="rId113" Type="http://schemas.openxmlformats.org/officeDocument/2006/relationships/hyperlink" Target="https://i.postimg.cc/L8V5yxc3/252-Raid-on-Onigashima-Usopp-Bounty-Color-A.png" TargetMode="External"/><Relationship Id="rId112" Type="http://schemas.openxmlformats.org/officeDocument/2006/relationships/hyperlink" Target="https://i.postimg.cc/Wzrb08mr/257-Battle-of-Monsters-on-Onigashima-Kid-Law-Bounty-Color-B.png" TargetMode="External"/><Relationship Id="rId111" Type="http://schemas.openxmlformats.org/officeDocument/2006/relationships/hyperlink" Target="https://i.postimg.cc/FKWRv7sf/257-Battle-of-Monsters-on-Onigashima-Kid-Law-Bounty-Color-A.png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i.postimg.cc/QMHV7f5m/23-01-10.png" TargetMode="External"/><Relationship Id="rId194" Type="http://schemas.openxmlformats.org/officeDocument/2006/relationships/drawing" Target="../drawings/drawing4.xml"/><Relationship Id="rId193" Type="http://schemas.openxmlformats.org/officeDocument/2006/relationships/hyperlink" Target="https://i.postimg.cc/8PmFgJNR/23-01-01-1.png" TargetMode="External"/><Relationship Id="rId192" Type="http://schemas.openxmlformats.org/officeDocument/2006/relationships/hyperlink" Target="https://i.postimg.cc/j2zD5CNr/23-01-01-2.png" TargetMode="External"/><Relationship Id="rId191" Type="http://schemas.openxmlformats.org/officeDocument/2006/relationships/hyperlink" Target="https://i.postimg.cc/MZRMt3Lr/23-01-03.png" TargetMode="External"/><Relationship Id="rId187" Type="http://schemas.openxmlformats.org/officeDocument/2006/relationships/hyperlink" Target="https://i.postimg.cc/L84J998r/23-01-19.png" TargetMode="External"/><Relationship Id="rId186" Type="http://schemas.openxmlformats.org/officeDocument/2006/relationships/hyperlink" Target="https://i.postimg.cc/L8ynhcqh/23-01-26.png" TargetMode="External"/><Relationship Id="rId185" Type="http://schemas.openxmlformats.org/officeDocument/2006/relationships/hyperlink" Target="https://i.postimg.cc/JnXn6tpB/23-01-31.png" TargetMode="External"/><Relationship Id="rId184" Type="http://schemas.openxmlformats.org/officeDocument/2006/relationships/hyperlink" Target="https://i.postimg.cc/c1QCfgKp/23-02-02.png" TargetMode="External"/><Relationship Id="rId189" Type="http://schemas.openxmlformats.org/officeDocument/2006/relationships/hyperlink" Target="https://i.postimg.cc/SNhXP7FQ/23-01-12.png" TargetMode="External"/><Relationship Id="rId188" Type="http://schemas.openxmlformats.org/officeDocument/2006/relationships/hyperlink" Target="https://i.postimg.cc/9fK0YyYh/23-01-17.png" TargetMode="External"/><Relationship Id="rId183" Type="http://schemas.openxmlformats.org/officeDocument/2006/relationships/hyperlink" Target="https://i.postimg.cc/sx92zqdj/23-02-06.png" TargetMode="External"/><Relationship Id="rId182" Type="http://schemas.openxmlformats.org/officeDocument/2006/relationships/hyperlink" Target="https://i.postimg.cc/T3H3TnSD/23-02-09.png" TargetMode="External"/><Relationship Id="rId181" Type="http://schemas.openxmlformats.org/officeDocument/2006/relationships/hyperlink" Target="https://i.postimg.cc/Z5qqkwfm/23-02-13.png" TargetMode="External"/><Relationship Id="rId180" Type="http://schemas.openxmlformats.org/officeDocument/2006/relationships/hyperlink" Target="https://i.postimg.cc/tgZCJYQm/23-02-16.png" TargetMode="External"/><Relationship Id="rId176" Type="http://schemas.openxmlformats.org/officeDocument/2006/relationships/hyperlink" Target="https://i.postimg.cc/6qw9Mc7D/23-03-03.png" TargetMode="External"/><Relationship Id="rId175" Type="http://schemas.openxmlformats.org/officeDocument/2006/relationships/hyperlink" Target="https://i.postimg.cc/zvjq6hK3/23-03-06.png" TargetMode="External"/><Relationship Id="rId174" Type="http://schemas.openxmlformats.org/officeDocument/2006/relationships/hyperlink" Target="https://i.postimg.cc/vHYY9Pwn/23-03-09.png" TargetMode="External"/><Relationship Id="rId173" Type="http://schemas.openxmlformats.org/officeDocument/2006/relationships/hyperlink" Target="https://i.postimg.cc/dt5q98Jx/23-03-14.png" TargetMode="External"/><Relationship Id="rId179" Type="http://schemas.openxmlformats.org/officeDocument/2006/relationships/hyperlink" Target="https://i.postimg.cc/8C2k6NTk/23-02-21.png" TargetMode="External"/><Relationship Id="rId178" Type="http://schemas.openxmlformats.org/officeDocument/2006/relationships/hyperlink" Target="https://i.postimg.cc/SNdKtBfV/23-02-24.png" TargetMode="External"/><Relationship Id="rId177" Type="http://schemas.openxmlformats.org/officeDocument/2006/relationships/hyperlink" Target="https://i.postimg.cc/50845TtB/23-02-28.png" TargetMode="External"/><Relationship Id="rId150" Type="http://schemas.openxmlformats.org/officeDocument/2006/relationships/hyperlink" Target="https://i.postimg.cc/yxmJvf4m/23-05-17.png" TargetMode="External"/><Relationship Id="rId1" Type="http://schemas.openxmlformats.org/officeDocument/2006/relationships/hyperlink" Target="https://i.postimg.cc/vHYh7thD/Discounted-Scout.png" TargetMode="External"/><Relationship Id="rId2" Type="http://schemas.openxmlformats.org/officeDocument/2006/relationships/hyperlink" Target="https://i.postimg.cc/BZcN1Vxd/Step-Up-Ticket-Scout.png" TargetMode="External"/><Relationship Id="rId3" Type="http://schemas.openxmlformats.org/officeDocument/2006/relationships/hyperlink" Target="https://i.postimg.cc/QM909Nbb/Normal-Scout.png" TargetMode="External"/><Relationship Id="rId149" Type="http://schemas.openxmlformats.org/officeDocument/2006/relationships/hyperlink" Target="https://i.postimg.cc/Nft25wmp/23-05-23.png" TargetMode="External"/><Relationship Id="rId4" Type="http://schemas.openxmlformats.org/officeDocument/2006/relationships/hyperlink" Target="https://i.postimg.cc/Kvqn38xS/24-07-30-2.png" TargetMode="External"/><Relationship Id="rId148" Type="http://schemas.openxmlformats.org/officeDocument/2006/relationships/hyperlink" Target="https://i.postimg.cc/Qxq97nqs/23-05-26.png" TargetMode="External"/><Relationship Id="rId9" Type="http://schemas.openxmlformats.org/officeDocument/2006/relationships/hyperlink" Target="https://i.postimg.cc/KvR1VrSw/24-07-15.png" TargetMode="External"/><Relationship Id="rId143" Type="http://schemas.openxmlformats.org/officeDocument/2006/relationships/hyperlink" Target="https://i.postimg.cc/rmX74qYJ/23-06-15.png" TargetMode="External"/><Relationship Id="rId142" Type="http://schemas.openxmlformats.org/officeDocument/2006/relationships/hyperlink" Target="https://i.postimg.cc/pTf4Y3wt/23-06-20.png" TargetMode="External"/><Relationship Id="rId141" Type="http://schemas.openxmlformats.org/officeDocument/2006/relationships/hyperlink" Target="https://i.postimg.cc/DzbtmS50/23-06-22.png" TargetMode="External"/><Relationship Id="rId140" Type="http://schemas.openxmlformats.org/officeDocument/2006/relationships/hyperlink" Target="https://i.postimg.cc/sDTFLdvj/23-06-23.png" TargetMode="External"/><Relationship Id="rId5" Type="http://schemas.openxmlformats.org/officeDocument/2006/relationships/hyperlink" Target="https://i.postimg.cc/jdF7d34R/24-07-30-1.png" TargetMode="External"/><Relationship Id="rId147" Type="http://schemas.openxmlformats.org/officeDocument/2006/relationships/hyperlink" Target="https://i.postimg.cc/4xNKQb8c/23-05-30.png" TargetMode="External"/><Relationship Id="rId6" Type="http://schemas.openxmlformats.org/officeDocument/2006/relationships/hyperlink" Target="https://i.postimg.cc/LsdgjqW7/24-07-23.png" TargetMode="External"/><Relationship Id="rId146" Type="http://schemas.openxmlformats.org/officeDocument/2006/relationships/hyperlink" Target="https://i.postimg.cc/hthFWyd9/23-06-06.png" TargetMode="External"/><Relationship Id="rId7" Type="http://schemas.openxmlformats.org/officeDocument/2006/relationships/hyperlink" Target="https://i.postimg.cc/cLt8K7Fw/24-07-19.png" TargetMode="External"/><Relationship Id="rId145" Type="http://schemas.openxmlformats.org/officeDocument/2006/relationships/hyperlink" Target="https://i.postimg.cc/J4rVK47Y/23-06-09.png" TargetMode="External"/><Relationship Id="rId8" Type="http://schemas.openxmlformats.org/officeDocument/2006/relationships/hyperlink" Target="https://i.postimg.cc/LX2q0c23/24-07-17.png" TargetMode="External"/><Relationship Id="rId144" Type="http://schemas.openxmlformats.org/officeDocument/2006/relationships/hyperlink" Target="https://i.postimg.cc/bw57zxx4/23-06-13.png" TargetMode="External"/><Relationship Id="rId139" Type="http://schemas.openxmlformats.org/officeDocument/2006/relationships/hyperlink" Target="https://i.postimg.cc/J0RgTP8H/23-06-29.png" TargetMode="External"/><Relationship Id="rId138" Type="http://schemas.openxmlformats.org/officeDocument/2006/relationships/hyperlink" Target="https://i.postimg.cc/D05NRLfj/23-06-30.png" TargetMode="External"/><Relationship Id="rId137" Type="http://schemas.openxmlformats.org/officeDocument/2006/relationships/hyperlink" Target="https://i.postimg.cc/qMKytTW1/23-07-04.png" TargetMode="External"/><Relationship Id="rId132" Type="http://schemas.openxmlformats.org/officeDocument/2006/relationships/hyperlink" Target="https://i.postimg.cc/KcwtvzpK/23-07-18.png" TargetMode="External"/><Relationship Id="rId131" Type="http://schemas.openxmlformats.org/officeDocument/2006/relationships/hyperlink" Target="https://i.postimg.cc/kgFScyJ8/23-07-20.png" TargetMode="External"/><Relationship Id="rId130" Type="http://schemas.openxmlformats.org/officeDocument/2006/relationships/hyperlink" Target="https://i.postimg.cc/jdfk4CDN/23-07-24.png" TargetMode="External"/><Relationship Id="rId136" Type="http://schemas.openxmlformats.org/officeDocument/2006/relationships/hyperlink" Target="https://i.postimg.cc/MG6QrjHL/23-07-06.png" TargetMode="External"/><Relationship Id="rId135" Type="http://schemas.openxmlformats.org/officeDocument/2006/relationships/hyperlink" Target="https://i.postimg.cc/j5kPfdsF/23-07-10.png" TargetMode="External"/><Relationship Id="rId134" Type="http://schemas.openxmlformats.org/officeDocument/2006/relationships/hyperlink" Target="https://i.postimg.cc/BvmKWQ1n/23-07-13.png" TargetMode="External"/><Relationship Id="rId133" Type="http://schemas.openxmlformats.org/officeDocument/2006/relationships/hyperlink" Target="https://i.postimg.cc/HxLbj7CM/23-07-17.png" TargetMode="External"/><Relationship Id="rId172" Type="http://schemas.openxmlformats.org/officeDocument/2006/relationships/hyperlink" Target="https://i.postimg.cc/4xMsDs7v/23-03-16.png" TargetMode="External"/><Relationship Id="rId171" Type="http://schemas.openxmlformats.org/officeDocument/2006/relationships/hyperlink" Target="https://i.postimg.cc/6Qvtwgnk/23-03-20.png" TargetMode="External"/><Relationship Id="rId170" Type="http://schemas.openxmlformats.org/officeDocument/2006/relationships/hyperlink" Target="https://i.postimg.cc/hjRgGs0f/23-03-23.png" TargetMode="External"/><Relationship Id="rId165" Type="http://schemas.openxmlformats.org/officeDocument/2006/relationships/hyperlink" Target="https://i.postimg.cc/tJ6ZHS6M/23-04-06.png" TargetMode="External"/><Relationship Id="rId164" Type="http://schemas.openxmlformats.org/officeDocument/2006/relationships/hyperlink" Target="https://i.postimg.cc/wvZyZ81N/23-04-07.png" TargetMode="External"/><Relationship Id="rId163" Type="http://schemas.openxmlformats.org/officeDocument/2006/relationships/hyperlink" Target="https://i.postimg.cc/YqcLx7KK/23-04-11.png" TargetMode="External"/><Relationship Id="rId162" Type="http://schemas.openxmlformats.org/officeDocument/2006/relationships/hyperlink" Target="https://i.postimg.cc/fbW90v4V/23-04-13.png" TargetMode="External"/><Relationship Id="rId169" Type="http://schemas.openxmlformats.org/officeDocument/2006/relationships/hyperlink" Target="https://i.postimg.cc/d1RFZCWn/23-03-24.png" TargetMode="External"/><Relationship Id="rId168" Type="http://schemas.openxmlformats.org/officeDocument/2006/relationships/hyperlink" Target="https://i.postimg.cc/x802vdhQ/23-03-30.png" TargetMode="External"/><Relationship Id="rId167" Type="http://schemas.openxmlformats.org/officeDocument/2006/relationships/hyperlink" Target="https://i.postimg.cc/vT3d3swV/23-03-31.png" TargetMode="External"/><Relationship Id="rId166" Type="http://schemas.openxmlformats.org/officeDocument/2006/relationships/hyperlink" Target="https://i.postimg.cc/pTp5sXLx/23-04-03.png" TargetMode="External"/><Relationship Id="rId161" Type="http://schemas.openxmlformats.org/officeDocument/2006/relationships/hyperlink" Target="https://i.postimg.cc/tgrVdVy2/23-04-14.png" TargetMode="External"/><Relationship Id="rId160" Type="http://schemas.openxmlformats.org/officeDocument/2006/relationships/hyperlink" Target="https://i.postimg.cc/15pnCdsg/23-04-20.png" TargetMode="External"/><Relationship Id="rId159" Type="http://schemas.openxmlformats.org/officeDocument/2006/relationships/hyperlink" Target="https://i.postimg.cc/WpqJr3yw/23-04-25.png" TargetMode="External"/><Relationship Id="rId154" Type="http://schemas.openxmlformats.org/officeDocument/2006/relationships/hyperlink" Target="https://i.postimg.cc/VkDCxHS4/23-05-08.png" TargetMode="External"/><Relationship Id="rId153" Type="http://schemas.openxmlformats.org/officeDocument/2006/relationships/hyperlink" Target="https://i.postimg.cc/HLN7xc9y/23-05-09.png" TargetMode="External"/><Relationship Id="rId152" Type="http://schemas.openxmlformats.org/officeDocument/2006/relationships/hyperlink" Target="https://i.postimg.cc/bJ2S2ymF/23-05-11.png" TargetMode="External"/><Relationship Id="rId151" Type="http://schemas.openxmlformats.org/officeDocument/2006/relationships/hyperlink" Target="https://i.postimg.cc/BnqFwGvX/23-05-15.png" TargetMode="External"/><Relationship Id="rId158" Type="http://schemas.openxmlformats.org/officeDocument/2006/relationships/hyperlink" Target="https://i.postimg.cc/JzMy9Qzp/23-04-27.png" TargetMode="External"/><Relationship Id="rId157" Type="http://schemas.openxmlformats.org/officeDocument/2006/relationships/hyperlink" Target="https://i.postimg.cc/Fz5dyMqF/23-05-01.png" TargetMode="External"/><Relationship Id="rId156" Type="http://schemas.openxmlformats.org/officeDocument/2006/relationships/hyperlink" Target="https://i.postimg.cc/BvbK4cH3/23-05-03.png" TargetMode="External"/><Relationship Id="rId155" Type="http://schemas.openxmlformats.org/officeDocument/2006/relationships/hyperlink" Target="https://i.postimg.cc/c1w8xJgv/23-05-05.png" TargetMode="External"/><Relationship Id="rId40" Type="http://schemas.openxmlformats.org/officeDocument/2006/relationships/hyperlink" Target="https://i.postimg.cc/qqKqbM1n/24-04-16.png" TargetMode="External"/><Relationship Id="rId42" Type="http://schemas.openxmlformats.org/officeDocument/2006/relationships/hyperlink" Target="https://i.postimg.cc/HWyTqSvq/24-04-15-1.png" TargetMode="External"/><Relationship Id="rId41" Type="http://schemas.openxmlformats.org/officeDocument/2006/relationships/hyperlink" Target="https://i.postimg.cc/vZ3yrCDV/24-04-15-2.png" TargetMode="External"/><Relationship Id="rId44" Type="http://schemas.openxmlformats.org/officeDocument/2006/relationships/hyperlink" Target="https://i.postimg.cc/CKMZh0KT/24-04-11.png" TargetMode="External"/><Relationship Id="rId43" Type="http://schemas.openxmlformats.org/officeDocument/2006/relationships/hyperlink" Target="https://i.postimg.cc/zGrbQKZf/24-04-12.png" TargetMode="External"/><Relationship Id="rId46" Type="http://schemas.openxmlformats.org/officeDocument/2006/relationships/hyperlink" Target="https://i.postimg.cc/Z5ZYFrc1/24-04-08-1.png" TargetMode="External"/><Relationship Id="rId45" Type="http://schemas.openxmlformats.org/officeDocument/2006/relationships/hyperlink" Target="https://i.postimg.cc/kM0gDrtM/24-04-08-2.png" TargetMode="External"/><Relationship Id="rId48" Type="http://schemas.openxmlformats.org/officeDocument/2006/relationships/hyperlink" Target="https://i.postimg.cc/xChq3b3n/24-04-03.png" TargetMode="External"/><Relationship Id="rId47" Type="http://schemas.openxmlformats.org/officeDocument/2006/relationships/hyperlink" Target="https://i.postimg.cc/6pf2xqtf/24-04-05.png" TargetMode="External"/><Relationship Id="rId49" Type="http://schemas.openxmlformats.org/officeDocument/2006/relationships/hyperlink" Target="https://i.postimg.cc/d0WhDf77/24-04-01-2.png" TargetMode="External"/><Relationship Id="rId31" Type="http://schemas.openxmlformats.org/officeDocument/2006/relationships/hyperlink" Target="https://i.postimg.cc/x8x8RVqB/24-05-05-2.png" TargetMode="External"/><Relationship Id="rId30" Type="http://schemas.openxmlformats.org/officeDocument/2006/relationships/hyperlink" Target="https://i.postimg.cc/ZYVWZpjj/24-05-08.png" TargetMode="External"/><Relationship Id="rId33" Type="http://schemas.openxmlformats.org/officeDocument/2006/relationships/hyperlink" Target="https://i.postimg.cc/vHM0RL1T/24-04-29.png" TargetMode="External"/><Relationship Id="rId32" Type="http://schemas.openxmlformats.org/officeDocument/2006/relationships/hyperlink" Target="https://i.postimg.cc/0j2rDy5p/24-05-05-1.png" TargetMode="External"/><Relationship Id="rId35" Type="http://schemas.openxmlformats.org/officeDocument/2006/relationships/hyperlink" Target="https://i.postimg.cc/6qVz2TPB/24-04-23.png" TargetMode="External"/><Relationship Id="rId34" Type="http://schemas.openxmlformats.org/officeDocument/2006/relationships/hyperlink" Target="https://i.postimg.cc/c4mXdgYm/24-04-25.png" TargetMode="External"/><Relationship Id="rId37" Type="http://schemas.openxmlformats.org/officeDocument/2006/relationships/hyperlink" Target="https://i.postimg.cc/tRZgXRJm/24-04-22-1.png" TargetMode="External"/><Relationship Id="rId36" Type="http://schemas.openxmlformats.org/officeDocument/2006/relationships/hyperlink" Target="https://i.postimg.cc/m272HdQY/24-04-22-2.png" TargetMode="External"/><Relationship Id="rId39" Type="http://schemas.openxmlformats.org/officeDocument/2006/relationships/hyperlink" Target="https://i.postimg.cc/SQcgttxH/24-04-18.png" TargetMode="External"/><Relationship Id="rId38" Type="http://schemas.openxmlformats.org/officeDocument/2006/relationships/hyperlink" Target="https://i.postimg.cc/52KgFhsQ/24-04-19.png" TargetMode="External"/><Relationship Id="rId20" Type="http://schemas.openxmlformats.org/officeDocument/2006/relationships/hyperlink" Target="https://i.postimg.cc/wM2tD0NT/24-06-07.png" TargetMode="External"/><Relationship Id="rId22" Type="http://schemas.openxmlformats.org/officeDocument/2006/relationships/hyperlink" Target="https://i.postimg.cc/bNrsvrBP/24-05-30.png" TargetMode="External"/><Relationship Id="rId21" Type="http://schemas.openxmlformats.org/officeDocument/2006/relationships/hyperlink" Target="https://i.postimg.cc/yYn9RYhX/24-06-03.png" TargetMode="External"/><Relationship Id="rId24" Type="http://schemas.openxmlformats.org/officeDocument/2006/relationships/hyperlink" Target="https://i.postimg.cc/HsNj8mqy/24-05-24.png" TargetMode="External"/><Relationship Id="rId23" Type="http://schemas.openxmlformats.org/officeDocument/2006/relationships/hyperlink" Target="https://i.postimg.cc/vZ6TWjyS/24-05-28.png" TargetMode="External"/><Relationship Id="rId26" Type="http://schemas.openxmlformats.org/officeDocument/2006/relationships/hyperlink" Target="https://i.postimg.cc/mDTrWgH0/24-05-17.png" TargetMode="External"/><Relationship Id="rId25" Type="http://schemas.openxmlformats.org/officeDocument/2006/relationships/hyperlink" Target="https://i.postimg.cc/ZqtRjcKY/24-05-21.png" TargetMode="External"/><Relationship Id="rId28" Type="http://schemas.openxmlformats.org/officeDocument/2006/relationships/hyperlink" Target="https://i.postimg.cc/3NRJWf91/24-05-14.png" TargetMode="External"/><Relationship Id="rId27" Type="http://schemas.openxmlformats.org/officeDocument/2006/relationships/hyperlink" Target="https://i.postimg.cc/QtSd8ZgV/24-05-16.png" TargetMode="External"/><Relationship Id="rId29" Type="http://schemas.openxmlformats.org/officeDocument/2006/relationships/hyperlink" Target="https://i.postimg.cc/RFTNWHmS/24-05-10.png" TargetMode="External"/><Relationship Id="rId11" Type="http://schemas.openxmlformats.org/officeDocument/2006/relationships/hyperlink" Target="https://i.postimg.cc/138DG13g/24-07-11.png" TargetMode="External"/><Relationship Id="rId10" Type="http://schemas.openxmlformats.org/officeDocument/2006/relationships/hyperlink" Target="https://i.postimg.cc/htmf4DG0/24-07-12.png" TargetMode="External"/><Relationship Id="rId13" Type="http://schemas.openxmlformats.org/officeDocument/2006/relationships/hyperlink" Target="https://i.postimg.cc/VLLqNCyW/24-07-04.png" TargetMode="External"/><Relationship Id="rId12" Type="http://schemas.openxmlformats.org/officeDocument/2006/relationships/hyperlink" Target="https://i.postimg.cc/05CGxC4N/24-07-05.png" TargetMode="External"/><Relationship Id="rId15" Type="http://schemas.openxmlformats.org/officeDocument/2006/relationships/hyperlink" Target="https://i.postimg.cc/BZT2qCXz/24-06-24.png" TargetMode="External"/><Relationship Id="rId14" Type="http://schemas.openxmlformats.org/officeDocument/2006/relationships/hyperlink" Target="https://i.postimg.cc/RVvKqntZ/24-06-27.png" TargetMode="External"/><Relationship Id="rId17" Type="http://schemas.openxmlformats.org/officeDocument/2006/relationships/hyperlink" Target="https://i.postimg.cc/k4rtCV99/24-06-17.png" TargetMode="External"/><Relationship Id="rId16" Type="http://schemas.openxmlformats.org/officeDocument/2006/relationships/hyperlink" Target="https://i.postimg.cc/fRLdfnB4/24-06-20.png" TargetMode="External"/><Relationship Id="rId19" Type="http://schemas.openxmlformats.org/officeDocument/2006/relationships/hyperlink" Target="https://i.postimg.cc/kGq6VkBp/24-06-11.png" TargetMode="External"/><Relationship Id="rId18" Type="http://schemas.openxmlformats.org/officeDocument/2006/relationships/hyperlink" Target="https://i.postimg.cc/cHQtLs43/24-06-14.png" TargetMode="External"/><Relationship Id="rId84" Type="http://schemas.openxmlformats.org/officeDocument/2006/relationships/hyperlink" Target="https://i.postimg.cc/3rFzsk8T/23-12-12.png" TargetMode="External"/><Relationship Id="rId83" Type="http://schemas.openxmlformats.org/officeDocument/2006/relationships/hyperlink" Target="https://i.postimg.cc/bwW5xbTQ/23-12-15.png" TargetMode="External"/><Relationship Id="rId86" Type="http://schemas.openxmlformats.org/officeDocument/2006/relationships/hyperlink" Target="https://i.postimg.cc/q7tT04mG/23-12-05.png" TargetMode="External"/><Relationship Id="rId85" Type="http://schemas.openxmlformats.org/officeDocument/2006/relationships/hyperlink" Target="https://i.postimg.cc/MpHkbz88/23-12-07.png" TargetMode="External"/><Relationship Id="rId88" Type="http://schemas.openxmlformats.org/officeDocument/2006/relationships/hyperlink" Target="https://i.postimg.cc/htD4FFWC/23-11-28.png" TargetMode="External"/><Relationship Id="rId87" Type="http://schemas.openxmlformats.org/officeDocument/2006/relationships/hyperlink" Target="https://i.postimg.cc/QNcjHNj4/23-11-30.png" TargetMode="External"/><Relationship Id="rId89" Type="http://schemas.openxmlformats.org/officeDocument/2006/relationships/hyperlink" Target="https://i.postimg.cc/vBgHPWFb/23-11-24.png" TargetMode="External"/><Relationship Id="rId80" Type="http://schemas.openxmlformats.org/officeDocument/2006/relationships/hyperlink" Target="https://i.postimg.cc/0N1f5CnH/23-12-26.png" TargetMode="External"/><Relationship Id="rId82" Type="http://schemas.openxmlformats.org/officeDocument/2006/relationships/hyperlink" Target="https://i.postimg.cc/52Y72yVj/23-12-20.png" TargetMode="External"/><Relationship Id="rId81" Type="http://schemas.openxmlformats.org/officeDocument/2006/relationships/hyperlink" Target="https://i.postimg.cc/MTxd5Yjj/23-12-22.png" TargetMode="External"/><Relationship Id="rId73" Type="http://schemas.openxmlformats.org/officeDocument/2006/relationships/hyperlink" Target="https://i.postimg.cc/VstXvtSx/24-01-18.png" TargetMode="External"/><Relationship Id="rId72" Type="http://schemas.openxmlformats.org/officeDocument/2006/relationships/hyperlink" Target="https://i.postimg.cc/13vq2cTq/24-01-24.png" TargetMode="External"/><Relationship Id="rId75" Type="http://schemas.openxmlformats.org/officeDocument/2006/relationships/hyperlink" Target="https://i.postimg.cc/sXv9w0gx/24-01-10.png" TargetMode="External"/><Relationship Id="rId74" Type="http://schemas.openxmlformats.org/officeDocument/2006/relationships/hyperlink" Target="https://i.postimg.cc/4NCbQPk4/24-01-15.png" TargetMode="External"/><Relationship Id="rId77" Type="http://schemas.openxmlformats.org/officeDocument/2006/relationships/hyperlink" Target="https://i.postimg.cc/HkD5bkMr/24-01-01-2.png" TargetMode="External"/><Relationship Id="rId76" Type="http://schemas.openxmlformats.org/officeDocument/2006/relationships/hyperlink" Target="https://i.postimg.cc/Vs24H1M8/24-01-05.png" TargetMode="External"/><Relationship Id="rId79" Type="http://schemas.openxmlformats.org/officeDocument/2006/relationships/hyperlink" Target="https://i.postimg.cc/sDB9pL0N/23-12-28.png" TargetMode="External"/><Relationship Id="rId78" Type="http://schemas.openxmlformats.org/officeDocument/2006/relationships/hyperlink" Target="https://i.postimg.cc/j5dyC37v/24-01-01-1.png" TargetMode="External"/><Relationship Id="rId71" Type="http://schemas.openxmlformats.org/officeDocument/2006/relationships/hyperlink" Target="https://i.postimg.cc/3r2DYHV7/24-01-29.png" TargetMode="External"/><Relationship Id="rId70" Type="http://schemas.openxmlformats.org/officeDocument/2006/relationships/hyperlink" Target="https://i.postimg.cc/XvTp62gp/24-01-31.png" TargetMode="External"/><Relationship Id="rId62" Type="http://schemas.openxmlformats.org/officeDocument/2006/relationships/hyperlink" Target="https://i.postimg.cc/BQdyDHN2/24-02-27.png" TargetMode="External"/><Relationship Id="rId61" Type="http://schemas.openxmlformats.org/officeDocument/2006/relationships/hyperlink" Target="https://i.postimg.cc/76stL2fG/24-03-01.png" TargetMode="External"/><Relationship Id="rId64" Type="http://schemas.openxmlformats.org/officeDocument/2006/relationships/hyperlink" Target="https://i.postimg.cc/L6nKjHSF/24-02-20.png" TargetMode="External"/><Relationship Id="rId63" Type="http://schemas.openxmlformats.org/officeDocument/2006/relationships/hyperlink" Target="https://i.postimg.cc/mDbKk4jq/24-02-22.png" TargetMode="External"/><Relationship Id="rId66" Type="http://schemas.openxmlformats.org/officeDocument/2006/relationships/hyperlink" Target="https://i.postimg.cc/4y8GsyTB/24-02-14.png" TargetMode="External"/><Relationship Id="rId65" Type="http://schemas.openxmlformats.org/officeDocument/2006/relationships/hyperlink" Target="https://i.postimg.cc/xC5D38qn/24-02-16.png" TargetMode="External"/><Relationship Id="rId68" Type="http://schemas.openxmlformats.org/officeDocument/2006/relationships/hyperlink" Target="https://i.postimg.cc/nhWLqdg0/24-02-05.png" TargetMode="External"/><Relationship Id="rId67" Type="http://schemas.openxmlformats.org/officeDocument/2006/relationships/hyperlink" Target="https://i.postimg.cc/RVVCy5zg/24-02-07.png" TargetMode="External"/><Relationship Id="rId60" Type="http://schemas.openxmlformats.org/officeDocument/2006/relationships/hyperlink" Target="https://i.postimg.cc/rwXnzcFJ/24-03-05.png" TargetMode="External"/><Relationship Id="rId69" Type="http://schemas.openxmlformats.org/officeDocument/2006/relationships/hyperlink" Target="https://i.postimg.cc/jdsCTnyQ/24-02-02.png" TargetMode="External"/><Relationship Id="rId51" Type="http://schemas.openxmlformats.org/officeDocument/2006/relationships/hyperlink" Target="https://i.postimg.cc/5tcSMHbD/24-03-29.png" TargetMode="External"/><Relationship Id="rId50" Type="http://schemas.openxmlformats.org/officeDocument/2006/relationships/hyperlink" Target="https://i.postimg.cc/zBVVhkWx/24-04-01-1.png" TargetMode="External"/><Relationship Id="rId53" Type="http://schemas.openxmlformats.org/officeDocument/2006/relationships/hyperlink" Target="https://i.postimg.cc/WzCrNyz3/24-03-25.png" TargetMode="External"/><Relationship Id="rId52" Type="http://schemas.openxmlformats.org/officeDocument/2006/relationships/hyperlink" Target="https://i.postimg.cc/rsZBwGp8/24-03-28.png" TargetMode="External"/><Relationship Id="rId55" Type="http://schemas.openxmlformats.org/officeDocument/2006/relationships/hyperlink" Target="https://i.postimg.cc/bJd2qcQH/24-03-15.png" TargetMode="External"/><Relationship Id="rId54" Type="http://schemas.openxmlformats.org/officeDocument/2006/relationships/hyperlink" Target="https://i.postimg.cc/j25vZQ7S/24-03-21.png" TargetMode="External"/><Relationship Id="rId57" Type="http://schemas.openxmlformats.org/officeDocument/2006/relationships/hyperlink" Target="https://i.postimg.cc/qRSYLK4f/24-03-11.png" TargetMode="External"/><Relationship Id="rId56" Type="http://schemas.openxmlformats.org/officeDocument/2006/relationships/hyperlink" Target="https://i.postimg.cc/52CY0dkf/24-03-14.png" TargetMode="External"/><Relationship Id="rId59" Type="http://schemas.openxmlformats.org/officeDocument/2006/relationships/hyperlink" Target="https://i.postimg.cc/Vv0gLZxp/24-03-07.png" TargetMode="External"/><Relationship Id="rId58" Type="http://schemas.openxmlformats.org/officeDocument/2006/relationships/hyperlink" Target="https://i.postimg.cc/YCH5ZQgM/24-03-09.png" TargetMode="External"/><Relationship Id="rId107" Type="http://schemas.openxmlformats.org/officeDocument/2006/relationships/hyperlink" Target="https://i.postimg.cc/PqJ7ZyYf/23-10-05.png" TargetMode="External"/><Relationship Id="rId106" Type="http://schemas.openxmlformats.org/officeDocument/2006/relationships/hyperlink" Target="https://i.postimg.cc/QdxYGm6g/23-10-06.png" TargetMode="External"/><Relationship Id="rId105" Type="http://schemas.openxmlformats.org/officeDocument/2006/relationships/hyperlink" Target="https://i.postimg.cc/gjW4MHXZ/23-10-10.png" TargetMode="External"/><Relationship Id="rId104" Type="http://schemas.openxmlformats.org/officeDocument/2006/relationships/hyperlink" Target="https://i.postimg.cc/VkVgy801/23-10-12.png" TargetMode="External"/><Relationship Id="rId109" Type="http://schemas.openxmlformats.org/officeDocument/2006/relationships/hyperlink" Target="https://i.postimg.cc/sgmF51Lm/23-09-28.png" TargetMode="External"/><Relationship Id="rId108" Type="http://schemas.openxmlformats.org/officeDocument/2006/relationships/hyperlink" Target="https://i.postimg.cc/V632ztSf/23-10-03.png" TargetMode="External"/><Relationship Id="rId103" Type="http://schemas.openxmlformats.org/officeDocument/2006/relationships/hyperlink" Target="https://i.postimg.cc/k5RcqpWS/23-10-13.png" TargetMode="External"/><Relationship Id="rId102" Type="http://schemas.openxmlformats.org/officeDocument/2006/relationships/hyperlink" Target="https://i.postimg.cc/6qtLV6gV/23-10-17.png" TargetMode="External"/><Relationship Id="rId101" Type="http://schemas.openxmlformats.org/officeDocument/2006/relationships/hyperlink" Target="https://i.postimg.cc/nLmv6QtY/23-10-21-1.png" TargetMode="External"/><Relationship Id="rId100" Type="http://schemas.openxmlformats.org/officeDocument/2006/relationships/hyperlink" Target="https://i.postimg.cc/65QCBPXQ/23-10-21-2.png" TargetMode="External"/><Relationship Id="rId129" Type="http://schemas.openxmlformats.org/officeDocument/2006/relationships/hyperlink" Target="https://i.postimg.cc/mgRV3jff/23-07-26-1.png" TargetMode="External"/><Relationship Id="rId128" Type="http://schemas.openxmlformats.org/officeDocument/2006/relationships/hyperlink" Target="https://i.postimg.cc/bYtRKWqf/23-07-26-2.png" TargetMode="External"/><Relationship Id="rId127" Type="http://schemas.openxmlformats.org/officeDocument/2006/relationships/hyperlink" Target="https://i.postimg.cc/7h30fvLC/23-08-03-1.png" TargetMode="External"/><Relationship Id="rId126" Type="http://schemas.openxmlformats.org/officeDocument/2006/relationships/hyperlink" Target="https://i.postimg.cc/SN4cHKZc/23-08-03-2.png" TargetMode="External"/><Relationship Id="rId121" Type="http://schemas.openxmlformats.org/officeDocument/2006/relationships/hyperlink" Target="https://i.postimg.cc/W3Mh7GcC/23-08-18.png" TargetMode="External"/><Relationship Id="rId120" Type="http://schemas.openxmlformats.org/officeDocument/2006/relationships/hyperlink" Target="https://i.postimg.cc/JnWhtsHq/23-08-23.png" TargetMode="External"/><Relationship Id="rId125" Type="http://schemas.openxmlformats.org/officeDocument/2006/relationships/hyperlink" Target="https://i.postimg.cc/7YNS4ycd/23-08-06.png" TargetMode="External"/><Relationship Id="rId124" Type="http://schemas.openxmlformats.org/officeDocument/2006/relationships/hyperlink" Target="https://i.postimg.cc/fRTmTrQL/23-08-10.png" TargetMode="External"/><Relationship Id="rId123" Type="http://schemas.openxmlformats.org/officeDocument/2006/relationships/hyperlink" Target="https://i.postimg.cc/Hn98TQSX/23-08-14.png" TargetMode="External"/><Relationship Id="rId122" Type="http://schemas.openxmlformats.org/officeDocument/2006/relationships/hyperlink" Target="https://i.postimg.cc/MZ7Q0SWH/23-08-16.png" TargetMode="External"/><Relationship Id="rId95" Type="http://schemas.openxmlformats.org/officeDocument/2006/relationships/hyperlink" Target="https://i.postimg.cc/j22CYG70/23-11-07.png" TargetMode="External"/><Relationship Id="rId94" Type="http://schemas.openxmlformats.org/officeDocument/2006/relationships/hyperlink" Target="https://i.postimg.cc/g28jpynJ/23-11-09.png" TargetMode="External"/><Relationship Id="rId97" Type="http://schemas.openxmlformats.org/officeDocument/2006/relationships/hyperlink" Target="https://i.postimg.cc/kGY6Vnmg/23-10-30.png" TargetMode="External"/><Relationship Id="rId96" Type="http://schemas.openxmlformats.org/officeDocument/2006/relationships/hyperlink" Target="https://i.postimg.cc/50x6nH9t/23-11-03.png" TargetMode="External"/><Relationship Id="rId99" Type="http://schemas.openxmlformats.org/officeDocument/2006/relationships/hyperlink" Target="https://i.postimg.cc/3x4pvDW5/23-10-24.png" TargetMode="External"/><Relationship Id="rId98" Type="http://schemas.openxmlformats.org/officeDocument/2006/relationships/hyperlink" Target="https://i.postimg.cc/XJ3ymHL4/23-10-26.png" TargetMode="External"/><Relationship Id="rId91" Type="http://schemas.openxmlformats.org/officeDocument/2006/relationships/hyperlink" Target="https://i.postimg.cc/pLHhp1N8/23-11-17.png" TargetMode="External"/><Relationship Id="rId90" Type="http://schemas.openxmlformats.org/officeDocument/2006/relationships/hyperlink" Target="https://i.postimg.cc/G3THz1dG/23-11-21.png" TargetMode="External"/><Relationship Id="rId93" Type="http://schemas.openxmlformats.org/officeDocument/2006/relationships/hyperlink" Target="https://i.postimg.cc/nrXVPByn/23-11-13.png" TargetMode="External"/><Relationship Id="rId92" Type="http://schemas.openxmlformats.org/officeDocument/2006/relationships/hyperlink" Target="https://i.postimg.cc/vmXQ80MQ/23-11-14.png" TargetMode="External"/><Relationship Id="rId118" Type="http://schemas.openxmlformats.org/officeDocument/2006/relationships/hyperlink" Target="https://i.postimg.cc/FHdFZyjp/23-08-31.png" TargetMode="External"/><Relationship Id="rId117" Type="http://schemas.openxmlformats.org/officeDocument/2006/relationships/hyperlink" Target="https://i.postimg.cc/rFzqV1YT/23-09-05.png" TargetMode="External"/><Relationship Id="rId116" Type="http://schemas.openxmlformats.org/officeDocument/2006/relationships/hyperlink" Target="https://i.postimg.cc/zv25wvv4/23-09-08.png" TargetMode="External"/><Relationship Id="rId115" Type="http://schemas.openxmlformats.org/officeDocument/2006/relationships/hyperlink" Target="https://i.postimg.cc/3J6YdkPv/23-09-11.png" TargetMode="External"/><Relationship Id="rId119" Type="http://schemas.openxmlformats.org/officeDocument/2006/relationships/hyperlink" Target="https://i.postimg.cc/fyzTj1KS/23-08-29.png" TargetMode="External"/><Relationship Id="rId110" Type="http://schemas.openxmlformats.org/officeDocument/2006/relationships/hyperlink" Target="https://i.postimg.cc/CLyVg3DG/23-09-26.png" TargetMode="External"/><Relationship Id="rId114" Type="http://schemas.openxmlformats.org/officeDocument/2006/relationships/hyperlink" Target="https://i.postimg.cc/VvvPNwgg/23-09-12.png" TargetMode="External"/><Relationship Id="rId113" Type="http://schemas.openxmlformats.org/officeDocument/2006/relationships/hyperlink" Target="https://i.postimg.cc/j58Bm9T7/23-09-14.png" TargetMode="External"/><Relationship Id="rId112" Type="http://schemas.openxmlformats.org/officeDocument/2006/relationships/hyperlink" Target="https://i.postimg.cc/t4hwp7yy/23-09-18.png" TargetMode="External"/><Relationship Id="rId111" Type="http://schemas.openxmlformats.org/officeDocument/2006/relationships/hyperlink" Target="https://i.postimg.cc/02mPKkxX/23-09-19.png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90" Type="http://schemas.openxmlformats.org/officeDocument/2006/relationships/hyperlink" Target="https://i.postimg.cc/1zRtDxvf/Blue-Attacker.png" TargetMode="External"/><Relationship Id="rId194" Type="http://schemas.openxmlformats.org/officeDocument/2006/relationships/hyperlink" Target="https://i.postimg.cc/L6B2DCYf/Red-Attacker.png" TargetMode="External"/><Relationship Id="rId193" Type="http://schemas.openxmlformats.org/officeDocument/2006/relationships/hyperlink" Target="https://i.postimg.cc/nLQmsv14/246-The-Kingdom-of-Prodence-King-Elizabello-II.png" TargetMode="External"/><Relationship Id="rId192" Type="http://schemas.openxmlformats.org/officeDocument/2006/relationships/hyperlink" Target="https://i.postimg.cc/Hk6HDrtk/Red-Runner.png" TargetMode="External"/><Relationship Id="rId191" Type="http://schemas.openxmlformats.org/officeDocument/2006/relationships/hyperlink" Target="https://i.postimg.cc/htvTnFz3/247-Triple-X-Level-Boxer-Ideo.png" TargetMode="External"/><Relationship Id="rId187" Type="http://schemas.openxmlformats.org/officeDocument/2006/relationships/hyperlink" Target="https://i.postimg.cc/zXJTdHJN/249-Raid-on-Onigashima-Brook.png" TargetMode="External"/><Relationship Id="rId186" Type="http://schemas.openxmlformats.org/officeDocument/2006/relationships/hyperlink" Target="https://i.postimg.cc/1zRtDxvf/Blue-Attacker.png" TargetMode="External"/><Relationship Id="rId185" Type="http://schemas.openxmlformats.org/officeDocument/2006/relationships/hyperlink" Target="https://i.postimg.cc/mk47WtCQ/250-Okuchi-no-Makami-Yamato.png" TargetMode="External"/><Relationship Id="rId184" Type="http://schemas.openxmlformats.org/officeDocument/2006/relationships/hyperlink" Target="https://i.postimg.cc/L6B2DCYf/Red-Attacker.png" TargetMode="External"/><Relationship Id="rId189" Type="http://schemas.openxmlformats.org/officeDocument/2006/relationships/hyperlink" Target="https://i.postimg.cc/YqbYT29W/248-Raid-on-Onigashima-Nico-Robin.png" TargetMode="External"/><Relationship Id="rId188" Type="http://schemas.openxmlformats.org/officeDocument/2006/relationships/hyperlink" Target="https://i.postimg.cc/P5XhRWY7/Red-Defender.png" TargetMode="External"/><Relationship Id="rId183" Type="http://schemas.openxmlformats.org/officeDocument/2006/relationships/hyperlink" Target="https://i.postimg.cc/B6H2zxLS/251-Raid-on-Onigashima-Nami.png" TargetMode="External"/><Relationship Id="rId182" Type="http://schemas.openxmlformats.org/officeDocument/2006/relationships/hyperlink" Target="https://i.postimg.cc/4NzNM4MY/Blue-Runner.png" TargetMode="External"/><Relationship Id="rId181" Type="http://schemas.openxmlformats.org/officeDocument/2006/relationships/hyperlink" Target="https://i.postimg.cc/tgLhDrgv/252-Raid-on-Onigashima-Usopp.png" TargetMode="External"/><Relationship Id="rId180" Type="http://schemas.openxmlformats.org/officeDocument/2006/relationships/hyperlink" Target="https://i.postimg.cc/1zRtDxvf/Blue-Attacker.png" TargetMode="External"/><Relationship Id="rId176" Type="http://schemas.openxmlformats.org/officeDocument/2006/relationships/hyperlink" Target="https://i.postimg.cc/qRhpGpyM/Green-Defender.png" TargetMode="External"/><Relationship Id="rId297" Type="http://schemas.openxmlformats.org/officeDocument/2006/relationships/hyperlink" Target="https://i.postimg.cc/m28pVsWd/194-Kaido-s-Son-Yamato.png" TargetMode="External"/><Relationship Id="rId175" Type="http://schemas.openxmlformats.org/officeDocument/2006/relationships/hyperlink" Target="https://i.postimg.cc/6pvbCs2g/255-Ryugu-Kingdom-King-Neptune.png" TargetMode="External"/><Relationship Id="rId296" Type="http://schemas.openxmlformats.org/officeDocument/2006/relationships/hyperlink" Target="https://i.postimg.cc/0NH8mz6B/Green-Attacker.png" TargetMode="External"/><Relationship Id="rId174" Type="http://schemas.openxmlformats.org/officeDocument/2006/relationships/hyperlink" Target="https://i.postimg.cc/PxgT30Qb/Green-Runner.png" TargetMode="External"/><Relationship Id="rId295" Type="http://schemas.openxmlformats.org/officeDocument/2006/relationships/hyperlink" Target="https://i.postimg.cc/6qhjks2p/195-Animal-Kingdom-Pirates-Lead-Performer-Jack.png" TargetMode="External"/><Relationship Id="rId173" Type="http://schemas.openxmlformats.org/officeDocument/2006/relationships/hyperlink" Target="https://i.postimg.cc/nc5wsVzq/256-New-Fish-Man-Pirates-Captain-Hody-Jones.png" TargetMode="External"/><Relationship Id="rId294" Type="http://schemas.openxmlformats.org/officeDocument/2006/relationships/hyperlink" Target="https://i.postimg.cc/P5XhRWY7/Red-Defender.png" TargetMode="External"/><Relationship Id="rId179" Type="http://schemas.openxmlformats.org/officeDocument/2006/relationships/hyperlink" Target="https://i.postimg.cc/jSSQjw9c/253-Flying-Pirates-Captain-Vander-Decken-IX.png" TargetMode="External"/><Relationship Id="rId178" Type="http://schemas.openxmlformats.org/officeDocument/2006/relationships/hyperlink" Target="https://i.postimg.cc/P5XhRWY7/Red-Defender.png" TargetMode="External"/><Relationship Id="rId299" Type="http://schemas.openxmlformats.org/officeDocument/2006/relationships/hyperlink" Target="https://i.postimg.cc/BnbYVVqJ/193-Former-Whitebeard-Pirates-16th-Division-Commander-Izo.png" TargetMode="External"/><Relationship Id="rId177" Type="http://schemas.openxmlformats.org/officeDocument/2006/relationships/hyperlink" Target="https://i.postimg.cc/8zXdfkgS/254-Caribou-Pirates-Captain-Caribou.png" TargetMode="External"/><Relationship Id="rId298" Type="http://schemas.openxmlformats.org/officeDocument/2006/relationships/hyperlink" Target="https://i.postimg.cc/Hk6HDrtk/Red-Runner.png" TargetMode="External"/><Relationship Id="rId198" Type="http://schemas.openxmlformats.org/officeDocument/2006/relationships/hyperlink" Target="https://i.postimg.cc/4NzNM4MY/Blue-Runner.png" TargetMode="External"/><Relationship Id="rId197" Type="http://schemas.openxmlformats.org/officeDocument/2006/relationships/hyperlink" Target="https://i.postimg.cc/rFnRQhnG/244-Slicing-Winds-of-Rommel-Hakuba.png" TargetMode="External"/><Relationship Id="rId196" Type="http://schemas.openxmlformats.org/officeDocument/2006/relationships/hyperlink" Target="https://i.postimg.cc/bJqqv61N/Transforming-Element-Green-Attacker.png" TargetMode="External"/><Relationship Id="rId195" Type="http://schemas.openxmlformats.org/officeDocument/2006/relationships/hyperlink" Target="https://i.postimg.cc/ZnJvDXzH/245-Disciple-of-the-Martial-Arts-Kung-Fu-Jugon.png" TargetMode="External"/><Relationship Id="rId199" Type="http://schemas.openxmlformats.org/officeDocument/2006/relationships/hyperlink" Target="https://i.postimg.cc/sgbQRMRv/243-Former-Happosui-Army-12th-Chief-Chin-Jao.png" TargetMode="External"/><Relationship Id="rId150" Type="http://schemas.openxmlformats.org/officeDocument/2006/relationships/hyperlink" Target="https://i.postimg.cc/P5XhRWY7/Red-Defender.png" TargetMode="External"/><Relationship Id="rId271" Type="http://schemas.openxmlformats.org/officeDocument/2006/relationships/hyperlink" Target="https://i.postimg.cc/1R6ZW4vv/207-Shandian-Warrior-Wyper.png" TargetMode="External"/><Relationship Id="rId392" Type="http://schemas.openxmlformats.org/officeDocument/2006/relationships/hyperlink" Target="https://i.postimg.cc/L6B2DCYf/Red-Attacker.png" TargetMode="External"/><Relationship Id="rId270" Type="http://schemas.openxmlformats.org/officeDocument/2006/relationships/hyperlink" Target="https://i.postimg.cc/P5XhRWY7/Red-Defender.png" TargetMode="External"/><Relationship Id="rId391" Type="http://schemas.openxmlformats.org/officeDocument/2006/relationships/hyperlink" Target="https://i.postimg.cc/Y2gh1rYH/147-The-Billion-Fold-World-Trichiliocosm-Roronoa-Zoro.png" TargetMode="External"/><Relationship Id="rId390" Type="http://schemas.openxmlformats.org/officeDocument/2006/relationships/hyperlink" Target="https://i.postimg.cc/4NzNM4MY/Blue-Runner.png" TargetMode="External"/><Relationship Id="rId1" Type="http://schemas.openxmlformats.org/officeDocument/2006/relationships/hyperlink" Target="https://i.postimg.cc/KcWLjXbt/342-Baroque-Works-Officer-Agent-Ms-Valentine.png" TargetMode="External"/><Relationship Id="rId2" Type="http://schemas.openxmlformats.org/officeDocument/2006/relationships/hyperlink" Target="https://i.postimg.cc/PxgT30Qb/Green-Runner.png" TargetMode="External"/><Relationship Id="rId3" Type="http://schemas.openxmlformats.org/officeDocument/2006/relationships/hyperlink" Target="https://i.postimg.cc/2ST14Lhy/341-The-Four-Emperors-Marshall-D-Teach.png" TargetMode="External"/><Relationship Id="rId149" Type="http://schemas.openxmlformats.org/officeDocument/2006/relationships/hyperlink" Target="https://i.postimg.cc/c4NFdJ0k/268-Revolutionary-Army-Captain-of-the-Eastern-Forces-Belo-Betty.png" TargetMode="External"/><Relationship Id="rId4" Type="http://schemas.openxmlformats.org/officeDocument/2006/relationships/hyperlink" Target="https://i.postimg.cc/nLHLrFW9/Transforming-Element-Dark-Attacker.png" TargetMode="External"/><Relationship Id="rId148" Type="http://schemas.openxmlformats.org/officeDocument/2006/relationships/hyperlink" Target="https://i.postimg.cc/qRhpGpyM/Green-Defender.png" TargetMode="External"/><Relationship Id="rId269" Type="http://schemas.openxmlformats.org/officeDocument/2006/relationships/hyperlink" Target="https://i.postimg.cc/cCQy65vp/208-Animal-Kingdom-Pirates-Tobi-Roppo-Page-One.png" TargetMode="External"/><Relationship Id="rId9" Type="http://schemas.openxmlformats.org/officeDocument/2006/relationships/hyperlink" Target="https://i.postimg.cc/tC85ZhVM/338-Winner-Island-Bepo.png" TargetMode="External"/><Relationship Id="rId143" Type="http://schemas.openxmlformats.org/officeDocument/2006/relationships/hyperlink" Target="https://i.postimg.cc/SN0vjr7r/271-Raid-on-Onigashima-Franky.png" TargetMode="External"/><Relationship Id="rId264" Type="http://schemas.openxmlformats.org/officeDocument/2006/relationships/hyperlink" Target="https://i.postimg.cc/PxgT30Qb/Green-Runner.png" TargetMode="External"/><Relationship Id="rId385" Type="http://schemas.openxmlformats.org/officeDocument/2006/relationships/hyperlink" Target="https://i.postimg.cc/2561vnFc/150-Daimyo-of-Kuri-Kozuki-Oden.png" TargetMode="External"/><Relationship Id="rId142" Type="http://schemas.openxmlformats.org/officeDocument/2006/relationships/hyperlink" Target="https://i.postimg.cc/4NzNM4MY/Blue-Runner.png" TargetMode="External"/><Relationship Id="rId263" Type="http://schemas.openxmlformats.org/officeDocument/2006/relationships/hyperlink" Target="https://i.postimg.cc/DzZT5gNG/211-Land-of-Wano-Marco.png" TargetMode="External"/><Relationship Id="rId384" Type="http://schemas.openxmlformats.org/officeDocument/2006/relationships/hyperlink" Target="https://i.postimg.cc/1zRtDxvf/Blue-Attacker.png" TargetMode="External"/><Relationship Id="rId141" Type="http://schemas.openxmlformats.org/officeDocument/2006/relationships/hyperlink" Target="https://i.postimg.cc/52bKS2rQ/272-Land-of-Wano-Otama-Komachiyo.png" TargetMode="External"/><Relationship Id="rId262" Type="http://schemas.openxmlformats.org/officeDocument/2006/relationships/hyperlink" Target="https://i.postimg.cc/4NzNM4MY/Blue-Runner.png" TargetMode="External"/><Relationship Id="rId383" Type="http://schemas.openxmlformats.org/officeDocument/2006/relationships/hyperlink" Target="https://i.postimg.cc/Nfq2V9BF/151-Most-Handsome-Swordman-in-the-Land-of-Wano-Kikunojo.png" TargetMode="External"/><Relationship Id="rId140" Type="http://schemas.openxmlformats.org/officeDocument/2006/relationships/hyperlink" Target="https://i.postimg.cc/PxgT30Qb/Green-Runner.png" TargetMode="External"/><Relationship Id="rId261" Type="http://schemas.openxmlformats.org/officeDocument/2006/relationships/hyperlink" Target="https://i.postimg.cc/y87B3BXv/212-STAMPEDE-Boa-Hancock.png" TargetMode="External"/><Relationship Id="rId382" Type="http://schemas.openxmlformats.org/officeDocument/2006/relationships/hyperlink" Target="https://i.postimg.cc/P5XhRWY7/Red-Defender.png" TargetMode="External"/><Relationship Id="rId5" Type="http://schemas.openxmlformats.org/officeDocument/2006/relationships/hyperlink" Target="https://i.postimg.cc/Jz7CBYLG/340-ASL-Ace-Sabo-Luffy.png" TargetMode="External"/><Relationship Id="rId147" Type="http://schemas.openxmlformats.org/officeDocument/2006/relationships/hyperlink" Target="https://i.postimg.cc/13mMNYgp/269-Animal-Kingdom-Pirates-Tobi-Roppo-Black-Maria.png" TargetMode="External"/><Relationship Id="rId268" Type="http://schemas.openxmlformats.org/officeDocument/2006/relationships/hyperlink" Target="https://i.postimg.cc/1zRtDxvf/Blue-Attacker.png" TargetMode="External"/><Relationship Id="rId389" Type="http://schemas.openxmlformats.org/officeDocument/2006/relationships/hyperlink" Target="https://i.postimg.cc/qR6gD0F2/148-Royal-Wedding-Sanji.png" TargetMode="External"/><Relationship Id="rId6" Type="http://schemas.openxmlformats.org/officeDocument/2006/relationships/hyperlink" Target="https://i.postimg.cc/0j0ZVpyR/Transforming-Class-Light-Attacker.png" TargetMode="External"/><Relationship Id="rId146" Type="http://schemas.openxmlformats.org/officeDocument/2006/relationships/hyperlink" Target="https://i.postimg.cc/0NH8mz6B/Green-Attacker.png" TargetMode="External"/><Relationship Id="rId267" Type="http://schemas.openxmlformats.org/officeDocument/2006/relationships/hyperlink" Target="https://i.postimg.cc/B6PGfv4Q/209-Animal-Kingdom-Pirates-Tobi-Roppo-Ulti.png" TargetMode="External"/><Relationship Id="rId388" Type="http://schemas.openxmlformats.org/officeDocument/2006/relationships/hyperlink" Target="https://i.postimg.cc/m2xg81dx/Blue-Defender.png" TargetMode="External"/><Relationship Id="rId7" Type="http://schemas.openxmlformats.org/officeDocument/2006/relationships/hyperlink" Target="https://i.postimg.cc/DZzPtPj6/339-Winner-Island-Trafalgar-Law.png" TargetMode="External"/><Relationship Id="rId145" Type="http://schemas.openxmlformats.org/officeDocument/2006/relationships/hyperlink" Target="https://i.postimg.cc/qRh1vhNS/270-Raid-on-Onigashima-Tony-Tony-Chopper.png" TargetMode="External"/><Relationship Id="rId266" Type="http://schemas.openxmlformats.org/officeDocument/2006/relationships/hyperlink" Target="https://i.postimg.cc/0NH8mz6B/Green-Attacker.png" TargetMode="External"/><Relationship Id="rId387" Type="http://schemas.openxmlformats.org/officeDocument/2006/relationships/hyperlink" Target="https://i.postimg.cc/MGFvYX9W/149-Fire-Fist-Portgaz-D-Ace.png" TargetMode="External"/><Relationship Id="rId8" Type="http://schemas.openxmlformats.org/officeDocument/2006/relationships/hyperlink" Target="https://i.postimg.cc/Hk6HDrtk/Red-Runner.png" TargetMode="External"/><Relationship Id="rId144" Type="http://schemas.openxmlformats.org/officeDocument/2006/relationships/hyperlink" Target="https://i.postimg.cc/Hk6HDrtk/Red-Runner.png" TargetMode="External"/><Relationship Id="rId265" Type="http://schemas.openxmlformats.org/officeDocument/2006/relationships/hyperlink" Target="https://i.postimg.cc/pd6tSjN6/210-Big-Mom-Pirates-Crewmate-Charlotte-Perospero.png" TargetMode="External"/><Relationship Id="rId386" Type="http://schemas.openxmlformats.org/officeDocument/2006/relationships/hyperlink" Target="https://i.postimg.cc/PxgT30Qb/Green-Runner.png" TargetMode="External"/><Relationship Id="rId260" Type="http://schemas.openxmlformats.org/officeDocument/2006/relationships/hyperlink" Target="https://i.postimg.cc/Hk6HDrtk/Red-Runner.png" TargetMode="External"/><Relationship Id="rId381" Type="http://schemas.openxmlformats.org/officeDocument/2006/relationships/hyperlink" Target="https://i.postimg.cc/5yvYy1qf/152-Kozuki-Clan-Servant-Kawamatsu.png" TargetMode="External"/><Relationship Id="rId380" Type="http://schemas.openxmlformats.org/officeDocument/2006/relationships/hyperlink" Target="https://i.postimg.cc/Hk6HDrtk/Red-Runner.png" TargetMode="External"/><Relationship Id="rId139" Type="http://schemas.openxmlformats.org/officeDocument/2006/relationships/hyperlink" Target="https://i.postimg.cc/sgm66RF6/273-Navy-HQ-Admiral-Ryokugyu-Aramaki.png" TargetMode="External"/><Relationship Id="rId138" Type="http://schemas.openxmlformats.org/officeDocument/2006/relationships/hyperlink" Target="https://i.postimg.cc/P5XhRWY7/Red-Defender.png" TargetMode="External"/><Relationship Id="rId259" Type="http://schemas.openxmlformats.org/officeDocument/2006/relationships/hyperlink" Target="https://i.postimg.cc/J4VRmjyw/213-FILM-STRONG-WORLD-Shiki.png" TargetMode="External"/><Relationship Id="rId137" Type="http://schemas.openxmlformats.org/officeDocument/2006/relationships/hyperlink" Target="https://i.postimg.cc/FsjnSLTQ/274-Shogun-of-Wano-Kozuki-Momonosuke.png" TargetMode="External"/><Relationship Id="rId258" Type="http://schemas.openxmlformats.org/officeDocument/2006/relationships/hyperlink" Target="https://i.postimg.cc/1zRtDxvf/Blue-Attacker.png" TargetMode="External"/><Relationship Id="rId379" Type="http://schemas.openxmlformats.org/officeDocument/2006/relationships/hyperlink" Target="https://i.postimg.cc/1tbVy4FW/153-Land-of-Wano-Chopperemon.png" TargetMode="External"/><Relationship Id="rId132" Type="http://schemas.openxmlformats.org/officeDocument/2006/relationships/hyperlink" Target="https://i.postimg.cc/NGXg9fQd/Light-Attacker.png" TargetMode="External"/><Relationship Id="rId253" Type="http://schemas.openxmlformats.org/officeDocument/2006/relationships/hyperlink" Target="https://i.postimg.cc/NMZBKHpH/216-FILM-RED-Uta.png" TargetMode="External"/><Relationship Id="rId374" Type="http://schemas.openxmlformats.org/officeDocument/2006/relationships/hyperlink" Target="https://i.postimg.cc/qRhpGpyM/Green-Defender.png" TargetMode="External"/><Relationship Id="rId495" Type="http://schemas.openxmlformats.org/officeDocument/2006/relationships/hyperlink" Target="https://i.postimg.cc/Z5jc4F5V/095-The-Seven-Warlords-of-the-Sea-Bartholomew-Kuma.png" TargetMode="External"/><Relationship Id="rId131" Type="http://schemas.openxmlformats.org/officeDocument/2006/relationships/hyperlink" Target="https://i.postimg.cc/Df4N2Ds0/277-Heir-to-the-Shogun-of-Wano-Kozuki-Oden.png" TargetMode="External"/><Relationship Id="rId252" Type="http://schemas.openxmlformats.org/officeDocument/2006/relationships/hyperlink" Target="https://i.postimg.cc/L6B2DCYf/Red-Attacker.png" TargetMode="External"/><Relationship Id="rId373" Type="http://schemas.openxmlformats.org/officeDocument/2006/relationships/hyperlink" Target="https://i.postimg.cc/63qp2wKD/156-Kozuki-Clan-Servant-Ashura-Doji.png" TargetMode="External"/><Relationship Id="rId494" Type="http://schemas.openxmlformats.org/officeDocument/2006/relationships/hyperlink" Target="https://i.postimg.cc/1zRtDxvf/Blue-Attacker.png" TargetMode="External"/><Relationship Id="rId130" Type="http://schemas.openxmlformats.org/officeDocument/2006/relationships/hyperlink" Target="https://i.postimg.cc/NGXg9fQd/Light-Attacker.png" TargetMode="External"/><Relationship Id="rId251" Type="http://schemas.openxmlformats.org/officeDocument/2006/relationships/hyperlink" Target="https://i.postimg.cc/Kz1mcNrb/217-FILM-RED-Monkey-D-Luffy.png" TargetMode="External"/><Relationship Id="rId372" Type="http://schemas.openxmlformats.org/officeDocument/2006/relationships/hyperlink" Target="https://i.postimg.cc/P5XhRWY7/Red-Defender.png" TargetMode="External"/><Relationship Id="rId493" Type="http://schemas.openxmlformats.org/officeDocument/2006/relationships/hyperlink" Target="https://i.postimg.cc/RZvRkb4W/096-Happy-Holiday-Tony-Tony-Chopper.png" TargetMode="External"/><Relationship Id="rId250" Type="http://schemas.openxmlformats.org/officeDocument/2006/relationships/hyperlink" Target="https://i.postimg.cc/0NH8mz6B/Green-Attacker.png" TargetMode="External"/><Relationship Id="rId371" Type="http://schemas.openxmlformats.org/officeDocument/2006/relationships/hyperlink" Target="https://i.postimg.cc/d0q1FrxQ/157-Hero-of-the-Navy-Monkey-D-Garb.png" TargetMode="External"/><Relationship Id="rId492" Type="http://schemas.openxmlformats.org/officeDocument/2006/relationships/hyperlink" Target="https://i.postimg.cc/L6B2DCYf/Red-Attacker.png" TargetMode="External"/><Relationship Id="rId136" Type="http://schemas.openxmlformats.org/officeDocument/2006/relationships/hyperlink" Target="https://i.postimg.cc/L6B2DCYf/Red-Attacker.png" TargetMode="External"/><Relationship Id="rId257" Type="http://schemas.openxmlformats.org/officeDocument/2006/relationships/hyperlink" Target="https://i.postimg.cc/3rD3PtxC/214-FILM-GOLD-Gild-Tesoro.png" TargetMode="External"/><Relationship Id="rId378" Type="http://schemas.openxmlformats.org/officeDocument/2006/relationships/hyperlink" Target="https://i.postimg.cc/0NH8mz6B/Green-Attacker.png" TargetMode="External"/><Relationship Id="rId499" Type="http://schemas.openxmlformats.org/officeDocument/2006/relationships/hyperlink" Target="https://i.postimg.cc/FKBVJrcS/093-Firetank-Pirates-Godfather-Capone-Bege.png" TargetMode="External"/><Relationship Id="rId135" Type="http://schemas.openxmlformats.org/officeDocument/2006/relationships/hyperlink" Target="https://i.postimg.cc/mr6d4Ng7/275-Fire-Fist-Ogre-Princess-Ace-Yamato.png" TargetMode="External"/><Relationship Id="rId256" Type="http://schemas.openxmlformats.org/officeDocument/2006/relationships/hyperlink" Target="https://i.postimg.cc/qRhpGpyM/Green-Defender.png" TargetMode="External"/><Relationship Id="rId377" Type="http://schemas.openxmlformats.org/officeDocument/2006/relationships/hyperlink" Target="https://i.postimg.cc/25cBX0SN/154-King-of-the-Pirates-Gol-D-Roger.png" TargetMode="External"/><Relationship Id="rId498" Type="http://schemas.openxmlformats.org/officeDocument/2006/relationships/hyperlink" Target="https://i.postimg.cc/4NzNM4MY/Blue-Runner.png" TargetMode="External"/><Relationship Id="rId134" Type="http://schemas.openxmlformats.org/officeDocument/2006/relationships/hyperlink" Target="https://i.postimg.cc/0j7xLZVT/Light-Defender.png" TargetMode="External"/><Relationship Id="rId255" Type="http://schemas.openxmlformats.org/officeDocument/2006/relationships/hyperlink" Target="https://i.postimg.cc/QC5s1dyn/215-FILM-Z-Zephyr.png" TargetMode="External"/><Relationship Id="rId376" Type="http://schemas.openxmlformats.org/officeDocument/2006/relationships/hyperlink" Target="https://i.postimg.cc/4NzNM4MY/Blue-Runner.png" TargetMode="External"/><Relationship Id="rId497" Type="http://schemas.openxmlformats.org/officeDocument/2006/relationships/hyperlink" Target="https://i.postimg.cc/6Q3h327w/094-Germa-66-Vinsmoke-Reiju.png" TargetMode="External"/><Relationship Id="rId133" Type="http://schemas.openxmlformats.org/officeDocument/2006/relationships/hyperlink" Target="https://i.postimg.cc/HLLSFPdp/276-Great-Pirate-Edward-Newgate.png" TargetMode="External"/><Relationship Id="rId254" Type="http://schemas.openxmlformats.org/officeDocument/2006/relationships/hyperlink" Target="https://i.postimg.cc/L6B2DCYf/Red-Attacker.png" TargetMode="External"/><Relationship Id="rId375" Type="http://schemas.openxmlformats.org/officeDocument/2006/relationships/hyperlink" Target="https://i.postimg.cc/PJ8fy4Py/155-Kyoshiro-Family-Boss-Napping-Kyoshiro.png" TargetMode="External"/><Relationship Id="rId496" Type="http://schemas.openxmlformats.org/officeDocument/2006/relationships/hyperlink" Target="https://i.postimg.cc/m2xg81dx/Blue-Defender.png" TargetMode="External"/><Relationship Id="rId172" Type="http://schemas.openxmlformats.org/officeDocument/2006/relationships/hyperlink" Target="https://i.postimg.cc/4NzNM4MY/Blue-Runner.png" TargetMode="External"/><Relationship Id="rId293" Type="http://schemas.openxmlformats.org/officeDocument/2006/relationships/hyperlink" Target="https://i.postimg.cc/C1k64nwD/196-Animal-Kingdom-Pirates-Lead-Performer-Queen.png" TargetMode="External"/><Relationship Id="rId171" Type="http://schemas.openxmlformats.org/officeDocument/2006/relationships/hyperlink" Target="https://i.postimg.cc/nLs448nQ/257-Battle-of-Monsters-on-Onigashima-Kid-Law.png" TargetMode="External"/><Relationship Id="rId292" Type="http://schemas.openxmlformats.org/officeDocument/2006/relationships/hyperlink" Target="https://i.postimg.cc/m2xg81dx/Blue-Defender.png" TargetMode="External"/><Relationship Id="rId170" Type="http://schemas.openxmlformats.org/officeDocument/2006/relationships/hyperlink" Target="https://i.postimg.cc/1zRtDxvf/Blue-Attacker.png" TargetMode="External"/><Relationship Id="rId291" Type="http://schemas.openxmlformats.org/officeDocument/2006/relationships/hyperlink" Target="https://i.postimg.cc/HW0hcMZ1/197-The-Strongest-Creature-Alive-Kaido.png" TargetMode="External"/><Relationship Id="rId290" Type="http://schemas.openxmlformats.org/officeDocument/2006/relationships/hyperlink" Target="https://i.postimg.cc/J0nmNGTf/Transforming-Class-Blue-Attacker.png" TargetMode="External"/><Relationship Id="rId165" Type="http://schemas.openxmlformats.org/officeDocument/2006/relationships/hyperlink" Target="https://i.postimg.cc/8cdB7hNK/260-Gear-Five-Monkey-D-Luffy.png" TargetMode="External"/><Relationship Id="rId286" Type="http://schemas.openxmlformats.org/officeDocument/2006/relationships/hyperlink" Target="https://i.postimg.cc/PxgT30Qb/Green-Runner.png" TargetMode="External"/><Relationship Id="rId164" Type="http://schemas.openxmlformats.org/officeDocument/2006/relationships/hyperlink" Target="https://i.postimg.cc/bJqqv61N/Transforming-Element-Green-Attacker.png" TargetMode="External"/><Relationship Id="rId285" Type="http://schemas.openxmlformats.org/officeDocument/2006/relationships/hyperlink" Target="https://i.postimg.cc/XN9Tfmvh/200-Stealth-Black-Soba-Mask.png" TargetMode="External"/><Relationship Id="rId163" Type="http://schemas.openxmlformats.org/officeDocument/2006/relationships/hyperlink" Target="https://i.postimg.cc/qqHxBmV6/261-Raid-on-Onigashima-Sanji.png" TargetMode="External"/><Relationship Id="rId284" Type="http://schemas.openxmlformats.org/officeDocument/2006/relationships/hyperlink" Target="https://i.postimg.cc/0NH8mz6B/Green-Attacker.png" TargetMode="External"/><Relationship Id="rId162" Type="http://schemas.openxmlformats.org/officeDocument/2006/relationships/hyperlink" Target="https://i.postimg.cc/PxgT30Qb/Green-Runner.png" TargetMode="External"/><Relationship Id="rId283" Type="http://schemas.openxmlformats.org/officeDocument/2006/relationships/hyperlink" Target="https://i.postimg.cc/g05fsP89/201-Blackbeard-Pirates-Helsman-Champ-Jesus-Burgess-png.png" TargetMode="External"/><Relationship Id="rId169" Type="http://schemas.openxmlformats.org/officeDocument/2006/relationships/hyperlink" Target="https://i.postimg.cc/bNT98H6d/258-Raid-on-Onigashima-Killer.png" TargetMode="External"/><Relationship Id="rId168" Type="http://schemas.openxmlformats.org/officeDocument/2006/relationships/hyperlink" Target="https://i.postimg.cc/m2xg81dx/Blue-Defender.png" TargetMode="External"/><Relationship Id="rId289" Type="http://schemas.openxmlformats.org/officeDocument/2006/relationships/hyperlink" Target="https://i.postimg.cc/GmmV1pjw/198-Man-Who-Dreams-of-Becoming-the-King-of-the-Pirates-Monkey-D-Luffy.png" TargetMode="External"/><Relationship Id="rId167" Type="http://schemas.openxmlformats.org/officeDocument/2006/relationships/hyperlink" Target="https://i.postimg.cc/Kct5pyBP/259-Singer-of-the-New-Genesis-Uta.png" TargetMode="External"/><Relationship Id="rId288" Type="http://schemas.openxmlformats.org/officeDocument/2006/relationships/hyperlink" Target="https://i.postimg.cc/m2xg81dx/Blue-Defender.png" TargetMode="External"/><Relationship Id="rId166" Type="http://schemas.openxmlformats.org/officeDocument/2006/relationships/hyperlink" Target="https://i.postimg.cc/vZ9ytRzZ/Transforming-Class-Green-Defender.png" TargetMode="External"/><Relationship Id="rId287" Type="http://schemas.openxmlformats.org/officeDocument/2006/relationships/hyperlink" Target="https://i.postimg.cc/CLNXt8ks/199-Germa-66-Generalissimo-Vinsmoke-Judge.png" TargetMode="External"/><Relationship Id="rId161" Type="http://schemas.openxmlformats.org/officeDocument/2006/relationships/hyperlink" Target="https://i.postimg.cc/s28JqjTc/262-Animal-Kingdom-Pirates-Tobi-Roppo-Sasaki.png" TargetMode="External"/><Relationship Id="rId282" Type="http://schemas.openxmlformats.org/officeDocument/2006/relationships/hyperlink" Target="https://i.postimg.cc/4NzNM4MY/Blue-Runner.png" TargetMode="External"/><Relationship Id="rId160" Type="http://schemas.openxmlformats.org/officeDocument/2006/relationships/hyperlink" Target="https://i.postimg.cc/L6B2DCYf/Red-Attacker.png" TargetMode="External"/><Relationship Id="rId281" Type="http://schemas.openxmlformats.org/officeDocument/2006/relationships/hyperlink" Target="https://i.postimg.cc/gJZ1BBHx/202-Whitebeard-Pirates-5th-Division-Commander-Vista.png" TargetMode="External"/><Relationship Id="rId280" Type="http://schemas.openxmlformats.org/officeDocument/2006/relationships/hyperlink" Target="https://i.postimg.cc/m2xg81dx/Blue-Defender.png" TargetMode="External"/><Relationship Id="rId159" Type="http://schemas.openxmlformats.org/officeDocument/2006/relationships/hyperlink" Target="https://i.postimg.cc/43n5W7Qy/263-Lunarian-Alber.png" TargetMode="External"/><Relationship Id="rId154" Type="http://schemas.openxmlformats.org/officeDocument/2006/relationships/hyperlink" Target="https://i.postimg.cc/m2xg81dx/Blue-Defender.png" TargetMode="External"/><Relationship Id="rId275" Type="http://schemas.openxmlformats.org/officeDocument/2006/relationships/hyperlink" Target="https://i.postimg.cc/3xLMyGwx/205-Land-of-Wano-Usohachi.png" TargetMode="External"/><Relationship Id="rId396" Type="http://schemas.openxmlformats.org/officeDocument/2006/relationships/hyperlink" Target="https://i.postimg.cc/P5XhRWY7/Red-Defender.png" TargetMode="External"/><Relationship Id="rId153" Type="http://schemas.openxmlformats.org/officeDocument/2006/relationships/hyperlink" Target="https://i.postimg.cc/jqf8Vf0J/266-Revolutionary-Army-Officer-Inazuma.png" TargetMode="External"/><Relationship Id="rId274" Type="http://schemas.openxmlformats.org/officeDocument/2006/relationships/hyperlink" Target="https://i.postimg.cc/1zRtDxvf/Blue-Attacker.png" TargetMode="External"/><Relationship Id="rId395" Type="http://schemas.openxmlformats.org/officeDocument/2006/relationships/hyperlink" Target="https://i.postimg.cc/13Wt9fhp/145-Kozuki-Clan-Servant-Kin-emon.png" TargetMode="External"/><Relationship Id="rId152" Type="http://schemas.openxmlformats.org/officeDocument/2006/relationships/hyperlink" Target="https://i.postimg.cc/PxgT30Qb/Green-Runner.png" TargetMode="External"/><Relationship Id="rId273" Type="http://schemas.openxmlformats.org/officeDocument/2006/relationships/hyperlink" Target="https://i.postimg.cc/bN9fhWcb/206-Land-of-Wano-Franosuke.png" TargetMode="External"/><Relationship Id="rId394" Type="http://schemas.openxmlformats.org/officeDocument/2006/relationships/hyperlink" Target="https://i.postimg.cc/1zRtDxvf/Blue-Attacker.png" TargetMode="External"/><Relationship Id="rId151" Type="http://schemas.openxmlformats.org/officeDocument/2006/relationships/hyperlink" Target="https://i.postimg.cc/wTc0MdBq/267-Revolutionary-Army-Captain-of-the-Northern-Forces-Karasu.png" TargetMode="External"/><Relationship Id="rId272" Type="http://schemas.openxmlformats.org/officeDocument/2006/relationships/hyperlink" Target="https://i.postimg.cc/Hk6HDrtk/Red-Runner.png" TargetMode="External"/><Relationship Id="rId393" Type="http://schemas.openxmlformats.org/officeDocument/2006/relationships/hyperlink" Target="https://i.postimg.cc/SNfRvgg1/146-Luffy-Law-Pirate-Alliance-Monkey-D-Luffy.png" TargetMode="External"/><Relationship Id="rId158" Type="http://schemas.openxmlformats.org/officeDocument/2006/relationships/hyperlink" Target="https://i.postimg.cc/Hk6HDrtk/Red-Runner.png" TargetMode="External"/><Relationship Id="rId279" Type="http://schemas.openxmlformats.org/officeDocument/2006/relationships/hyperlink" Target="https://i.postimg.cc/NFvZh7dp/203-Whitebeard-Pirates-3rd-Division-Commander-Jozu.png" TargetMode="External"/><Relationship Id="rId157" Type="http://schemas.openxmlformats.org/officeDocument/2006/relationships/hyperlink" Target="https://i.postimg.cc/qv1wcXnW/264-Cyborg-Queen.png" TargetMode="External"/><Relationship Id="rId278" Type="http://schemas.openxmlformats.org/officeDocument/2006/relationships/hyperlink" Target="https://i.postimg.cc/L6B2DCYf/Red-Attacker.png" TargetMode="External"/><Relationship Id="rId399" Type="http://schemas.openxmlformats.org/officeDocument/2006/relationships/hyperlink" Target="https://i.postimg.cc/02n5fbNL/143-Punk-Hazard-Smoker-Chambres.png" TargetMode="External"/><Relationship Id="rId156" Type="http://schemas.openxmlformats.org/officeDocument/2006/relationships/hyperlink" Target="https://i.postimg.cc/1zRtDxvf/Blue-Attacker.png" TargetMode="External"/><Relationship Id="rId277" Type="http://schemas.openxmlformats.org/officeDocument/2006/relationships/hyperlink" Target="https://i.postimg.cc/1z4kDzgc/204-Blackbeard-Pirates-Former-Head-Jailer-of-Impel-Down-Shiryu.png" TargetMode="External"/><Relationship Id="rId398" Type="http://schemas.openxmlformats.org/officeDocument/2006/relationships/hyperlink" Target="https://i.postimg.cc/0NH8mz6B/Green-Attacker.png" TargetMode="External"/><Relationship Id="rId155" Type="http://schemas.openxmlformats.org/officeDocument/2006/relationships/hyperlink" Target="https://i.postimg.cc/Xq9x9Rcg/265-Revolutionary-Army-Solider-Hack.png" TargetMode="External"/><Relationship Id="rId276" Type="http://schemas.openxmlformats.org/officeDocument/2006/relationships/hyperlink" Target="https://i.postimg.cc/P5XhRWY7/Red-Defender.png" TargetMode="External"/><Relationship Id="rId397" Type="http://schemas.openxmlformats.org/officeDocument/2006/relationships/hyperlink" Target="https://i.postimg.cc/Pfm5C6nf/144-Former-Navy-Admiral-Kuzan.png" TargetMode="External"/><Relationship Id="rId40" Type="http://schemas.openxmlformats.org/officeDocument/2006/relationships/hyperlink" Target="https://i.postimg.cc/Hk6HDrtk/Red-Runner.png" TargetMode="External"/><Relationship Id="rId42" Type="http://schemas.openxmlformats.org/officeDocument/2006/relationships/hyperlink" Target="https://i.postimg.cc/qRhpGpyM/Green-Defender.png" TargetMode="External"/><Relationship Id="rId41" Type="http://schemas.openxmlformats.org/officeDocument/2006/relationships/hyperlink" Target="https://i.postimg.cc/KzBkWfHQ/322-Davy-Back-Fight-Foxy.png" TargetMode="External"/><Relationship Id="rId44" Type="http://schemas.openxmlformats.org/officeDocument/2006/relationships/hyperlink" Target="https://i.postimg.cc/L6B2DCYf/Red-Attacker.png" TargetMode="External"/><Relationship Id="rId43" Type="http://schemas.openxmlformats.org/officeDocument/2006/relationships/hyperlink" Target="https://i.postimg.cc/tJbZGP0b/321-Davy-Back-Fight-Monkey-D-Luffy.png" TargetMode="External"/><Relationship Id="rId46" Type="http://schemas.openxmlformats.org/officeDocument/2006/relationships/hyperlink" Target="https://i.postimg.cc/NGXg9fQd/Light-Attacker.png" TargetMode="External"/><Relationship Id="rId45" Type="http://schemas.openxmlformats.org/officeDocument/2006/relationships/hyperlink" Target="https://i.postimg.cc/L6zzngtT/320-Happosui-Army-13th-Chief-Sai.png" TargetMode="External"/><Relationship Id="rId509" Type="http://schemas.openxmlformats.org/officeDocument/2006/relationships/hyperlink" Target="https://i.postimg.cc/HkSQfY6N/088-Legendary-Samurai-Zombie-Ryuma.png" TargetMode="External"/><Relationship Id="rId508" Type="http://schemas.openxmlformats.org/officeDocument/2006/relationships/hyperlink" Target="https://i.postimg.cc/PxgT30Qb/Green-Runner.png" TargetMode="External"/><Relationship Id="rId629" Type="http://schemas.openxmlformats.org/officeDocument/2006/relationships/hyperlink" Target="https://i.postimg.cc/zBQ25wp9/028-Navy-HQ-Master-Chief-Petty-Officer-Tashigi.png" TargetMode="External"/><Relationship Id="rId503" Type="http://schemas.openxmlformats.org/officeDocument/2006/relationships/hyperlink" Target="https://i.postimg.cc/G3YxH1pB/091-The-Seven-Warlords-of-the-Sea-Jinbe.png" TargetMode="External"/><Relationship Id="rId624" Type="http://schemas.openxmlformats.org/officeDocument/2006/relationships/hyperlink" Target="https://i.postimg.cc/0NH8mz6B/Green-Attacker.png" TargetMode="External"/><Relationship Id="rId502" Type="http://schemas.openxmlformats.org/officeDocument/2006/relationships/hyperlink" Target="https://i.postimg.cc/L6B2DCYf/Red-Attacker.png" TargetMode="External"/><Relationship Id="rId623" Type="http://schemas.openxmlformats.org/officeDocument/2006/relationships/hyperlink" Target="https://i.postimg.cc/XJq1T1Kf/031-Climate-Baton-Nami.png" TargetMode="External"/><Relationship Id="rId501" Type="http://schemas.openxmlformats.org/officeDocument/2006/relationships/hyperlink" Target="https://i.postimg.cc/vTR7300H/092-Whole-Cake-Island-Sanji.png" TargetMode="External"/><Relationship Id="rId622" Type="http://schemas.openxmlformats.org/officeDocument/2006/relationships/hyperlink" Target="https://i.postimg.cc/1zRtDxvf/Blue-Attacker.png" TargetMode="External"/><Relationship Id="rId500" Type="http://schemas.openxmlformats.org/officeDocument/2006/relationships/hyperlink" Target="https://i.postimg.cc/P5XhRWY7/Red-Defender.png" TargetMode="External"/><Relationship Id="rId621" Type="http://schemas.openxmlformats.org/officeDocument/2006/relationships/hyperlink" Target="https://i.postimg.cc/zfJckGVP/032-5t-Hammer-Usopp.png" TargetMode="External"/><Relationship Id="rId507" Type="http://schemas.openxmlformats.org/officeDocument/2006/relationships/hyperlink" Target="https://i.postimg.cc/VksqGrWM/089-Thriller-Park-Pirates-Mysterious-Four-Perona.png" TargetMode="External"/><Relationship Id="rId628" Type="http://schemas.openxmlformats.org/officeDocument/2006/relationships/hyperlink" Target="https://i.postimg.cc/PxgT30Qb/Green-Runner.png" TargetMode="External"/><Relationship Id="rId506" Type="http://schemas.openxmlformats.org/officeDocument/2006/relationships/hyperlink" Target="https://i.postimg.cc/1zRtDxvf/Blue-Attacker.png" TargetMode="External"/><Relationship Id="rId627" Type="http://schemas.openxmlformats.org/officeDocument/2006/relationships/hyperlink" Target="https://i.postimg.cc/5yF7tHRj/029-Slip-Slip-Fruit-Alvida.png" TargetMode="External"/><Relationship Id="rId505" Type="http://schemas.openxmlformats.org/officeDocument/2006/relationships/hyperlink" Target="https://i.postimg.cc/MKSbBrc9/090-Imprisoned-Bride-Nami.png" TargetMode="External"/><Relationship Id="rId626" Type="http://schemas.openxmlformats.org/officeDocument/2006/relationships/hyperlink" Target="https://i.postimg.cc/4NzNM4MY/Blue-Runner.png" TargetMode="External"/><Relationship Id="rId504" Type="http://schemas.openxmlformats.org/officeDocument/2006/relationships/hyperlink" Target="https://i.postimg.cc/1zRtDxvf/Blue-Attacker.png" TargetMode="External"/><Relationship Id="rId625" Type="http://schemas.openxmlformats.org/officeDocument/2006/relationships/hyperlink" Target="https://i.postimg.cc/hGp3ZRm4/030-Baroque-Works-Frontier-Agents-Ms-Wednesday.png" TargetMode="External"/><Relationship Id="rId48" Type="http://schemas.openxmlformats.org/officeDocument/2006/relationships/hyperlink" Target="https://i.postimg.cc/P5XhRWY7/Red-Defender.png" TargetMode="External"/><Relationship Id="rId47" Type="http://schemas.openxmlformats.org/officeDocument/2006/relationships/hyperlink" Target="https://i.postimg.cc/hPFLD1dv/319-Tontatta-Pirates-Captain-Leo.png" TargetMode="External"/><Relationship Id="rId49" Type="http://schemas.openxmlformats.org/officeDocument/2006/relationships/hyperlink" Target="https://i.postimg.cc/j567pxV1/318-Celestial-Dragon-St-Charlos.png" TargetMode="External"/><Relationship Id="rId620" Type="http://schemas.openxmlformats.org/officeDocument/2006/relationships/hyperlink" Target="https://i.postimg.cc/m2xg81dx/Blue-Defender.png" TargetMode="External"/><Relationship Id="rId31" Type="http://schemas.openxmlformats.org/officeDocument/2006/relationships/hyperlink" Target="https://i.postimg.cc/50KFKP2c/327-Egghead-Nami.png" TargetMode="External"/><Relationship Id="rId30" Type="http://schemas.openxmlformats.org/officeDocument/2006/relationships/hyperlink" Target="https://i.postimg.cc/0j7xLZVT/Light-Defender.png" TargetMode="External"/><Relationship Id="rId33" Type="http://schemas.openxmlformats.org/officeDocument/2006/relationships/hyperlink" Target="https://i.postimg.cc/Kz0LqhWx/326-Blind-Swordsman-Fujitora-Issho.png" TargetMode="External"/><Relationship Id="rId32" Type="http://schemas.openxmlformats.org/officeDocument/2006/relationships/hyperlink" Target="https://i.postimg.cc/Hk6HDrtk/Red-Runner.png" TargetMode="External"/><Relationship Id="rId35" Type="http://schemas.openxmlformats.org/officeDocument/2006/relationships/hyperlink" Target="https://i.postimg.cc/0jrShHgm/325-Groves-of-Wrath-Ryokugyu-Aramaki.png" TargetMode="External"/><Relationship Id="rId34" Type="http://schemas.openxmlformats.org/officeDocument/2006/relationships/hyperlink" Target="https://i.postimg.cc/02q9pRQP/Light-Runner.png" TargetMode="External"/><Relationship Id="rId619" Type="http://schemas.openxmlformats.org/officeDocument/2006/relationships/hyperlink" Target="https://i.postimg.cc/y8C5kPBK/033-Veau-Vengeance-Sanji.png" TargetMode="External"/><Relationship Id="rId618" Type="http://schemas.openxmlformats.org/officeDocument/2006/relationships/hyperlink" Target="https://i.postimg.cc/0NH8mz6B/Green-Attacker.png" TargetMode="External"/><Relationship Id="rId613" Type="http://schemas.openxmlformats.org/officeDocument/2006/relationships/hyperlink" Target="https://i.postimg.cc/NFWn88H1/036-Red-Haired-Pirates-Sharp-Shooter-Yasopp.png" TargetMode="External"/><Relationship Id="rId612" Type="http://schemas.openxmlformats.org/officeDocument/2006/relationships/hyperlink" Target="https://i.postimg.cc/m2xg81dx/Blue-Defender.png" TargetMode="External"/><Relationship Id="rId611" Type="http://schemas.openxmlformats.org/officeDocument/2006/relationships/hyperlink" Target="https://i.postimg.cc/vT1j62cY/037-Girl-from-Syrub-Village-Kaya.png" TargetMode="External"/><Relationship Id="rId610" Type="http://schemas.openxmlformats.org/officeDocument/2006/relationships/hyperlink" Target="https://i.postimg.cc/L6B2DCYf/Red-Attacker.png" TargetMode="External"/><Relationship Id="rId617" Type="http://schemas.openxmlformats.org/officeDocument/2006/relationships/hyperlink" Target="https://i.postimg.cc/jq9BrTFL/034-Obe-Sword-Style-Iai-Lion-Song-Roronoa-Zoro.png" TargetMode="External"/><Relationship Id="rId616" Type="http://schemas.openxmlformats.org/officeDocument/2006/relationships/hyperlink" Target="https://i.postimg.cc/P5XhRWY7/Red-Defender.png" TargetMode="External"/><Relationship Id="rId615" Type="http://schemas.openxmlformats.org/officeDocument/2006/relationships/hyperlink" Target="https://i.postimg.cc/9F7Kmk61/035-Red-Haired-Pirates-Captain-Shanks.png" TargetMode="External"/><Relationship Id="rId614" Type="http://schemas.openxmlformats.org/officeDocument/2006/relationships/hyperlink" Target="https://i.postimg.cc/PxgT30Qb/Green-Runner.png" TargetMode="External"/><Relationship Id="rId37" Type="http://schemas.openxmlformats.org/officeDocument/2006/relationships/hyperlink" Target="https://i.postimg.cc/HLKWkgdw/324-Ama-no-Murakumo-Sword-Kizaru-Borsalino.png" TargetMode="External"/><Relationship Id="rId36" Type="http://schemas.openxmlformats.org/officeDocument/2006/relationships/hyperlink" Target="https://i.postimg.cc/P5XhRWY7/Red-Defender.png" TargetMode="External"/><Relationship Id="rId39" Type="http://schemas.openxmlformats.org/officeDocument/2006/relationships/hyperlink" Target="https://i.postimg.cc/023G8RPz/323-Davy-Back-Fight-Sanji.png" TargetMode="External"/><Relationship Id="rId38" Type="http://schemas.openxmlformats.org/officeDocument/2006/relationships/hyperlink" Target="https://i.postimg.cc/KjHbJxwR/Transforming-Element-Red-Attacker.png" TargetMode="External"/><Relationship Id="rId20" Type="http://schemas.openxmlformats.org/officeDocument/2006/relationships/hyperlink" Target="https://i.postimg.cc/MZPzWmHq/Transforming-Class-Dark-Defender.png" TargetMode="External"/><Relationship Id="rId22" Type="http://schemas.openxmlformats.org/officeDocument/2006/relationships/hyperlink" Target="https://i.postimg.cc/0j7xLZVT/Light-Defender.png" TargetMode="External"/><Relationship Id="rId21" Type="http://schemas.openxmlformats.org/officeDocument/2006/relationships/hyperlink" Target="https://i.postimg.cc/nLqZkVQz/332-Egghead-Nico-Robin.png" TargetMode="External"/><Relationship Id="rId24" Type="http://schemas.openxmlformats.org/officeDocument/2006/relationships/hyperlink" Target="https://i.postimg.cc/0j0ZVpyR/Transforming-Class-Light-Attacker.png" TargetMode="External"/><Relationship Id="rId23" Type="http://schemas.openxmlformats.org/officeDocument/2006/relationships/hyperlink" Target="https://i.postimg.cc/fLZsg4xb/331-Egghead-Tony-Tony-Chopper.png" TargetMode="External"/><Relationship Id="rId409" Type="http://schemas.openxmlformats.org/officeDocument/2006/relationships/hyperlink" Target="https://i.postimg.cc/VNCc36Ys/138-The-Greatest-Swordman-in-the-World-Dracule-Mihawk.png" TargetMode="External"/><Relationship Id="rId404" Type="http://schemas.openxmlformats.org/officeDocument/2006/relationships/hyperlink" Target="https://i.postimg.cc/PxgT30Qb/Green-Runner.png" TargetMode="External"/><Relationship Id="rId525" Type="http://schemas.openxmlformats.org/officeDocument/2006/relationships/hyperlink" Target="https://i.postimg.cc/HkLM4GT9/080-Gear-Four-Bounceman-Monkey-D-Luffy.png" TargetMode="External"/><Relationship Id="rId646" Type="http://schemas.openxmlformats.org/officeDocument/2006/relationships/hyperlink" Target="https://i.postimg.cc/Hk6HDrtk/Red-Runner.png" TargetMode="External"/><Relationship Id="rId403" Type="http://schemas.openxmlformats.org/officeDocument/2006/relationships/hyperlink" Target="https://i.postimg.cc/BvLq4pC0/141-The-Parmount-War-Crocodile.png" TargetMode="External"/><Relationship Id="rId524" Type="http://schemas.openxmlformats.org/officeDocument/2006/relationships/hyperlink" Target="https://i.postimg.cc/Hk6HDrtk/Red-Runner.png" TargetMode="External"/><Relationship Id="rId645" Type="http://schemas.openxmlformats.org/officeDocument/2006/relationships/hyperlink" Target="https://i.postimg.cc/k4V3xgHP/020-Buggy-Pirates-Captain-Buggy.png" TargetMode="External"/><Relationship Id="rId402" Type="http://schemas.openxmlformats.org/officeDocument/2006/relationships/hyperlink" Target="https://i.postimg.cc/1zRtDxvf/Blue-Attacker.png" TargetMode="External"/><Relationship Id="rId523" Type="http://schemas.openxmlformats.org/officeDocument/2006/relationships/hyperlink" Target="https://i.postimg.cc/7ZQ2KB68/081-The-Seven-Warlords-of-the-Sea-Don-Quixote-Doflamingo.png" TargetMode="External"/><Relationship Id="rId644" Type="http://schemas.openxmlformats.org/officeDocument/2006/relationships/hyperlink" Target="https://i.postimg.cc/0NH8mz6B/Green-Attacker.png" TargetMode="External"/><Relationship Id="rId401" Type="http://schemas.openxmlformats.org/officeDocument/2006/relationships/hyperlink" Target="https://i.postimg.cc/bwFz7Wkg/142-The-Parmount-War-Gecko-Moria.png" TargetMode="External"/><Relationship Id="rId522" Type="http://schemas.openxmlformats.org/officeDocument/2006/relationships/hyperlink" Target="https://i.postimg.cc/P5XhRWY7/Red-Defender.png" TargetMode="External"/><Relationship Id="rId643" Type="http://schemas.openxmlformats.org/officeDocument/2006/relationships/hyperlink" Target="https://i.postimg.cc/FKCXdLDx/021-Black-Cat-Pirates-Former-Captain-Captain-Kuro.png" TargetMode="External"/><Relationship Id="rId408" Type="http://schemas.openxmlformats.org/officeDocument/2006/relationships/hyperlink" Target="https://i.postimg.cc/1zRtDxvf/Blue-Attacker.png" TargetMode="External"/><Relationship Id="rId529" Type="http://schemas.openxmlformats.org/officeDocument/2006/relationships/hyperlink" Target="https://i.postimg.cc/Dz9bT8Lx/078-STAMPEDE-Monkey-D-Luffy.png" TargetMode="External"/><Relationship Id="rId407" Type="http://schemas.openxmlformats.org/officeDocument/2006/relationships/hyperlink" Target="https://i.postimg.cc/RVS4N4TG/139-Kuja-Pirates-Captain-Boa-Hancock.png" TargetMode="External"/><Relationship Id="rId528" Type="http://schemas.openxmlformats.org/officeDocument/2006/relationships/hyperlink" Target="https://i.postimg.cc/0NH8mz6B/Green-Attacker.png" TargetMode="External"/><Relationship Id="rId649" Type="http://schemas.openxmlformats.org/officeDocument/2006/relationships/hyperlink" Target="https://i.postimg.cc/J7kC0tJb/018-Bounty-Hunter-Yosaku.png" TargetMode="External"/><Relationship Id="rId406" Type="http://schemas.openxmlformats.org/officeDocument/2006/relationships/hyperlink" Target="https://i.postimg.cc/m2xg81dx/Blue-Defender.png" TargetMode="External"/><Relationship Id="rId527" Type="http://schemas.openxmlformats.org/officeDocument/2006/relationships/hyperlink" Target="https://i.postimg.cc/6Q2Ggd27/079-STAMPEDE-Sabo.png" TargetMode="External"/><Relationship Id="rId648" Type="http://schemas.openxmlformats.org/officeDocument/2006/relationships/hyperlink" Target="https://i.postimg.cc/4NzNM4MY/Blue-Runner.png" TargetMode="External"/><Relationship Id="rId405" Type="http://schemas.openxmlformats.org/officeDocument/2006/relationships/hyperlink" Target="https://i.postimg.cc/C5YYCgph/140-Ghost-Princess-Perona.png" TargetMode="External"/><Relationship Id="rId526" Type="http://schemas.openxmlformats.org/officeDocument/2006/relationships/hyperlink" Target="https://i.postimg.cc/0NH8mz6B/Green-Attacker.png" TargetMode="External"/><Relationship Id="rId647" Type="http://schemas.openxmlformats.org/officeDocument/2006/relationships/hyperlink" Target="https://i.postimg.cc/brb7BF86/019-Bounty-Hunter-Johnny.png" TargetMode="External"/><Relationship Id="rId26" Type="http://schemas.openxmlformats.org/officeDocument/2006/relationships/hyperlink" Target="https://i.postimg.cc/P52mhmnd/Transforming-Element-Blue-Attacker.png" TargetMode="External"/><Relationship Id="rId25" Type="http://schemas.openxmlformats.org/officeDocument/2006/relationships/hyperlink" Target="https://i.postimg.cc/L84ykwkF/330-Egghead-Brook.png" TargetMode="External"/><Relationship Id="rId28" Type="http://schemas.openxmlformats.org/officeDocument/2006/relationships/hyperlink" Target="https://i.postimg.cc/02q9pRQP/Light-Runner.png" TargetMode="External"/><Relationship Id="rId27" Type="http://schemas.openxmlformats.org/officeDocument/2006/relationships/hyperlink" Target="https://i.postimg.cc/pVzdz7Qm/329-The-Four-Emperors-Monkey-D-Luffy.png" TargetMode="External"/><Relationship Id="rId400" Type="http://schemas.openxmlformats.org/officeDocument/2006/relationships/hyperlink" Target="https://i.postimg.cc/L6B2DCYf/Red-Attacker.png" TargetMode="External"/><Relationship Id="rId521" Type="http://schemas.openxmlformats.org/officeDocument/2006/relationships/hyperlink" Target="https://i.postimg.cc/m2jMHZWr/082-Land-of-Wano-Trafalgar-Law.png" TargetMode="External"/><Relationship Id="rId642" Type="http://schemas.openxmlformats.org/officeDocument/2006/relationships/hyperlink" Target="https://i.postimg.cc/P5XhRWY7/Red-Defender.png" TargetMode="External"/><Relationship Id="rId29" Type="http://schemas.openxmlformats.org/officeDocument/2006/relationships/hyperlink" Target="https://i.postimg.cc/pV7FD1Sz/328-Egghead-Usopp.png" TargetMode="External"/><Relationship Id="rId520" Type="http://schemas.openxmlformats.org/officeDocument/2006/relationships/hyperlink" Target="https://i.postimg.cc/m2xg81dx/Blue-Defender.png" TargetMode="External"/><Relationship Id="rId641" Type="http://schemas.openxmlformats.org/officeDocument/2006/relationships/hyperlink" Target="https://i.postimg.cc/xd1S1RyC/022-Baratie-Head-Chef-Zeff.png" TargetMode="External"/><Relationship Id="rId640" Type="http://schemas.openxmlformats.org/officeDocument/2006/relationships/hyperlink" Target="https://i.postimg.cc/L6B2DCYf/Red-Attacker.png" TargetMode="External"/><Relationship Id="rId11" Type="http://schemas.openxmlformats.org/officeDocument/2006/relationships/hyperlink" Target="https://i.postimg.cc/XvHRZRhz/337-Genius-Scientist-Vegapunk.png" TargetMode="External"/><Relationship Id="rId10" Type="http://schemas.openxmlformats.org/officeDocument/2006/relationships/hyperlink" Target="https://i.postimg.cc/0j7xLZVT/Light-Defender.png" TargetMode="External"/><Relationship Id="rId13" Type="http://schemas.openxmlformats.org/officeDocument/2006/relationships/hyperlink" Target="https://i.postimg.cc/5t7hHhGr/336-Father-and-Daughter-Kuma-Bonney.png" TargetMode="External"/><Relationship Id="rId12" Type="http://schemas.openxmlformats.org/officeDocument/2006/relationships/hyperlink" Target="https://i.postimg.cc/PxgT30Qb/Green-Runner.png" TargetMode="External"/><Relationship Id="rId519" Type="http://schemas.openxmlformats.org/officeDocument/2006/relationships/hyperlink" Target="https://i.postimg.cc/wTgLMyPP/083-Land-of-Wano-Basil-Hawkins.png" TargetMode="External"/><Relationship Id="rId514" Type="http://schemas.openxmlformats.org/officeDocument/2006/relationships/hyperlink" Target="https://i.postimg.cc/L6B2DCYf/Red-Attacker.png" TargetMode="External"/><Relationship Id="rId635" Type="http://schemas.openxmlformats.org/officeDocument/2006/relationships/hyperlink" Target="https://i.postimg.cc/PfghQ1h3/025-Arlong-Pirates-Officer-Hatchan.png" TargetMode="External"/><Relationship Id="rId513" Type="http://schemas.openxmlformats.org/officeDocument/2006/relationships/hyperlink" Target="https://i.postimg.cc/mkN9VBc8/086-Big-Mom-Pirates-Sweet-3-General-Charlotte-Katakuri.png" TargetMode="External"/><Relationship Id="rId634" Type="http://schemas.openxmlformats.org/officeDocument/2006/relationships/hyperlink" Target="https://i.postimg.cc/m2xg81dx/Blue-Defender.png" TargetMode="External"/><Relationship Id="rId512" Type="http://schemas.openxmlformats.org/officeDocument/2006/relationships/hyperlink" Target="https://i.postimg.cc/m2xg81dx/Blue-Defender.png" TargetMode="External"/><Relationship Id="rId633" Type="http://schemas.openxmlformats.org/officeDocument/2006/relationships/hyperlink" Target="https://i.postimg.cc/SjFZYyBd/026-Arlong-Pirates-Officer-Kuroobi.png" TargetMode="External"/><Relationship Id="rId511" Type="http://schemas.openxmlformats.org/officeDocument/2006/relationships/hyperlink" Target="https://i.postimg.cc/cJrQWpjL/087-Ray-of-Hope-Nightmare-Luffy.png" TargetMode="External"/><Relationship Id="rId632" Type="http://schemas.openxmlformats.org/officeDocument/2006/relationships/hyperlink" Target="https://i.postimg.cc/0NH8mz6B/Green-Attacker.png" TargetMode="External"/><Relationship Id="rId518" Type="http://schemas.openxmlformats.org/officeDocument/2006/relationships/hyperlink" Target="https://i.postimg.cc/1zRtDxvf/Blue-Attacker.png" TargetMode="External"/><Relationship Id="rId639" Type="http://schemas.openxmlformats.org/officeDocument/2006/relationships/hyperlink" Target="https://i.postimg.cc/0yxsLxz7/023-Krieg-s-Pirate-Armada-Battle-Commander-Gin.png" TargetMode="External"/><Relationship Id="rId517" Type="http://schemas.openxmlformats.org/officeDocument/2006/relationships/hyperlink" Target="https://i.postimg.cc/L5MfznsJ/084-Land-of-Wano-Zorojuro.png" TargetMode="External"/><Relationship Id="rId638" Type="http://schemas.openxmlformats.org/officeDocument/2006/relationships/hyperlink" Target="https://i.postimg.cc/qRhpGpyM/Green-Defender.png" TargetMode="External"/><Relationship Id="rId516" Type="http://schemas.openxmlformats.org/officeDocument/2006/relationships/hyperlink" Target="https://i.postimg.cc/qRhpGpyM/Green-Defender.png" TargetMode="External"/><Relationship Id="rId637" Type="http://schemas.openxmlformats.org/officeDocument/2006/relationships/hyperlink" Target="https://i.postimg.cc/c4fW96Ls/024-Krieg-s-Pirate-Armada-Admiral-Don-Krieg.png" TargetMode="External"/><Relationship Id="rId515" Type="http://schemas.openxmlformats.org/officeDocument/2006/relationships/hyperlink" Target="https://i.postimg.cc/VsjXzB7n/085-Big-Mom-Pirates-Captain-Charlotte-Linlin.png" TargetMode="External"/><Relationship Id="rId636" Type="http://schemas.openxmlformats.org/officeDocument/2006/relationships/hyperlink" Target="https://i.postimg.cc/L6B2DCYf/Red-Attacker.png" TargetMode="External"/><Relationship Id="rId15" Type="http://schemas.openxmlformats.org/officeDocument/2006/relationships/hyperlink" Target="https://i.postimg.cc/sxMBVywR/335-Egghead-Jimbie.png" TargetMode="External"/><Relationship Id="rId14" Type="http://schemas.openxmlformats.org/officeDocument/2006/relationships/hyperlink" Target="https://i.postimg.cc/L6B2DCYf/Red-Attacker.png" TargetMode="External"/><Relationship Id="rId17" Type="http://schemas.openxmlformats.org/officeDocument/2006/relationships/hyperlink" Target="https://i.postimg.cc/Gt4Bcrqw/334-Egghead-Franky.png" TargetMode="External"/><Relationship Id="rId16" Type="http://schemas.openxmlformats.org/officeDocument/2006/relationships/hyperlink" Target="https://i.postimg.cc/rppVK1p4/Dark-Runner.png" TargetMode="External"/><Relationship Id="rId19" Type="http://schemas.openxmlformats.org/officeDocument/2006/relationships/hyperlink" Target="https://i.postimg.cc/28691fqR/333-The-Five-Elders-St-Jaygarcia-Saturn.png" TargetMode="External"/><Relationship Id="rId510" Type="http://schemas.openxmlformats.org/officeDocument/2006/relationships/hyperlink" Target="https://i.postimg.cc/0NH8mz6B/Green-Attacker.png" TargetMode="External"/><Relationship Id="rId631" Type="http://schemas.openxmlformats.org/officeDocument/2006/relationships/hyperlink" Target="https://i.postimg.cc/jqwtfMVn/027-Arlong-Pirates-Officer-Choo.png" TargetMode="External"/><Relationship Id="rId18" Type="http://schemas.openxmlformats.org/officeDocument/2006/relationships/hyperlink" Target="https://i.postimg.cc/QdmN84js/Dark-Attacker.png" TargetMode="External"/><Relationship Id="rId630" Type="http://schemas.openxmlformats.org/officeDocument/2006/relationships/hyperlink" Target="https://i.postimg.cc/4NzNM4MY/Blue-Runner.png" TargetMode="External"/><Relationship Id="rId84" Type="http://schemas.openxmlformats.org/officeDocument/2006/relationships/hyperlink" Target="https://i.postimg.cc/0NH8mz6B/Green-Attacker.png" TargetMode="External"/><Relationship Id="rId83" Type="http://schemas.openxmlformats.org/officeDocument/2006/relationships/hyperlink" Target="https://i.postimg.cc/FRMxyG5h/301.Seraphim_S-Bear.png" TargetMode="External"/><Relationship Id="rId86" Type="http://schemas.openxmlformats.org/officeDocument/2006/relationships/hyperlink" Target="https://i.postimg.cc/qRhpGpyM/Green-Defender.png" TargetMode="External"/><Relationship Id="rId85" Type="http://schemas.openxmlformats.org/officeDocument/2006/relationships/hyperlink" Target="https://i.postimg.cc/qv2FNnGJ/300.Punk-02_Lilith.png" TargetMode="External"/><Relationship Id="rId88" Type="http://schemas.openxmlformats.org/officeDocument/2006/relationships/hyperlink" Target="https://i.postimg.cc/Kv1x433L/Transforming-Class-Dark-Runner.png" TargetMode="External"/><Relationship Id="rId87" Type="http://schemas.openxmlformats.org/officeDocument/2006/relationships/hyperlink" Target="https://i.postimg.cc/3xn5qz9b/299-Happy-Halloween-Uta.png" TargetMode="External"/><Relationship Id="rId89" Type="http://schemas.openxmlformats.org/officeDocument/2006/relationships/hyperlink" Target="https://i.postimg.cc/6QPsWRkr/298-The-Red-Broggy.png" TargetMode="External"/><Relationship Id="rId80" Type="http://schemas.openxmlformats.org/officeDocument/2006/relationships/hyperlink" Target="https://i.postimg.cc/P5XhRWY7/Red-Defender.png" TargetMode="External"/><Relationship Id="rId82" Type="http://schemas.openxmlformats.org/officeDocument/2006/relationships/hyperlink" Target="https://i.postimg.cc/QdmN84js/Dark-Attacker.png" TargetMode="External"/><Relationship Id="rId81" Type="http://schemas.openxmlformats.org/officeDocument/2006/relationships/hyperlink" Target="https://i.postimg.cc/02rKRFgm/302-Punk-05-Atlas.png" TargetMode="External"/><Relationship Id="rId73" Type="http://schemas.openxmlformats.org/officeDocument/2006/relationships/hyperlink" Target="https://i.postimg.cc/LszxNssL/306-Egghead-Jewelry-Bonney.png" TargetMode="External"/><Relationship Id="rId72" Type="http://schemas.openxmlformats.org/officeDocument/2006/relationships/hyperlink" Target="https://i.postimg.cc/02q9pRQP/Light-Runner.png" TargetMode="External"/><Relationship Id="rId75" Type="http://schemas.openxmlformats.org/officeDocument/2006/relationships/hyperlink" Target="https://i.postimg.cc/d0zFgJmh/305-Egghead-Sanji.png" TargetMode="External"/><Relationship Id="rId74" Type="http://schemas.openxmlformats.org/officeDocument/2006/relationships/hyperlink" Target="https://i.postimg.cc/m2xg81dx/Blue-Defender.png" TargetMode="External"/><Relationship Id="rId77" Type="http://schemas.openxmlformats.org/officeDocument/2006/relationships/hyperlink" Target="https://i.postimg.cc/KYKF91LX/304-Seraphim-S-Shark.png" TargetMode="External"/><Relationship Id="rId76" Type="http://schemas.openxmlformats.org/officeDocument/2006/relationships/hyperlink" Target="https://i.postimg.cc/m2xg81dx/Blue-Defender.png" TargetMode="External"/><Relationship Id="rId79" Type="http://schemas.openxmlformats.org/officeDocument/2006/relationships/hyperlink" Target="https://i.postimg.cc/j5sGsLmy/303-Punk-06-York.png" TargetMode="External"/><Relationship Id="rId78" Type="http://schemas.openxmlformats.org/officeDocument/2006/relationships/hyperlink" Target="https://i.postimg.cc/PxgT30Qb/Green-Runner.png" TargetMode="External"/><Relationship Id="rId71" Type="http://schemas.openxmlformats.org/officeDocument/2006/relationships/hyperlink" Target="https://i.postimg.cc/vBLzmK4B/307-Navy-HQ-Lt-Commander-Helmeppo.png" TargetMode="External"/><Relationship Id="rId70" Type="http://schemas.openxmlformats.org/officeDocument/2006/relationships/hyperlink" Target="https://i.postimg.cc/QdmN84js/Dark-Attacker.png" TargetMode="External"/><Relationship Id="rId62" Type="http://schemas.openxmlformats.org/officeDocument/2006/relationships/hyperlink" Target="https://i.postimg.cc/PxgT30Qb/Green-Runner.png" TargetMode="External"/><Relationship Id="rId61" Type="http://schemas.openxmlformats.org/officeDocument/2006/relationships/hyperlink" Target="https://i.postimg.cc/13TGnV64/312-Flame-Emperor-Sabo.png" TargetMode="External"/><Relationship Id="rId64" Type="http://schemas.openxmlformats.org/officeDocument/2006/relationships/hyperlink" Target="https://i.postimg.cc/MZPzWmHq/Transforming-Class-Dark-Defender.png" TargetMode="External"/><Relationship Id="rId63" Type="http://schemas.openxmlformats.org/officeDocument/2006/relationships/hyperlink" Target="https://i.postimg.cc/Bv7cNzNX/311-Assistant-Fish-Man-Karate-Master-Koala.png" TargetMode="External"/><Relationship Id="rId66" Type="http://schemas.openxmlformats.org/officeDocument/2006/relationships/hyperlink" Target="https://i.postimg.cc/vZ9ytRzZ/Transforming-Class-Green-Defender.png" TargetMode="External"/><Relationship Id="rId65" Type="http://schemas.openxmlformats.org/officeDocument/2006/relationships/hyperlink" Target="https://i.postimg.cc/zB7mxZRD/310-Blackbeard-Pirates-Kuzan.png" TargetMode="External"/><Relationship Id="rId68" Type="http://schemas.openxmlformats.org/officeDocument/2006/relationships/hyperlink" Target="https://i.postimg.cc/QdmN84js/Dark-Attacker.png" TargetMode="External"/><Relationship Id="rId67" Type="http://schemas.openxmlformats.org/officeDocument/2006/relationships/hyperlink" Target="https://i.postimg.cc/FHf17Y4x/309-Navy-HQ-Captain-Koby.png" TargetMode="External"/><Relationship Id="rId609" Type="http://schemas.openxmlformats.org/officeDocument/2006/relationships/hyperlink" Target="https://i.postimg.cc/269MyNj9/038-The-Seven-Warlords-of-the-Sea-Dracule-Mihawk.png" TargetMode="External"/><Relationship Id="rId608" Type="http://schemas.openxmlformats.org/officeDocument/2006/relationships/hyperlink" Target="https://i.postimg.cc/1zRtDxvf/Blue-Attacker.png" TargetMode="External"/><Relationship Id="rId607" Type="http://schemas.openxmlformats.org/officeDocument/2006/relationships/hyperlink" Target="https://i.postimg.cc/0NfLgJTs/039-Arlong-Pirates-Captain-Arlong.png" TargetMode="External"/><Relationship Id="rId60" Type="http://schemas.openxmlformats.org/officeDocument/2006/relationships/hyperlink" Target="https://i.postimg.cc/L6B2DCYf/Red-Attacker.png" TargetMode="External"/><Relationship Id="rId602" Type="http://schemas.openxmlformats.org/officeDocument/2006/relationships/hyperlink" Target="https://i.postimg.cc/qRhpGpyM/Green-Defender.png" TargetMode="External"/><Relationship Id="rId601" Type="http://schemas.openxmlformats.org/officeDocument/2006/relationships/hyperlink" Target="https://i.postimg.cc/7ZSFVRXb/042-Drum-Kingdom-Former-Ruler-Wapol.png" TargetMode="External"/><Relationship Id="rId600" Type="http://schemas.openxmlformats.org/officeDocument/2006/relationships/hyperlink" Target="https://i.postimg.cc/P5XhRWY7/Red-Defender.png" TargetMode="External"/><Relationship Id="rId606" Type="http://schemas.openxmlformats.org/officeDocument/2006/relationships/hyperlink" Target="https://i.postimg.cc/L6B2DCYf/Red-Attacker.png" TargetMode="External"/><Relationship Id="rId605" Type="http://schemas.openxmlformats.org/officeDocument/2006/relationships/hyperlink" Target="https://i.postimg.cc/mDgKTg4F/040-30-Million-Berry-Bounty-Monkey-D-Luffy.png" TargetMode="External"/><Relationship Id="rId604" Type="http://schemas.openxmlformats.org/officeDocument/2006/relationships/hyperlink" Target="https://i.postimg.cc/qRhpGpyM/Green-Defender.png" TargetMode="External"/><Relationship Id="rId603" Type="http://schemas.openxmlformats.org/officeDocument/2006/relationships/hyperlink" Target="https://i.postimg.cc/cLqqfWRV/041-Navy-HQ-Captain-Smoker.png" TargetMode="External"/><Relationship Id="rId69" Type="http://schemas.openxmlformats.org/officeDocument/2006/relationships/hyperlink" Target="https://i.postimg.cc/283vfK7H/308-Legendary-Hero-Monkey-D-Garp.png" TargetMode="External"/><Relationship Id="rId51" Type="http://schemas.openxmlformats.org/officeDocument/2006/relationships/hyperlink" Target="https://i.postimg.cc/c1gdF4rC/317-Clear-Clear-Fruit-Shiryu-Skill.png" TargetMode="External"/><Relationship Id="rId50" Type="http://schemas.openxmlformats.org/officeDocument/2006/relationships/hyperlink" Target="https://i.postimg.cc/0j7xLZVT/Light-Defender.png" TargetMode="External"/><Relationship Id="rId53" Type="http://schemas.openxmlformats.org/officeDocument/2006/relationships/hyperlink" Target="https://i.postimg.cc/s1d6cJ1Y/316-Strong-Strong-Fruit-Jesus-Burgess-Skill.png" TargetMode="External"/><Relationship Id="rId52" Type="http://schemas.openxmlformats.org/officeDocument/2006/relationships/hyperlink" Target="https://i.postimg.cc/0NH8mz6B/Green-Attacker.png" TargetMode="External"/><Relationship Id="rId55" Type="http://schemas.openxmlformats.org/officeDocument/2006/relationships/hyperlink" Target="https://i.postimg.cc/d3Wx2hQ1/315-Germa-66-Vinsmoke-Yonji.png" TargetMode="External"/><Relationship Id="rId54" Type="http://schemas.openxmlformats.org/officeDocument/2006/relationships/hyperlink" Target="https://i.postimg.cc/P5XhRWY7/Red-Defender.png" TargetMode="External"/><Relationship Id="rId57" Type="http://schemas.openxmlformats.org/officeDocument/2006/relationships/hyperlink" Target="https://i.postimg.cc/ncz5HGTQ/314-Germa-66-Vinsmoke-Neji.png" TargetMode="External"/><Relationship Id="rId56" Type="http://schemas.openxmlformats.org/officeDocument/2006/relationships/hyperlink" Target="https://i.postimg.cc/qRhpGpyM/Green-Defender.png" TargetMode="External"/><Relationship Id="rId59" Type="http://schemas.openxmlformats.org/officeDocument/2006/relationships/hyperlink" Target="https://i.postimg.cc/PfK9sRbj/313-Germa-66-Vinsmoke-Ichiji.png" TargetMode="External"/><Relationship Id="rId58" Type="http://schemas.openxmlformats.org/officeDocument/2006/relationships/hyperlink" Target="https://i.postimg.cc/4NzNM4MY/Blue-Runner.png" TargetMode="External"/><Relationship Id="rId590" Type="http://schemas.openxmlformats.org/officeDocument/2006/relationships/hyperlink" Target="https://i.postimg.cc/1zRtDxvf/Blue-Attacker.png" TargetMode="External"/><Relationship Id="rId107" Type="http://schemas.openxmlformats.org/officeDocument/2006/relationships/hyperlink" Target="https://i.postimg.cc/WbLM7CcB/289-Egghead-Roronoa-Zoro.png" TargetMode="External"/><Relationship Id="rId228" Type="http://schemas.openxmlformats.org/officeDocument/2006/relationships/hyperlink" Target="https://i.postimg.cc/m2xg81dx/Blue-Defender.png" TargetMode="External"/><Relationship Id="rId349" Type="http://schemas.openxmlformats.org/officeDocument/2006/relationships/hyperlink" Target="https://i.postimg.cc/9XNqB8Nd/168-Raid-on-Onigashima-Monkey-D-Luffy.png" TargetMode="External"/><Relationship Id="rId106" Type="http://schemas.openxmlformats.org/officeDocument/2006/relationships/hyperlink" Target="https://i.postimg.cc/L6B2DCYf/Red-Attacker.png" TargetMode="External"/><Relationship Id="rId227" Type="http://schemas.openxmlformats.org/officeDocument/2006/relationships/hyperlink" Target="https://i.postimg.cc/qv20zq3t/229-Hyogoro-Family-Big-Boss-Hyogoro.png" TargetMode="External"/><Relationship Id="rId348" Type="http://schemas.openxmlformats.org/officeDocument/2006/relationships/hyperlink" Target="https://i.postimg.cc/4NzNM4MY/Blue-Runner.png" TargetMode="External"/><Relationship Id="rId469" Type="http://schemas.openxmlformats.org/officeDocument/2006/relationships/hyperlink" Target="https://i.postimg.cc/d13Gqzx0/108-Navy-HQ-Admiral-Fujitora-Issho.png" TargetMode="External"/><Relationship Id="rId105" Type="http://schemas.openxmlformats.org/officeDocument/2006/relationships/hyperlink" Target="https://i.postimg.cc/BZ1THsk5/290-Seraphim-S-Hawk.png" TargetMode="External"/><Relationship Id="rId226" Type="http://schemas.openxmlformats.org/officeDocument/2006/relationships/hyperlink" Target="https://i.postimg.cc/1zRtDxvf/Blue-Attacker.png" TargetMode="External"/><Relationship Id="rId347" Type="http://schemas.openxmlformats.org/officeDocument/2006/relationships/hyperlink" Target="https://i.postimg.cc/XqhG7qyH/169-Impel-Down-Prisoner-Bon-Clay-aka-Mr-2.png" TargetMode="External"/><Relationship Id="rId468" Type="http://schemas.openxmlformats.org/officeDocument/2006/relationships/hyperlink" Target="https://i.postimg.cc/L6B2DCYf/Red-Attacker.png" TargetMode="External"/><Relationship Id="rId589" Type="http://schemas.openxmlformats.org/officeDocument/2006/relationships/hyperlink" Target="https://i.postimg.cc/fbNNQskx/048-Whitebeard-Pirates-2nd-Division-Commander-Portgaz-D-Ace.png" TargetMode="External"/><Relationship Id="rId104" Type="http://schemas.openxmlformats.org/officeDocument/2006/relationships/hyperlink" Target="https://i.postimg.cc/4NzNM4MY/Blue-Runner.png" TargetMode="External"/><Relationship Id="rId225" Type="http://schemas.openxmlformats.org/officeDocument/2006/relationships/hyperlink" Target="https://i.postimg.cc/vTDbBvrM/230-Top-Secret-Special-Force-Captain-of-Sword-X-Drake.png" TargetMode="External"/><Relationship Id="rId346" Type="http://schemas.openxmlformats.org/officeDocument/2006/relationships/hyperlink" Target="https://i.postimg.cc/P5XhRWY7/Red-Defender.png" TargetMode="External"/><Relationship Id="rId467" Type="http://schemas.openxmlformats.org/officeDocument/2006/relationships/hyperlink" Target="https://i.postimg.cc/jjZzYsv9/109-Luffy-s-Brother-Sabo.png" TargetMode="External"/><Relationship Id="rId588" Type="http://schemas.openxmlformats.org/officeDocument/2006/relationships/hyperlink" Target="https://i.postimg.cc/L6B2DCYf/Red-Attacker.png" TargetMode="External"/><Relationship Id="rId109" Type="http://schemas.openxmlformats.org/officeDocument/2006/relationships/hyperlink" Target="https://i.postimg.cc/rsDwWZsY/287-Seraphim-S-Snake.png" TargetMode="External"/><Relationship Id="rId108" Type="http://schemas.openxmlformats.org/officeDocument/2006/relationships/hyperlink" Target="https://i.postimg.cc/02q9pRQP/Light-Runner.png" TargetMode="External"/><Relationship Id="rId229" Type="http://schemas.openxmlformats.org/officeDocument/2006/relationships/hyperlink" Target="https://i.postimg.cc/bv8PbPxm/228-Kozuki-Clan-Servant-Raizo.png" TargetMode="External"/><Relationship Id="rId220" Type="http://schemas.openxmlformats.org/officeDocument/2006/relationships/hyperlink" Target="https://i.postimg.cc/k4wqRxyN/Transforming-Class-Red-Defender.png" TargetMode="External"/><Relationship Id="rId341" Type="http://schemas.openxmlformats.org/officeDocument/2006/relationships/hyperlink" Target="https://i.postimg.cc/3R8DtPTB/172-Baroque-Works-Officer-Agent-Mr-3.png" TargetMode="External"/><Relationship Id="rId462" Type="http://schemas.openxmlformats.org/officeDocument/2006/relationships/hyperlink" Target="https://i.postimg.cc/PxgT30Qb/Green-Runner.png" TargetMode="External"/><Relationship Id="rId583" Type="http://schemas.openxmlformats.org/officeDocument/2006/relationships/hyperlink" Target="https://i.postimg.cc/VLJ1j43b/051-Baroque-Works-Officer-Agent-Bon-Clay-aka-Mr-2.png" TargetMode="External"/><Relationship Id="rId340" Type="http://schemas.openxmlformats.org/officeDocument/2006/relationships/hyperlink" Target="https://i.postimg.cc/4NzNM4MY/Blue-Runner.png" TargetMode="External"/><Relationship Id="rId461" Type="http://schemas.openxmlformats.org/officeDocument/2006/relationships/hyperlink" Target="https://i.postimg.cc/T2SJP3Gv/112-The-King-of-the-Snipers-Sniper-King.png" TargetMode="External"/><Relationship Id="rId582" Type="http://schemas.openxmlformats.org/officeDocument/2006/relationships/hyperlink" Target="https://i.postimg.cc/4NzNM4MY/Blue-Runner.png" TargetMode="External"/><Relationship Id="rId460" Type="http://schemas.openxmlformats.org/officeDocument/2006/relationships/hyperlink" Target="https://i.postimg.cc/1zRtDxvf/Blue-Attacker.png" TargetMode="External"/><Relationship Id="rId581" Type="http://schemas.openxmlformats.org/officeDocument/2006/relationships/hyperlink" Target="https://i.postimg.cc/ZY74BXDS/052-Baroque-Works-Vice-President-Ms-All-Sunday.png" TargetMode="External"/><Relationship Id="rId580" Type="http://schemas.openxmlformats.org/officeDocument/2006/relationships/hyperlink" Target="https://i.postimg.cc/Hk6HDrtk/Red-Runner.png" TargetMode="External"/><Relationship Id="rId103" Type="http://schemas.openxmlformats.org/officeDocument/2006/relationships/hyperlink" Target="https://i.postimg.cc/tCVDhqLT/291-CP9-Blueno.png" TargetMode="External"/><Relationship Id="rId224" Type="http://schemas.openxmlformats.org/officeDocument/2006/relationships/hyperlink" Target="https://i.postimg.cc/Hk6HDrtk/Red-Runner.png" TargetMode="External"/><Relationship Id="rId345" Type="http://schemas.openxmlformats.org/officeDocument/2006/relationships/hyperlink" Target="https://i.postimg.cc/Vv508n50/170-Raid-on-Onigashima-Eustass-Kid.png" TargetMode="External"/><Relationship Id="rId466" Type="http://schemas.openxmlformats.org/officeDocument/2006/relationships/hyperlink" Target="https://i.postimg.cc/0NH8mz6B/Green-Attacker.png" TargetMode="External"/><Relationship Id="rId587" Type="http://schemas.openxmlformats.org/officeDocument/2006/relationships/hyperlink" Target="https://i.postimg.cc/y89HGx61/049-Navy-HQ-Admiral-Akainu-Sakazuki.png" TargetMode="External"/><Relationship Id="rId102" Type="http://schemas.openxmlformats.org/officeDocument/2006/relationships/hyperlink" Target="https://i.postimg.cc/0NH8mz6B/Green-Attacker.png" TargetMode="External"/><Relationship Id="rId223" Type="http://schemas.openxmlformats.org/officeDocument/2006/relationships/hyperlink" Target="https://i.postimg.cc/JhWrqZLc/231-Animal-Kingdom-Pirates-Lead-Performer-King.png" TargetMode="External"/><Relationship Id="rId344" Type="http://schemas.openxmlformats.org/officeDocument/2006/relationships/hyperlink" Target="https://i.postimg.cc/L6B2DCYf/Red-Attacker.png" TargetMode="External"/><Relationship Id="rId465" Type="http://schemas.openxmlformats.org/officeDocument/2006/relationships/hyperlink" Target="https://i.postimg.cc/k5nxHVNK/110-CP9-Rob-Lucci.png" TargetMode="External"/><Relationship Id="rId586" Type="http://schemas.openxmlformats.org/officeDocument/2006/relationships/hyperlink" Target="https://i.postimg.cc/m2xg81dx/Blue-Defender.png" TargetMode="External"/><Relationship Id="rId101" Type="http://schemas.openxmlformats.org/officeDocument/2006/relationships/hyperlink" Target="https://i.postimg.cc/3x519MTZ/292-CP9-Jabra.png" TargetMode="External"/><Relationship Id="rId222" Type="http://schemas.openxmlformats.org/officeDocument/2006/relationships/hyperlink" Target="https://i.postimg.cc/1zRtDxvf/Blue-Attacker.png" TargetMode="External"/><Relationship Id="rId343" Type="http://schemas.openxmlformats.org/officeDocument/2006/relationships/hyperlink" Target="https://i.postimg.cc/85Zf9tkV/171-Raid-on-Onigashima-Trafalger-Law.png" TargetMode="External"/><Relationship Id="rId464" Type="http://schemas.openxmlformats.org/officeDocument/2006/relationships/hyperlink" Target="https://i.postimg.cc/Hk6HDrtk/Red-Runner.png" TargetMode="External"/><Relationship Id="rId585" Type="http://schemas.openxmlformats.org/officeDocument/2006/relationships/hyperlink" Target="https://i.postimg.cc/pX3vkzHc/050-Navy-HQ-Admiral-Aokiji-Kuzan.png" TargetMode="External"/><Relationship Id="rId100" Type="http://schemas.openxmlformats.org/officeDocument/2006/relationships/hyperlink" Target="https://i.postimg.cc/bN48nY15/Transforming-Class-Blue-Runner.png" TargetMode="External"/><Relationship Id="rId221" Type="http://schemas.openxmlformats.org/officeDocument/2006/relationships/hyperlink" Target="https://i.postimg.cc/zGhDKp9G/232-ODYSSEY-Adio-Suerte.png" TargetMode="External"/><Relationship Id="rId342" Type="http://schemas.openxmlformats.org/officeDocument/2006/relationships/hyperlink" Target="https://i.postimg.cc/qRhpGpyM/Green-Defender.png" TargetMode="External"/><Relationship Id="rId463" Type="http://schemas.openxmlformats.org/officeDocument/2006/relationships/hyperlink" Target="https://i.postimg.cc/nhfKvSCd/111-CP9-Kaku.png" TargetMode="External"/><Relationship Id="rId584" Type="http://schemas.openxmlformats.org/officeDocument/2006/relationships/hyperlink" Target="https://i.postimg.cc/0NH8mz6B/Green-Attacker.png" TargetMode="External"/><Relationship Id="rId217" Type="http://schemas.openxmlformats.org/officeDocument/2006/relationships/hyperlink" Target="https://i.postimg.cc/HWSLgrwd/234-Battle-of-Monsters-on-Onigashima-Kaido.png" TargetMode="External"/><Relationship Id="rId338" Type="http://schemas.openxmlformats.org/officeDocument/2006/relationships/hyperlink" Target="https://i.postimg.cc/1zRtDxvf/Blue-Attacker.png" TargetMode="External"/><Relationship Id="rId459" Type="http://schemas.openxmlformats.org/officeDocument/2006/relationships/hyperlink" Target="https://i.postimg.cc/RVHQJxV6/113-STAMPEDE-Douglas-Bullet.png" TargetMode="External"/><Relationship Id="rId216" Type="http://schemas.openxmlformats.org/officeDocument/2006/relationships/hyperlink" Target="https://i.postimg.cc/KjHbJxwR/Transforming-Element-Red-Attacker.png" TargetMode="External"/><Relationship Id="rId337" Type="http://schemas.openxmlformats.org/officeDocument/2006/relationships/hyperlink" Target="https://i.postimg.cc/Gp1Dy4g6/174-Lieutenant-Royal-Guard-of-Alabasta-Pell.png" TargetMode="External"/><Relationship Id="rId458" Type="http://schemas.openxmlformats.org/officeDocument/2006/relationships/hyperlink" Target="https://i.postimg.cc/qRhpGpyM/Green-Defender.png" TargetMode="External"/><Relationship Id="rId579" Type="http://schemas.openxmlformats.org/officeDocument/2006/relationships/hyperlink" Target="https://i.postimg.cc/wMGpCssv/053-The-Seven-Warlords-of-the-Sea-Hancock.png" TargetMode="External"/><Relationship Id="rId215" Type="http://schemas.openxmlformats.org/officeDocument/2006/relationships/hyperlink" Target="https://i.postimg.cc/d3SQmfsL/235-Raid-on-Onigashima-Roronoa-Zoro.png" TargetMode="External"/><Relationship Id="rId336" Type="http://schemas.openxmlformats.org/officeDocument/2006/relationships/hyperlink" Target="https://i.postimg.cc/Hk6HDrtk/Red-Runner.png" TargetMode="External"/><Relationship Id="rId457" Type="http://schemas.openxmlformats.org/officeDocument/2006/relationships/hyperlink" Target="https://i.postimg.cc/gJ2Hxwnm/114-Navy-HQ-Rear-Admiral-Hina.png" TargetMode="External"/><Relationship Id="rId578" Type="http://schemas.openxmlformats.org/officeDocument/2006/relationships/hyperlink" Target="https://i.postimg.cc/qRhpGpyM/Green-Defender.png" TargetMode="External"/><Relationship Id="rId214" Type="http://schemas.openxmlformats.org/officeDocument/2006/relationships/hyperlink" Target="https://i.postimg.cc/m2xg81dx/Blue-Defender.png" TargetMode="External"/><Relationship Id="rId335" Type="http://schemas.openxmlformats.org/officeDocument/2006/relationships/hyperlink" Target="https://i.postimg.cc/MpBRH75y/175-Princess-and-Loyal-Partner-Vivi-Karoo.png" TargetMode="External"/><Relationship Id="rId456" Type="http://schemas.openxmlformats.org/officeDocument/2006/relationships/hyperlink" Target="https://i.postimg.cc/Hk6HDrtk/Red-Runner.png" TargetMode="External"/><Relationship Id="rId577" Type="http://schemas.openxmlformats.org/officeDocument/2006/relationships/hyperlink" Target="https://i.postimg.cc/zvBN2kv6/054-The-Seven-Warlords-of-the-Sea-Gecko-Moria.png" TargetMode="External"/><Relationship Id="rId219" Type="http://schemas.openxmlformats.org/officeDocument/2006/relationships/hyperlink" Target="https://i.postimg.cc/Kvwv1CpW/233-Battle-of-Monsters-on-Onigashima-Olin-the-Oiran.png" TargetMode="External"/><Relationship Id="rId218" Type="http://schemas.openxmlformats.org/officeDocument/2006/relationships/hyperlink" Target="https://i.postimg.cc/PxgT30Qb/Green-Runner.png" TargetMode="External"/><Relationship Id="rId339" Type="http://schemas.openxmlformats.org/officeDocument/2006/relationships/hyperlink" Target="https://i.postimg.cc/VNBCBz3v/173-Baroque-Works-Officer-Agent-Ms-Goldenweek.png" TargetMode="External"/><Relationship Id="rId330" Type="http://schemas.openxmlformats.org/officeDocument/2006/relationships/hyperlink" Target="https://i.postimg.cc/L6B2DCYf/Red-Attacker.png" TargetMode="External"/><Relationship Id="rId451" Type="http://schemas.openxmlformats.org/officeDocument/2006/relationships/hyperlink" Target="https://i.postimg.cc/PrgySrFQ/117-Impel-Down-Warden-Magellan.png" TargetMode="External"/><Relationship Id="rId572" Type="http://schemas.openxmlformats.org/officeDocument/2006/relationships/hyperlink" Target="https://i.postimg.cc/m2xg81dx/Blue-Defender.png" TargetMode="External"/><Relationship Id="rId450" Type="http://schemas.openxmlformats.org/officeDocument/2006/relationships/hyperlink" Target="https://i.postimg.cc/PxgT30Qb/Green-Runner.png" TargetMode="External"/><Relationship Id="rId571" Type="http://schemas.openxmlformats.org/officeDocument/2006/relationships/hyperlink" Target="https://i.postimg.cc/gk7z51vD/057-Bellamy-Pirates-Captain-Bellamy.png" TargetMode="External"/><Relationship Id="rId570" Type="http://schemas.openxmlformats.org/officeDocument/2006/relationships/hyperlink" Target="https://i.postimg.cc/1zRtDxvf/Blue-Attacker.png" TargetMode="External"/><Relationship Id="rId213" Type="http://schemas.openxmlformats.org/officeDocument/2006/relationships/hyperlink" Target="https://i.postimg.cc/vBhZDBC7/236-Raid-on-Onigashima-Jinbe.png" TargetMode="External"/><Relationship Id="rId334" Type="http://schemas.openxmlformats.org/officeDocument/2006/relationships/hyperlink" Target="https://i.postimg.cc/PxgT30Qb/Green-Runner.png" TargetMode="External"/><Relationship Id="rId455" Type="http://schemas.openxmlformats.org/officeDocument/2006/relationships/hyperlink" Target="https://i.postimg.cc/TP9c2j2t/115-Grand-Line-Naval-Base-5-Captain-Tashigi.png" TargetMode="External"/><Relationship Id="rId576" Type="http://schemas.openxmlformats.org/officeDocument/2006/relationships/hyperlink" Target="https://i.postimg.cc/Hk6HDrtk/Red-Runner.png" TargetMode="External"/><Relationship Id="rId212" Type="http://schemas.openxmlformats.org/officeDocument/2006/relationships/hyperlink" Target="https://i.postimg.cc/0NH8mz6B/Green-Attacker.png" TargetMode="External"/><Relationship Id="rId333" Type="http://schemas.openxmlformats.org/officeDocument/2006/relationships/hyperlink" Target="https://i.postimg.cc/NfSmQJ6s/176-Land-of-Wano-Orobi.png" TargetMode="External"/><Relationship Id="rId454" Type="http://schemas.openxmlformats.org/officeDocument/2006/relationships/hyperlink" Target="https://i.postimg.cc/1zRtDxvf/Blue-Attacker.png" TargetMode="External"/><Relationship Id="rId575" Type="http://schemas.openxmlformats.org/officeDocument/2006/relationships/hyperlink" Target="https://i.postimg.cc/wv9gLzp6/055-108-Pound-Phoenix-Roronoa-Zoro.png" TargetMode="External"/><Relationship Id="rId211" Type="http://schemas.openxmlformats.org/officeDocument/2006/relationships/hyperlink" Target="https://i.postimg.cc/pTRd28cX/237-Animal-Kingdom-Pirates-Tobi-Roppo-Who-s-Who.png" TargetMode="External"/><Relationship Id="rId332" Type="http://schemas.openxmlformats.org/officeDocument/2006/relationships/hyperlink" Target="https://i.postimg.cc/m2xg81dx/Blue-Defender.png" TargetMode="External"/><Relationship Id="rId453" Type="http://schemas.openxmlformats.org/officeDocument/2006/relationships/hyperlink" Target="https://i.postimg.cc/cC6hbKSX/116-Gerand-Line-Navel-Base-5-Vice-Admiral-Smoker.png" TargetMode="External"/><Relationship Id="rId574" Type="http://schemas.openxmlformats.org/officeDocument/2006/relationships/hyperlink" Target="https://i.postimg.cc/1zRtDxvf/Blue-Attacker.png" TargetMode="External"/><Relationship Id="rId210" Type="http://schemas.openxmlformats.org/officeDocument/2006/relationships/hyperlink" Target="https://i.postimg.cc/qRhpGpyM/Green-Defender.png" TargetMode="External"/><Relationship Id="rId331" Type="http://schemas.openxmlformats.org/officeDocument/2006/relationships/hyperlink" Target="https://i.postimg.cc/bY61BNd2/177-Land-of-Wano-Bonekichi.png" TargetMode="External"/><Relationship Id="rId452" Type="http://schemas.openxmlformats.org/officeDocument/2006/relationships/hyperlink" Target="https://i.postimg.cc/m2xg81dx/Blue-Defender.png" TargetMode="External"/><Relationship Id="rId573" Type="http://schemas.openxmlformats.org/officeDocument/2006/relationships/hyperlink" Target="https://i.postimg.cc/cJys1Ykt/056-Arm-Point-Tony-Tony-Chopper.png" TargetMode="External"/><Relationship Id="rId370" Type="http://schemas.openxmlformats.org/officeDocument/2006/relationships/hyperlink" Target="https://i.postimg.cc/0NH8mz6B/Green-Attacker.png" TargetMode="External"/><Relationship Id="rId491" Type="http://schemas.openxmlformats.org/officeDocument/2006/relationships/hyperlink" Target="https://i.postimg.cc/7Y39Qy8v/097-Happy-Holiday-Franky.png" TargetMode="External"/><Relationship Id="rId490" Type="http://schemas.openxmlformats.org/officeDocument/2006/relationships/hyperlink" Target="https://i.postimg.cc/4NzNM4MY/Blue-Runner.png" TargetMode="External"/><Relationship Id="rId129" Type="http://schemas.openxmlformats.org/officeDocument/2006/relationships/hyperlink" Target="https://i.postimg.cc/MHB3dMxV/278-Whole-Cake-Island-Carrot.png" TargetMode="External"/><Relationship Id="rId128" Type="http://schemas.openxmlformats.org/officeDocument/2006/relationships/hyperlink" Target="https://i.postimg.cc/rppVK1p4/Dark-Runner.png" TargetMode="External"/><Relationship Id="rId249" Type="http://schemas.openxmlformats.org/officeDocument/2006/relationships/hyperlink" Target="https://i.postimg.cc/tgSXHf6D/218-FILM-RED-Shanks.png" TargetMode="External"/><Relationship Id="rId127" Type="http://schemas.openxmlformats.org/officeDocument/2006/relationships/hyperlink" Target="https://i.postimg.cc/7L0w9jpW/279-Great-Pirate-Gol-D-Roger.png" TargetMode="External"/><Relationship Id="rId248" Type="http://schemas.openxmlformats.org/officeDocument/2006/relationships/hyperlink" Target="https://i.postimg.cc/m2xg81dx/Blue-Defender.png" TargetMode="External"/><Relationship Id="rId369" Type="http://schemas.openxmlformats.org/officeDocument/2006/relationships/hyperlink" Target="https://i.postimg.cc/SxLsHDVt/158-Roger-s-Rival-Edward-Newgate.png" TargetMode="External"/><Relationship Id="rId126" Type="http://schemas.openxmlformats.org/officeDocument/2006/relationships/hyperlink" Target="https://i.postimg.cc/qv4MdVVj/Dark-Defender.png" TargetMode="External"/><Relationship Id="rId247" Type="http://schemas.openxmlformats.org/officeDocument/2006/relationships/hyperlink" Target="https://i.postimg.cc/3xZ8tWJs/219-FILM-RED-Ben-Beckman.png" TargetMode="External"/><Relationship Id="rId368" Type="http://schemas.openxmlformats.org/officeDocument/2006/relationships/hyperlink" Target="https://i.postimg.cc/PxgT30Qb/Green-Runner.png" TargetMode="External"/><Relationship Id="rId489" Type="http://schemas.openxmlformats.org/officeDocument/2006/relationships/hyperlink" Target="https://i.postimg.cc/L6KvT8WB/098-Happy-Holiday-Nico-Robin.png" TargetMode="External"/><Relationship Id="rId121" Type="http://schemas.openxmlformats.org/officeDocument/2006/relationships/hyperlink" Target="https://i.postimg.cc/QNFR6m9R/282-The-Great-Warrior-of-Shandora-Kalgara.png" TargetMode="External"/><Relationship Id="rId242" Type="http://schemas.openxmlformats.org/officeDocument/2006/relationships/hyperlink" Target="https://i.postimg.cc/P5XhRWY7/Red-Defender.png" TargetMode="External"/><Relationship Id="rId363" Type="http://schemas.openxmlformats.org/officeDocument/2006/relationships/hyperlink" Target="https://i.postimg.cc/gc5nhwn4/161-Savior-God-Usopp.png" TargetMode="External"/><Relationship Id="rId484" Type="http://schemas.openxmlformats.org/officeDocument/2006/relationships/hyperlink" Target="https://i.postimg.cc/Hk6HDrtk/Red-Runner.png" TargetMode="External"/><Relationship Id="rId120" Type="http://schemas.openxmlformats.org/officeDocument/2006/relationships/hyperlink" Target="https://i.postimg.cc/m2xg81dx/Blue-Defender.png" TargetMode="External"/><Relationship Id="rId241" Type="http://schemas.openxmlformats.org/officeDocument/2006/relationships/hyperlink" Target="https://i.postimg.cc/BZ8vJqMF/222-FILM-RED-Yasopp.png" TargetMode="External"/><Relationship Id="rId362" Type="http://schemas.openxmlformats.org/officeDocument/2006/relationships/hyperlink" Target="https://i.postimg.cc/m2xg81dx/Blue-Defender.png" TargetMode="External"/><Relationship Id="rId483" Type="http://schemas.openxmlformats.org/officeDocument/2006/relationships/hyperlink" Target="https://i.postimg.cc/gJ1s1z2p/101-Whitebeard-Pirates-1st-Division-Commander-Marco.png" TargetMode="External"/><Relationship Id="rId240" Type="http://schemas.openxmlformats.org/officeDocument/2006/relationships/hyperlink" Target="https://i.postimg.cc/L6B2DCYf/Red-Attacker.png" TargetMode="External"/><Relationship Id="rId361" Type="http://schemas.openxmlformats.org/officeDocument/2006/relationships/hyperlink" Target="https://i.postimg.cc/kGkGPHkL/162-Iron-Pirate-General-Franky.png" TargetMode="External"/><Relationship Id="rId482" Type="http://schemas.openxmlformats.org/officeDocument/2006/relationships/hyperlink" Target="https://i.postimg.cc/qRhpGpyM/Green-Defender.png" TargetMode="External"/><Relationship Id="rId360" Type="http://schemas.openxmlformats.org/officeDocument/2006/relationships/hyperlink" Target="https://i.postimg.cc/m2xg81dx/Blue-Defender.png" TargetMode="External"/><Relationship Id="rId481" Type="http://schemas.openxmlformats.org/officeDocument/2006/relationships/hyperlink" Target="https://i.postimg.cc/ydDnfgBn/102-Navy-HQ-Vice-Admiral-Monkey-D-Garb.png" TargetMode="External"/><Relationship Id="rId125" Type="http://schemas.openxmlformats.org/officeDocument/2006/relationships/hyperlink" Target="https://i.postimg.cc/L8rmzm0P/280-Ex-Roger-Pirates-First-Mate-Silvers-Rayleigh.png" TargetMode="External"/><Relationship Id="rId246" Type="http://schemas.openxmlformats.org/officeDocument/2006/relationships/hyperlink" Target="https://i.postimg.cc/4NzNM4MY/Blue-Runner.png" TargetMode="External"/><Relationship Id="rId367" Type="http://schemas.openxmlformats.org/officeDocument/2006/relationships/hyperlink" Target="https://i.postimg.cc/2SNyHPdZ/159-Minks-Carrot.png" TargetMode="External"/><Relationship Id="rId488" Type="http://schemas.openxmlformats.org/officeDocument/2006/relationships/hyperlink" Target="https://i.postimg.cc/0NH8mz6B/Green-Attacker.png" TargetMode="External"/><Relationship Id="rId124" Type="http://schemas.openxmlformats.org/officeDocument/2006/relationships/hyperlink" Target="https://i.postimg.cc/qv4MdVVj/Dark-Defender.png" TargetMode="External"/><Relationship Id="rId245" Type="http://schemas.openxmlformats.org/officeDocument/2006/relationships/hyperlink" Target="https://i.postimg.cc/15w5Nvx5/220-FILM-RED-Nami.png" TargetMode="External"/><Relationship Id="rId366" Type="http://schemas.openxmlformats.org/officeDocument/2006/relationships/hyperlink" Target="https://i.postimg.cc/L6B2DCYf/Red-Attacker.png" TargetMode="External"/><Relationship Id="rId487" Type="http://schemas.openxmlformats.org/officeDocument/2006/relationships/hyperlink" Target="https://i.postimg.cc/G3sqGyXm/099-Animal-Kingdom-Pirates-Supreme-Commander-Kaido.png" TargetMode="External"/><Relationship Id="rId123" Type="http://schemas.openxmlformats.org/officeDocument/2006/relationships/hyperlink" Target="https://i.postimg.cc/pr0hgxYV/281-The-Sky-Knight-Ganfor.png" TargetMode="External"/><Relationship Id="rId244" Type="http://schemas.openxmlformats.org/officeDocument/2006/relationships/hyperlink" Target="https://i.postimg.cc/qRhpGpyM/Green-Defender.png" TargetMode="External"/><Relationship Id="rId365" Type="http://schemas.openxmlformats.org/officeDocument/2006/relationships/hyperlink" Target="https://i.postimg.cc/QxTVJX7D/160-Revolutionary-Army-Officer-Koala.png" TargetMode="External"/><Relationship Id="rId486" Type="http://schemas.openxmlformats.org/officeDocument/2006/relationships/hyperlink" Target="https://i.postimg.cc/PxgT30Qb/Green-Runner.png" TargetMode="External"/><Relationship Id="rId122" Type="http://schemas.openxmlformats.org/officeDocument/2006/relationships/hyperlink" Target="https://i.postimg.cc/1zRtDxvf/Blue-Attacker.png" TargetMode="External"/><Relationship Id="rId243" Type="http://schemas.openxmlformats.org/officeDocument/2006/relationships/hyperlink" Target="https://i.postimg.cc/QdDNgcsg/221-FILM-RED-Tony-Tony-Chopper.png" TargetMode="External"/><Relationship Id="rId364" Type="http://schemas.openxmlformats.org/officeDocument/2006/relationships/hyperlink" Target="https://i.postimg.cc/Hk6HDrtk/Red-Runner.png" TargetMode="External"/><Relationship Id="rId485" Type="http://schemas.openxmlformats.org/officeDocument/2006/relationships/hyperlink" Target="https://i.postimg.cc/5yvgVhXC/100-Son-of-the-King-of-the-Pirates-Portgaz-D-Ace.png" TargetMode="External"/><Relationship Id="rId95" Type="http://schemas.openxmlformats.org/officeDocument/2006/relationships/hyperlink" Target="https://i.postimg.cc/pdKbm7TM/295-Vegapunk-s-Spy-Stussy.png" TargetMode="External"/><Relationship Id="rId94" Type="http://schemas.openxmlformats.org/officeDocument/2006/relationships/hyperlink" Target="https://i.postimg.cc/02q9pRQP/Light-Runner.png" TargetMode="External"/><Relationship Id="rId97" Type="http://schemas.openxmlformats.org/officeDocument/2006/relationships/hyperlink" Target="https://i.postimg.cc/jd2ZcRj0/294-Awakened-Form-Kaku.png" TargetMode="External"/><Relationship Id="rId96" Type="http://schemas.openxmlformats.org/officeDocument/2006/relationships/hyperlink" Target="https://i.postimg.cc/qRhpGpyM/Green-Defender.png" TargetMode="External"/><Relationship Id="rId99" Type="http://schemas.openxmlformats.org/officeDocument/2006/relationships/hyperlink" Target="https://i.postimg.cc/7YRXQjCC/293-Awakened-Form-Rob-Lucci.png" TargetMode="External"/><Relationship Id="rId480" Type="http://schemas.openxmlformats.org/officeDocument/2006/relationships/hyperlink" Target="https://i.postimg.cc/P5XhRWY7/Red-Defender.png" TargetMode="External"/><Relationship Id="rId98" Type="http://schemas.openxmlformats.org/officeDocument/2006/relationships/hyperlink" Target="https://i.postimg.cc/0j7xLZVT/Light-Defender.png" TargetMode="External"/><Relationship Id="rId91" Type="http://schemas.openxmlformats.org/officeDocument/2006/relationships/hyperlink" Target="https://i.postimg.cc/s2xdCKNf/297-The-Blue-Dorry.png" TargetMode="External"/><Relationship Id="rId90" Type="http://schemas.openxmlformats.org/officeDocument/2006/relationships/hyperlink" Target="https://i.postimg.cc/qv4MdVVj/Dark-Defender.png" TargetMode="External"/><Relationship Id="rId93" Type="http://schemas.openxmlformats.org/officeDocument/2006/relationships/hyperlink" Target="https://i.postimg.cc/ryHDJR4K/296-Divine-Departure-Shanks.png" TargetMode="External"/><Relationship Id="rId92" Type="http://schemas.openxmlformats.org/officeDocument/2006/relationships/hyperlink" Target="https://i.postimg.cc/QdmN84js/Dark-Attacker.png" TargetMode="External"/><Relationship Id="rId118" Type="http://schemas.openxmlformats.org/officeDocument/2006/relationships/hyperlink" Target="https://i.postimg.cc/0j7xLZVT/Light-Defender.png" TargetMode="External"/><Relationship Id="rId239" Type="http://schemas.openxmlformats.org/officeDocument/2006/relationships/hyperlink" Target="https://i.postimg.cc/PNG9jbKS/223-FILM-RED-Usopp.png" TargetMode="External"/><Relationship Id="rId117" Type="http://schemas.openxmlformats.org/officeDocument/2006/relationships/hyperlink" Target="https://i.postimg.cc/Dz5gh9DB/284-Fake-Straw-Hat-Pirates-Captain-Demaro-Black.png" TargetMode="External"/><Relationship Id="rId238" Type="http://schemas.openxmlformats.org/officeDocument/2006/relationships/hyperlink" Target="https://i.postimg.cc/PxgT30Qb/Green-Runner.png" TargetMode="External"/><Relationship Id="rId359" Type="http://schemas.openxmlformats.org/officeDocument/2006/relationships/hyperlink" Target="https://i.postimg.cc/hGrXQpd7/163-The-Guardian-of-the-Forest-Gaimon.png" TargetMode="External"/><Relationship Id="rId116" Type="http://schemas.openxmlformats.org/officeDocument/2006/relationships/hyperlink" Target="https://i.postimg.cc/P5XhRWY7/Red-Defender.png" TargetMode="External"/><Relationship Id="rId237" Type="http://schemas.openxmlformats.org/officeDocument/2006/relationships/hyperlink" Target="https://i.postimg.cc/rmP7h24X/224-The-Bullet-of-Dressrosa-Bellamy.png" TargetMode="External"/><Relationship Id="rId358" Type="http://schemas.openxmlformats.org/officeDocument/2006/relationships/hyperlink" Target="https://i.postimg.cc/0NH8mz6B/Green-Attacker.png" TargetMode="External"/><Relationship Id="rId479" Type="http://schemas.openxmlformats.org/officeDocument/2006/relationships/hyperlink" Target="https://i.postimg.cc/1zCJccxf/103-The-Seven-Warlords-of-the-Sea-Marshall-D-Teach.png" TargetMode="External"/><Relationship Id="rId115" Type="http://schemas.openxmlformats.org/officeDocument/2006/relationships/hyperlink" Target="https://i.postimg.cc/dtQSVJL7/285-The-Most-Defensive-Man-in-the-World-Sentomaru.png" TargetMode="External"/><Relationship Id="rId236" Type="http://schemas.openxmlformats.org/officeDocument/2006/relationships/hyperlink" Target="https://i.postimg.cc/0NH8mz6B/Green-Attacker.png" TargetMode="External"/><Relationship Id="rId357" Type="http://schemas.openxmlformats.org/officeDocument/2006/relationships/hyperlink" Target="https://i.postimg.cc/gJ2nV8Vt/164-King-of-the-Day-Dogstorm.png" TargetMode="External"/><Relationship Id="rId478" Type="http://schemas.openxmlformats.org/officeDocument/2006/relationships/hyperlink" Target="https://i.postimg.cc/1zRtDxvf/Blue-Attacker.png" TargetMode="External"/><Relationship Id="rId599" Type="http://schemas.openxmlformats.org/officeDocument/2006/relationships/hyperlink" Target="https://i.postimg.cc/X7BSZqCf/043-Gum-Gum-Storm-Monkey-D-Luffy.png" TargetMode="External"/><Relationship Id="rId119" Type="http://schemas.openxmlformats.org/officeDocument/2006/relationships/hyperlink" Target="https://i.postimg.cc/HjG03dcs/283-Lvneel-Kingdom-Exploration-Ship-Admiral-Mont-Blanc-Noland.png" TargetMode="External"/><Relationship Id="rId110" Type="http://schemas.openxmlformats.org/officeDocument/2006/relationships/hyperlink" Target="https://i.postimg.cc/m2xg81dx/Blue-Defender.png" TargetMode="External"/><Relationship Id="rId231" Type="http://schemas.openxmlformats.org/officeDocument/2006/relationships/hyperlink" Target="https://i.postimg.cc/76trpTpR/227-Veteran-Kunoichi-Shinobu.png" TargetMode="External"/><Relationship Id="rId352" Type="http://schemas.openxmlformats.org/officeDocument/2006/relationships/hyperlink" Target="https://i.postimg.cc/P5XhRWY7/Red-Defender.png" TargetMode="External"/><Relationship Id="rId473" Type="http://schemas.openxmlformats.org/officeDocument/2006/relationships/hyperlink" Target="https://i.postimg.cc/0rRS0r26/106-Barto-Club-Captain-Bartolomeo.png" TargetMode="External"/><Relationship Id="rId594" Type="http://schemas.openxmlformats.org/officeDocument/2006/relationships/hyperlink" Target="https://i.postimg.cc/0NH8mz6B/Green-Attacker.png" TargetMode="External"/><Relationship Id="rId230" Type="http://schemas.openxmlformats.org/officeDocument/2006/relationships/hyperlink" Target="https://i.postimg.cc/L6B2DCYf/Red-Attacker.png" TargetMode="External"/><Relationship Id="rId351" Type="http://schemas.openxmlformats.org/officeDocument/2006/relationships/hyperlink" Target="https://i.postimg.cc/m2z1pY00/167-Enies-Lobby-Nico-Robin.png" TargetMode="External"/><Relationship Id="rId472" Type="http://schemas.openxmlformats.org/officeDocument/2006/relationships/hyperlink" Target="https://i.postimg.cc/0NH8mz6B/Green-Attacker.png" TargetMode="External"/><Relationship Id="rId593" Type="http://schemas.openxmlformats.org/officeDocument/2006/relationships/hyperlink" Target="https://i.postimg.cc/gJMFh6sD/046-Kami-Eneru.png" TargetMode="External"/><Relationship Id="rId350" Type="http://schemas.openxmlformats.org/officeDocument/2006/relationships/hyperlink" Target="https://i.postimg.cc/qRhpGpyM/Green-Defender.png" TargetMode="External"/><Relationship Id="rId471" Type="http://schemas.openxmlformats.org/officeDocument/2006/relationships/hyperlink" Target="https://i.postimg.cc/26th32s7/107-Beautiful-Pirates-Captain-Cavendish.png" TargetMode="External"/><Relationship Id="rId592" Type="http://schemas.openxmlformats.org/officeDocument/2006/relationships/hyperlink" Target="https://i.postimg.cc/P5XhRWY7/Red-Defender.png" TargetMode="External"/><Relationship Id="rId470" Type="http://schemas.openxmlformats.org/officeDocument/2006/relationships/hyperlink" Target="https://i.postimg.cc/m2xg81dx/Blue-Defender.png" TargetMode="External"/><Relationship Id="rId591" Type="http://schemas.openxmlformats.org/officeDocument/2006/relationships/hyperlink" Target="https://i.postimg.cc/rmy2z91s/047-Whitebeard-Pirates-Captain-Whitebeard-Edward-Newgate.png" TargetMode="External"/><Relationship Id="rId114" Type="http://schemas.openxmlformats.org/officeDocument/2006/relationships/hyperlink" Target="https://i.postimg.cc/QdmN84js/Dark-Attacker.png" TargetMode="External"/><Relationship Id="rId235" Type="http://schemas.openxmlformats.org/officeDocument/2006/relationships/hyperlink" Target="https://i.postimg.cc/tTTLt4YN/225-Don-Quixote-Pirates-Supreme-Officer-Diamante.png" TargetMode="External"/><Relationship Id="rId356" Type="http://schemas.openxmlformats.org/officeDocument/2006/relationships/hyperlink" Target="https://i.postimg.cc/Hk6HDrtk/Red-Runner.png" TargetMode="External"/><Relationship Id="rId477" Type="http://schemas.openxmlformats.org/officeDocument/2006/relationships/hyperlink" Target="https://i.postimg.cc/bwR6df30/104-The-Four-Emperors-Shanks.png" TargetMode="External"/><Relationship Id="rId598" Type="http://schemas.openxmlformats.org/officeDocument/2006/relationships/hyperlink" Target="https://i.postimg.cc/PxgT30Qb/Green-Runner.png" TargetMode="External"/><Relationship Id="rId113" Type="http://schemas.openxmlformats.org/officeDocument/2006/relationships/hyperlink" Target="https://i.postimg.cc/QCm4Jynx/286-The-Navy-s-Human-Weapon-Pacifista.png" TargetMode="External"/><Relationship Id="rId234" Type="http://schemas.openxmlformats.org/officeDocument/2006/relationships/hyperlink" Target="https://i.postimg.cc/qRhpGpyM/Green-Defender.png" TargetMode="External"/><Relationship Id="rId355" Type="http://schemas.openxmlformats.org/officeDocument/2006/relationships/hyperlink" Target="https://i.postimg.cc/W4jD4Qhv/165-King-of-the-Night-Cat-Viper.png" TargetMode="External"/><Relationship Id="rId476" Type="http://schemas.openxmlformats.org/officeDocument/2006/relationships/hyperlink" Target="https://i.postimg.cc/PxgT30Qb/Green-Runner.png" TargetMode="External"/><Relationship Id="rId597" Type="http://schemas.openxmlformats.org/officeDocument/2006/relationships/hyperlink" Target="https://i.postimg.cc/8k0gPMjk/044-Peacock-Slasher-Nefeltari-Vivi.png" TargetMode="External"/><Relationship Id="rId112" Type="http://schemas.openxmlformats.org/officeDocument/2006/relationships/hyperlink" Target="https://i.postimg.cc/Hk6HDrtk/Red-Runner.png" TargetMode="External"/><Relationship Id="rId233" Type="http://schemas.openxmlformats.org/officeDocument/2006/relationships/hyperlink" Target="https://i.postimg.cc/KjdSYhcr/226-Don-Quixote-Pirates-Supreme-Officer-Trebol.png" TargetMode="External"/><Relationship Id="rId354" Type="http://schemas.openxmlformats.org/officeDocument/2006/relationships/hyperlink" Target="https://i.postimg.cc/1zRtDxvf/Blue-Attacker.png" TargetMode="External"/><Relationship Id="rId475" Type="http://schemas.openxmlformats.org/officeDocument/2006/relationships/hyperlink" Target="https://i.postimg.cc/k5XTbYp0/105-The-Parmount-War-Monkey-D-Luffy.png" TargetMode="External"/><Relationship Id="rId596" Type="http://schemas.openxmlformats.org/officeDocument/2006/relationships/hyperlink" Target="https://i.postimg.cc/m2xg81dx/Blue-Defender.png" TargetMode="External"/><Relationship Id="rId111" Type="http://schemas.openxmlformats.org/officeDocument/2006/relationships/hyperlink" Target="https://i.postimg.cc/44QSGYNk/287-Egghead-Monkey-D-Luffy.png" TargetMode="External"/><Relationship Id="rId232" Type="http://schemas.openxmlformats.org/officeDocument/2006/relationships/hyperlink" Target="https://i.postimg.cc/4NzNM4MY/Blue-Runner.png" TargetMode="External"/><Relationship Id="rId353" Type="http://schemas.openxmlformats.org/officeDocument/2006/relationships/hyperlink" Target="https://i.postimg.cc/Sxc2kyQd/166-Monster-Point-Tony-Tony-Chopper.png" TargetMode="External"/><Relationship Id="rId474" Type="http://schemas.openxmlformats.org/officeDocument/2006/relationships/hyperlink" Target="https://i.postimg.cc/P5XhRWY7/Red-Defender.png" TargetMode="External"/><Relationship Id="rId595" Type="http://schemas.openxmlformats.org/officeDocument/2006/relationships/hyperlink" Target="https://i.postimg.cc/x8cr3TFS/045-The-Seven-Warlords-of-the-Sea-Crocodile.png" TargetMode="External"/><Relationship Id="rId305" Type="http://schemas.openxmlformats.org/officeDocument/2006/relationships/hyperlink" Target="https://i.postimg.cc/Hn3zSQRJ/190-Whole-Cake-Island-Jinbe.png" TargetMode="External"/><Relationship Id="rId426" Type="http://schemas.openxmlformats.org/officeDocument/2006/relationships/hyperlink" Target="https://i.postimg.cc/m2xg81dx/Blue-Defender.png" TargetMode="External"/><Relationship Id="rId547" Type="http://schemas.openxmlformats.org/officeDocument/2006/relationships/hyperlink" Target="https://i.postimg.cc/fLQkP1QF/069-2-Years-Later-Doctor-Tony-Tony-Chopper.png" TargetMode="External"/><Relationship Id="rId668" Type="http://schemas.openxmlformats.org/officeDocument/2006/relationships/hyperlink" Target="https://i.postimg.cc/PxgT30Qb/Green-Runner.png" TargetMode="External"/><Relationship Id="rId304" Type="http://schemas.openxmlformats.org/officeDocument/2006/relationships/hyperlink" Target="https://i.postimg.cc/4NzNM4MY/Blue-Runner.png" TargetMode="External"/><Relationship Id="rId425" Type="http://schemas.openxmlformats.org/officeDocument/2006/relationships/hyperlink" Target="https://i.postimg.cc/pTJ3H53v/130-Amaru-Eneru.png" TargetMode="External"/><Relationship Id="rId546" Type="http://schemas.openxmlformats.org/officeDocument/2006/relationships/hyperlink" Target="https://i.postimg.cc/L6B2DCYf/Red-Attacker.png" TargetMode="External"/><Relationship Id="rId667" Type="http://schemas.openxmlformats.org/officeDocument/2006/relationships/hyperlink" Target="https://i.postimg.cc/J7JSmvVx/009-Straw-Hat-Pirates-Musician-Brook.png" TargetMode="External"/><Relationship Id="rId303" Type="http://schemas.openxmlformats.org/officeDocument/2006/relationships/hyperlink" Target="https://i.postimg.cc/NM6pXhxk/191-Roger-Pirates-First-Mate-Silvers-Rayliegh.png" TargetMode="External"/><Relationship Id="rId424" Type="http://schemas.openxmlformats.org/officeDocument/2006/relationships/hyperlink" Target="https://i.postimg.cc/Hk6HDrtk/Red-Runner.png" TargetMode="External"/><Relationship Id="rId545" Type="http://schemas.openxmlformats.org/officeDocument/2006/relationships/hyperlink" Target="https://i.postimg.cc/RZ8W7Nsv/070-2-Years-Later-Archaeologist-Nico-Robin.png" TargetMode="External"/><Relationship Id="rId666" Type="http://schemas.openxmlformats.org/officeDocument/2006/relationships/hyperlink" Target="https://i.postimg.cc/L6B2DCYf/Red-Attacker.png" TargetMode="External"/><Relationship Id="rId302" Type="http://schemas.openxmlformats.org/officeDocument/2006/relationships/hyperlink" Target="https://i.postimg.cc/PxgT30Qb/Green-Runner.png" TargetMode="External"/><Relationship Id="rId423" Type="http://schemas.openxmlformats.org/officeDocument/2006/relationships/hyperlink" Target="https://i.postimg.cc/k4mLzv1w/131-Surgeon-of-Death-Trafalger-Law.png" TargetMode="External"/><Relationship Id="rId544" Type="http://schemas.openxmlformats.org/officeDocument/2006/relationships/hyperlink" Target="https://i.postimg.cc/PxgT30Qb/Green-Runner.png" TargetMode="External"/><Relationship Id="rId665" Type="http://schemas.openxmlformats.org/officeDocument/2006/relationships/hyperlink" Target="https://i.postimg.cc/KjnWNkrw/010-Mountain-Bandits-Leader-Higuma-the-Bear.png" TargetMode="External"/><Relationship Id="rId309" Type="http://schemas.openxmlformats.org/officeDocument/2006/relationships/hyperlink" Target="https://i.postimg.cc/dVh6BZB1/188-Whole-Cake-Island-Brook.png" TargetMode="External"/><Relationship Id="rId308" Type="http://schemas.openxmlformats.org/officeDocument/2006/relationships/hyperlink" Target="https://i.postimg.cc/L6B2DCYf/Red-Attacker.png" TargetMode="External"/><Relationship Id="rId429" Type="http://schemas.openxmlformats.org/officeDocument/2006/relationships/hyperlink" Target="https://i.postimg.cc/J0TgyV1d/128-Land-of-Wano-Luffytaro.png" TargetMode="External"/><Relationship Id="rId307" Type="http://schemas.openxmlformats.org/officeDocument/2006/relationships/hyperlink" Target="https://i.postimg.cc/X7Hxdk9m/189-Big-Mom-Pirates-Crewmate-Charlotte-Pudding.png" TargetMode="External"/><Relationship Id="rId428" Type="http://schemas.openxmlformats.org/officeDocument/2006/relationships/hyperlink" Target="https://i.postimg.cc/L6B2DCYf/Red-Attacker.png" TargetMode="External"/><Relationship Id="rId549" Type="http://schemas.openxmlformats.org/officeDocument/2006/relationships/hyperlink" Target="https://i.postimg.cc/W3mtcS24/068-Navy-HQ-Admiral-Kizaru-Borsalino.png" TargetMode="External"/><Relationship Id="rId306" Type="http://schemas.openxmlformats.org/officeDocument/2006/relationships/hyperlink" Target="https://i.postimg.cc/P5XhRWY7/Red-Defender.png" TargetMode="External"/><Relationship Id="rId427" Type="http://schemas.openxmlformats.org/officeDocument/2006/relationships/hyperlink" Target="https://i.postimg.cc/mkZJ22GH/129-CP0-Rob-Lucci.png" TargetMode="External"/><Relationship Id="rId548" Type="http://schemas.openxmlformats.org/officeDocument/2006/relationships/hyperlink" Target="https://i.postimg.cc/4NzNM4MY/Blue-Runner.png" TargetMode="External"/><Relationship Id="rId669" Type="http://schemas.openxmlformats.org/officeDocument/2006/relationships/hyperlink" Target="https://i.postimg.cc/3JTVw13T/008-Straw-Hat-Pirates-Ship-Carpenter-Franky.png" TargetMode="External"/><Relationship Id="rId660" Type="http://schemas.openxmlformats.org/officeDocument/2006/relationships/hyperlink" Target="https://i.postimg.cc/PxgT30Qb/Green-Runner.png" TargetMode="External"/><Relationship Id="rId301" Type="http://schemas.openxmlformats.org/officeDocument/2006/relationships/hyperlink" Target="https://i.postimg.cc/sgL6d4X7/192-Kurozumi-Spy-Kurozumi-Kanjuro.png" TargetMode="External"/><Relationship Id="rId422" Type="http://schemas.openxmlformats.org/officeDocument/2006/relationships/hyperlink" Target="https://i.postimg.cc/qRhpGpyM/Green-Defender.png" TargetMode="External"/><Relationship Id="rId543" Type="http://schemas.openxmlformats.org/officeDocument/2006/relationships/hyperlink" Target="https://i.postimg.cc/wj3tRhkW/071-2-Years-Later-Musician-Brook.png" TargetMode="External"/><Relationship Id="rId664" Type="http://schemas.openxmlformats.org/officeDocument/2006/relationships/hyperlink" Target="https://i.postimg.cc/P5XhRWY7/Red-Defender.png" TargetMode="External"/><Relationship Id="rId300" Type="http://schemas.openxmlformats.org/officeDocument/2006/relationships/hyperlink" Target="https://i.postimg.cc/1zRtDxvf/Blue-Attacker.png" TargetMode="External"/><Relationship Id="rId421" Type="http://schemas.openxmlformats.org/officeDocument/2006/relationships/hyperlink" Target="https://i.postimg.cc/fR349LS7/132-The-Undefeated-Woman-Rebecca.png" TargetMode="External"/><Relationship Id="rId542" Type="http://schemas.openxmlformats.org/officeDocument/2006/relationships/hyperlink" Target="https://i.postimg.cc/P5XhRWY7/Red-Defender.png" TargetMode="External"/><Relationship Id="rId663" Type="http://schemas.openxmlformats.org/officeDocument/2006/relationships/hyperlink" Target="https://i.postimg.cc/SsY3ntXy/011-Chore-Boy-Koby.png" TargetMode="External"/><Relationship Id="rId420" Type="http://schemas.openxmlformats.org/officeDocument/2006/relationships/hyperlink" Target="https://i.postimg.cc/m2xg81dx/Blue-Defender.png" TargetMode="External"/><Relationship Id="rId541" Type="http://schemas.openxmlformats.org/officeDocument/2006/relationships/hyperlink" Target="https://i.postimg.cc/MGQvdqNV/072-2-Years-Later-Ship-Carpenter-Franky.png" TargetMode="External"/><Relationship Id="rId662" Type="http://schemas.openxmlformats.org/officeDocument/2006/relationships/hyperlink" Target="https://i.postimg.cc/qRhpGpyM/Green-Defender.png" TargetMode="External"/><Relationship Id="rId540" Type="http://schemas.openxmlformats.org/officeDocument/2006/relationships/hyperlink" Target="https://i.postimg.cc/4NzNM4MY/Blue-Runner.png" TargetMode="External"/><Relationship Id="rId661" Type="http://schemas.openxmlformats.org/officeDocument/2006/relationships/hyperlink" Target="https://i.postimg.cc/wMKPLcJD/012-Alvida-Pirates-Captain-Alvida.png" TargetMode="External"/><Relationship Id="rId415" Type="http://schemas.openxmlformats.org/officeDocument/2006/relationships/hyperlink" Target="https://i.postimg.cc/zDj1m41h/135-Superhuman-Charlotte-Katakuri.png" TargetMode="External"/><Relationship Id="rId536" Type="http://schemas.openxmlformats.org/officeDocument/2006/relationships/hyperlink" Target="https://i.postimg.cc/qRhpGpyM/Green-Defender.png" TargetMode="External"/><Relationship Id="rId657" Type="http://schemas.openxmlformats.org/officeDocument/2006/relationships/hyperlink" Target="https://i.postimg.cc/Qdj2fbzb/014-Navy-Captain-Morgan.png" TargetMode="External"/><Relationship Id="rId414" Type="http://schemas.openxmlformats.org/officeDocument/2006/relationships/hyperlink" Target="https://i.postimg.cc/1zRtDxvf/Blue-Attacker.png" TargetMode="External"/><Relationship Id="rId535" Type="http://schemas.openxmlformats.org/officeDocument/2006/relationships/hyperlink" Target="https://i.postimg.cc/kGcVKsZH/075-Impel-Down-Prisoner-Crocodile.png" TargetMode="External"/><Relationship Id="rId656" Type="http://schemas.openxmlformats.org/officeDocument/2006/relationships/hyperlink" Target="https://i.postimg.cc/PxgT30Qb/Green-Runner.png" TargetMode="External"/><Relationship Id="rId413" Type="http://schemas.openxmlformats.org/officeDocument/2006/relationships/hyperlink" Target="https://i.postimg.cc/ZnVkrvLH/136-The-Seven-Warlords-of-the-Sea-Buggy.png" TargetMode="External"/><Relationship Id="rId534" Type="http://schemas.openxmlformats.org/officeDocument/2006/relationships/hyperlink" Target="https://i.postimg.cc/L6B2DCYf/Red-Attacker.png" TargetMode="External"/><Relationship Id="rId655" Type="http://schemas.openxmlformats.org/officeDocument/2006/relationships/hyperlink" Target="https://i.postimg.cc/3RPM9HM4/015-Buggy-Pirates-Chief-of-Staff-Cabaji.png" TargetMode="External"/><Relationship Id="rId412" Type="http://schemas.openxmlformats.org/officeDocument/2006/relationships/hyperlink" Target="https://i.postimg.cc/P5XhRWY7/Red-Defender.png" TargetMode="External"/><Relationship Id="rId533" Type="http://schemas.openxmlformats.org/officeDocument/2006/relationships/hyperlink" Target="https://i.postimg.cc/x8YJXhsH/076-Navy-Infiltrator-Portgaz-D-Ace.png" TargetMode="External"/><Relationship Id="rId654" Type="http://schemas.openxmlformats.org/officeDocument/2006/relationships/hyperlink" Target="https://i.postimg.cc/P5XhRWY7/Red-Defender.png" TargetMode="External"/><Relationship Id="rId419" Type="http://schemas.openxmlformats.org/officeDocument/2006/relationships/hyperlink" Target="https://i.postimg.cc/Vk2xB8Xx/133-Don-Quixote-Family-Officer-Corazon.png" TargetMode="External"/><Relationship Id="rId418" Type="http://schemas.openxmlformats.org/officeDocument/2006/relationships/hyperlink" Target="https://i.postimg.cc/4NzNM4MY/Blue-Runner.png" TargetMode="External"/><Relationship Id="rId539" Type="http://schemas.openxmlformats.org/officeDocument/2006/relationships/hyperlink" Target="https://i.postimg.cc/bNySpXSf/073-Bikini-Nami.png" TargetMode="External"/><Relationship Id="rId417" Type="http://schemas.openxmlformats.org/officeDocument/2006/relationships/hyperlink" Target="https://i.postimg.cc/hPZWvxvP/134-Hunger-Pangs-Charlotte-Linlin.png" TargetMode="External"/><Relationship Id="rId538" Type="http://schemas.openxmlformats.org/officeDocument/2006/relationships/hyperlink" Target="https://i.postimg.cc/0NH8mz6B/Green-Attacker.png" TargetMode="External"/><Relationship Id="rId659" Type="http://schemas.openxmlformats.org/officeDocument/2006/relationships/hyperlink" Target="https://i.postimg.cc/BnNdkF9G/013-The-Idiot-Son-Helmeppo.png" TargetMode="External"/><Relationship Id="rId416" Type="http://schemas.openxmlformats.org/officeDocument/2006/relationships/hyperlink" Target="https://i.postimg.cc/qRhpGpyM/Green-Defender.png" TargetMode="External"/><Relationship Id="rId537" Type="http://schemas.openxmlformats.org/officeDocument/2006/relationships/hyperlink" Target="https://i.postimg.cc/fWjSGWLv/074-Bikini-Boa-Hancock.png" TargetMode="External"/><Relationship Id="rId658" Type="http://schemas.openxmlformats.org/officeDocument/2006/relationships/hyperlink" Target="https://i.postimg.cc/m2xg81dx/Blue-Defender.png" TargetMode="External"/><Relationship Id="rId411" Type="http://schemas.openxmlformats.org/officeDocument/2006/relationships/hyperlink" Target="https://i.postimg.cc/QCXG9JcV/137-Former-World-Government-Science-Division-Member-Caesar-Clown.png" TargetMode="External"/><Relationship Id="rId532" Type="http://schemas.openxmlformats.org/officeDocument/2006/relationships/hyperlink" Target="https://i.postimg.cc/m2xg81dx/Blue-Defender.png" TargetMode="External"/><Relationship Id="rId653" Type="http://schemas.openxmlformats.org/officeDocument/2006/relationships/hyperlink" Target="https://i.postimg.cc/J4CVkmcS/016-Black-Cat-Pirates-Captain-Django.png" TargetMode="External"/><Relationship Id="rId410" Type="http://schemas.openxmlformats.org/officeDocument/2006/relationships/hyperlink" Target="https://i.postimg.cc/qRhpGpyM/Green-Defender.png" TargetMode="External"/><Relationship Id="rId531" Type="http://schemas.openxmlformats.org/officeDocument/2006/relationships/hyperlink" Target="https://i.postimg.cc/DZ14yncn/077-STAMPEDE-Smoker.png" TargetMode="External"/><Relationship Id="rId652" Type="http://schemas.openxmlformats.org/officeDocument/2006/relationships/hyperlink" Target="https://i.postimg.cc/m2xg81dx/Blue-Defender.png" TargetMode="External"/><Relationship Id="rId530" Type="http://schemas.openxmlformats.org/officeDocument/2006/relationships/hyperlink" Target="https://i.postimg.cc/1zRtDxvf/Blue-Attacker.png" TargetMode="External"/><Relationship Id="rId651" Type="http://schemas.openxmlformats.org/officeDocument/2006/relationships/hyperlink" Target="https://i.postimg.cc/dtRMRX53/017-Black-Cat-Pirates-Guard-Butchie.png" TargetMode="External"/><Relationship Id="rId650" Type="http://schemas.openxmlformats.org/officeDocument/2006/relationships/hyperlink" Target="https://i.postimg.cc/Hk6HDrtk/Red-Runner.png" TargetMode="External"/><Relationship Id="rId206" Type="http://schemas.openxmlformats.org/officeDocument/2006/relationships/hyperlink" Target="https://i.postimg.cc/P5XhRWY7/Red-Defender.png" TargetMode="External"/><Relationship Id="rId327" Type="http://schemas.openxmlformats.org/officeDocument/2006/relationships/hyperlink" Target="https://i.postimg.cc/Rh0KZ2pF/179-Navy-HQ-Master-Chief-Petty-Officer-Koby.png" TargetMode="External"/><Relationship Id="rId448" Type="http://schemas.openxmlformats.org/officeDocument/2006/relationships/hyperlink" Target="https://i.postimg.cc/Hk6HDrtk/Red-Runner.png" TargetMode="External"/><Relationship Id="rId569" Type="http://schemas.openxmlformats.org/officeDocument/2006/relationships/hyperlink" Target="https://i.postimg.cc/rwtVLgjL/058-Kid-Pirates-Captain-Eustass-Kid.png" TargetMode="External"/><Relationship Id="rId205" Type="http://schemas.openxmlformats.org/officeDocument/2006/relationships/hyperlink" Target="https://i.postimg.cc/j28235Xq/240-Big-Mom-Pirates-Crewmate-Charlotte-Brulee.png" TargetMode="External"/><Relationship Id="rId326" Type="http://schemas.openxmlformats.org/officeDocument/2006/relationships/hyperlink" Target="https://i.postimg.cc/qRhpGpyM/Green-Defender.png" TargetMode="External"/><Relationship Id="rId447" Type="http://schemas.openxmlformats.org/officeDocument/2006/relationships/hyperlink" Target="https://i.postimg.cc/m2JXKShM/119-Gear-Four-Snakeman-Monkey-D-Luffy.png" TargetMode="External"/><Relationship Id="rId568" Type="http://schemas.openxmlformats.org/officeDocument/2006/relationships/hyperlink" Target="https://i.postimg.cc/PxgT30Qb/Green-Runner.png" TargetMode="External"/><Relationship Id="rId204" Type="http://schemas.openxmlformats.org/officeDocument/2006/relationships/hyperlink" Target="https://i.postimg.cc/0NH8mz6B/Green-Attacker.png" TargetMode="External"/><Relationship Id="rId325" Type="http://schemas.openxmlformats.org/officeDocument/2006/relationships/hyperlink" Target="https://i.postimg.cc/XJL93n8m/180-Navy-HQ-Science-Team-Captain-Sentomaru.png" TargetMode="External"/><Relationship Id="rId446" Type="http://schemas.openxmlformats.org/officeDocument/2006/relationships/hyperlink" Target="https://i.postimg.cc/0NH8mz6B/Green-Attacker.png" TargetMode="External"/><Relationship Id="rId567" Type="http://schemas.openxmlformats.org/officeDocument/2006/relationships/hyperlink" Target="https://i.postimg.cc/jd2qMRJ2/059-Heart-Pirates-Captain-Trafalger-Law.png" TargetMode="External"/><Relationship Id="rId203" Type="http://schemas.openxmlformats.org/officeDocument/2006/relationships/hyperlink" Target="https://i.postimg.cc/3NrWZp2b/241-Leader-of-the-Whale-Forest-Guardians-Pedro.png" TargetMode="External"/><Relationship Id="rId324" Type="http://schemas.openxmlformats.org/officeDocument/2006/relationships/hyperlink" Target="https://i.postimg.cc/qRhpGpyM/Green-Defender.png" TargetMode="External"/><Relationship Id="rId445" Type="http://schemas.openxmlformats.org/officeDocument/2006/relationships/hyperlink" Target="https://i.postimg.cc/JzX68BBF/120-The-Pirate-King-s-Right-Arm-The-Dark-King-Silvers-Rayleigh.png" TargetMode="External"/><Relationship Id="rId566" Type="http://schemas.openxmlformats.org/officeDocument/2006/relationships/hyperlink" Target="https://i.postimg.cc/1zRtDxvf/Blue-Attacker.png" TargetMode="External"/><Relationship Id="rId209" Type="http://schemas.openxmlformats.org/officeDocument/2006/relationships/hyperlink" Target="https://i.postimg.cc/5tw0dp3R/238-First-Act-as-a-Married-Couple-Charlotte-Pudding.png" TargetMode="External"/><Relationship Id="rId208" Type="http://schemas.openxmlformats.org/officeDocument/2006/relationships/hyperlink" Target="https://i.postimg.cc/1zRtDxvf/Blue-Attacker.png" TargetMode="External"/><Relationship Id="rId329" Type="http://schemas.openxmlformats.org/officeDocument/2006/relationships/hyperlink" Target="https://i.postimg.cc/rsYW0g79/178-Navy-HQ-Fleet-ADmiral-Akainu-Sakazuki.png" TargetMode="External"/><Relationship Id="rId207" Type="http://schemas.openxmlformats.org/officeDocument/2006/relationships/hyperlink" Target="https://i.postimg.cc/HsxVcwYr/239-Big-Mom-Pirates-Sweet-3-General-Charlotte-Cracker.png" TargetMode="External"/><Relationship Id="rId328" Type="http://schemas.openxmlformats.org/officeDocument/2006/relationships/hyperlink" Target="https://i.postimg.cc/4NzNM4MY/Blue-Runner.png" TargetMode="External"/><Relationship Id="rId449" Type="http://schemas.openxmlformats.org/officeDocument/2006/relationships/hyperlink" Target="https://i.postimg.cc/s2RngDYg/118-Revolutoonary-Army-Emporio-Ivankov.png" TargetMode="External"/><Relationship Id="rId440" Type="http://schemas.openxmlformats.org/officeDocument/2006/relationships/hyperlink" Target="https://i.postimg.cc/PxgT30Qb/Green-Runner.png" TargetMode="External"/><Relationship Id="rId561" Type="http://schemas.openxmlformats.org/officeDocument/2006/relationships/hyperlink" Target="https://i.postimg.cc/cJwLfTtc/062-2-Years-Later-Combatant-Roronoa-Zoro.png" TargetMode="External"/><Relationship Id="rId682" Type="http://schemas.openxmlformats.org/officeDocument/2006/relationships/hyperlink" Target="https://i.postimg.cc/qRhpGpyM/Green-Defender.png" TargetMode="External"/><Relationship Id="rId560" Type="http://schemas.openxmlformats.org/officeDocument/2006/relationships/hyperlink" Target="https://i.postimg.cc/Hk6HDrtk/Red-Runner.png" TargetMode="External"/><Relationship Id="rId681" Type="http://schemas.openxmlformats.org/officeDocument/2006/relationships/hyperlink" Target="https://i.postimg.cc/L8syq07r/002-Straw-Hat-Pirates-Combatant-Roronoa-Zoro.png" TargetMode="External"/><Relationship Id="rId680" Type="http://schemas.openxmlformats.org/officeDocument/2006/relationships/hyperlink" Target="https://i.postimg.cc/PxgT30Qb/Green-Runner.png" TargetMode="External"/><Relationship Id="rId202" Type="http://schemas.openxmlformats.org/officeDocument/2006/relationships/hyperlink" Target="https://i.postimg.cc/P5XhRWY7/Red-Defender.png" TargetMode="External"/><Relationship Id="rId323" Type="http://schemas.openxmlformats.org/officeDocument/2006/relationships/hyperlink" Target="https://i.postimg.cc/sXs5tMp5/181-Don-Quixote-Pirates-Servant-Assassin-Baby-5.png" TargetMode="External"/><Relationship Id="rId444" Type="http://schemas.openxmlformats.org/officeDocument/2006/relationships/hyperlink" Target="https://i.postimg.cc/m2xg81dx/Blue-Defender.png" TargetMode="External"/><Relationship Id="rId565" Type="http://schemas.openxmlformats.org/officeDocument/2006/relationships/hyperlink" Target="https://i.postimg.cc/zvtzqc4q/060-2-Years-Later-Captain-Monkey-D-Luffy.png" TargetMode="External"/><Relationship Id="rId201" Type="http://schemas.openxmlformats.org/officeDocument/2006/relationships/hyperlink" Target="https://i.postimg.cc/hjBXfNvn/242-Big-Mom-Pirates-Crewmate-Charoltte-Oven.png" TargetMode="External"/><Relationship Id="rId322" Type="http://schemas.openxmlformats.org/officeDocument/2006/relationships/hyperlink" Target="https://i.postimg.cc/Hk6HDrtk/Red-Runner.png" TargetMode="External"/><Relationship Id="rId443" Type="http://schemas.openxmlformats.org/officeDocument/2006/relationships/hyperlink" Target="https://i.postimg.cc/15f7WdRs/121-Navy-HQ-Fleet-Admiral-Sengoku.png" TargetMode="External"/><Relationship Id="rId564" Type="http://schemas.openxmlformats.org/officeDocument/2006/relationships/hyperlink" Target="https://i.postimg.cc/Hk6HDrtk/Red-Runner.png" TargetMode="External"/><Relationship Id="rId685" Type="http://schemas.openxmlformats.org/officeDocument/2006/relationships/drawing" Target="../drawings/drawing7.xml"/><Relationship Id="rId200" Type="http://schemas.openxmlformats.org/officeDocument/2006/relationships/hyperlink" Target="https://i.postimg.cc/m2xg81dx/Blue-Defender.png" TargetMode="External"/><Relationship Id="rId321" Type="http://schemas.openxmlformats.org/officeDocument/2006/relationships/hyperlink" Target="https://i.postimg.cc/5tcBS7y7/182-Don-Quixote-Pirates-Officer-Se-or-Pink.png" TargetMode="External"/><Relationship Id="rId442" Type="http://schemas.openxmlformats.org/officeDocument/2006/relationships/hyperlink" Target="https://i.postimg.cc/P5XhRWY7/Red-Defender.png" TargetMode="External"/><Relationship Id="rId563" Type="http://schemas.openxmlformats.org/officeDocument/2006/relationships/hyperlink" Target="https://i.postimg.cc/rmTFjWS2/061-Alabasta-Princess-Nefeltari-Vivi.png" TargetMode="External"/><Relationship Id="rId684" Type="http://schemas.openxmlformats.org/officeDocument/2006/relationships/hyperlink" Target="https://i.postimg.cc/L6B2DCYf/Red-Attacker.png" TargetMode="External"/><Relationship Id="rId320" Type="http://schemas.openxmlformats.org/officeDocument/2006/relationships/hyperlink" Target="https://i.postimg.cc/1zRtDxvf/Blue-Attacker.png" TargetMode="External"/><Relationship Id="rId441" Type="http://schemas.openxmlformats.org/officeDocument/2006/relationships/hyperlink" Target="https://i.postimg.cc/yxNpCQFh/122-Fallen-Monk-Pirates-Captain-Mad-Monk-Urouge.png" TargetMode="External"/><Relationship Id="rId562" Type="http://schemas.openxmlformats.org/officeDocument/2006/relationships/hyperlink" Target="https://i.postimg.cc/qRhpGpyM/Green-Defender.png" TargetMode="External"/><Relationship Id="rId683" Type="http://schemas.openxmlformats.org/officeDocument/2006/relationships/hyperlink" Target="https://i.postimg.cc/jdt3Tjhq/001-Straw-Hat-Pirates-Captain-Monkey-D-Luffy.png" TargetMode="External"/><Relationship Id="rId316" Type="http://schemas.openxmlformats.org/officeDocument/2006/relationships/hyperlink" Target="https://i.postimg.cc/0NH8mz6B/Green-Attacker.png" TargetMode="External"/><Relationship Id="rId437" Type="http://schemas.openxmlformats.org/officeDocument/2006/relationships/hyperlink" Target="https://i.postimg.cc/DyZH9Z6V/124-Kid-Pirates-Fighter-Killer.png" TargetMode="External"/><Relationship Id="rId558" Type="http://schemas.openxmlformats.org/officeDocument/2006/relationships/hyperlink" Target="https://i.postimg.cc/m2xg81dx/Blue-Defender.png" TargetMode="External"/><Relationship Id="rId679" Type="http://schemas.openxmlformats.org/officeDocument/2006/relationships/hyperlink" Target="https://i.postimg.cc/tRhv86Wm/003-Straw-Hat-Pirates-Navigator-Nami.png" TargetMode="External"/><Relationship Id="rId315" Type="http://schemas.openxmlformats.org/officeDocument/2006/relationships/hyperlink" Target="https://i.postimg.cc/XqNcyrqn/185-Don-Quixote-Pirates-Supreme-Officer-Vergo.png" TargetMode="External"/><Relationship Id="rId436" Type="http://schemas.openxmlformats.org/officeDocument/2006/relationships/hyperlink" Target="https://i.postimg.cc/qRhpGpyM/Green-Defender.png" TargetMode="External"/><Relationship Id="rId557" Type="http://schemas.openxmlformats.org/officeDocument/2006/relationships/hyperlink" Target="https://i.postimg.cc/SxwKXHRs/064-Revolutoonary-Army-Chief-of-Staff-Sabo.png" TargetMode="External"/><Relationship Id="rId678" Type="http://schemas.openxmlformats.org/officeDocument/2006/relationships/hyperlink" Target="https://i.postimg.cc/4NzNM4MY/Blue-Runner.png" TargetMode="External"/><Relationship Id="rId314" Type="http://schemas.openxmlformats.org/officeDocument/2006/relationships/hyperlink" Target="https://i.postimg.cc/P5XhRWY7/Red-Defender.png" TargetMode="External"/><Relationship Id="rId435" Type="http://schemas.openxmlformats.org/officeDocument/2006/relationships/hyperlink" Target="https://i.postimg.cc/pX64RHcm/125-New-World-Eustass-Kid.png" TargetMode="External"/><Relationship Id="rId556" Type="http://schemas.openxmlformats.org/officeDocument/2006/relationships/hyperlink" Target="https://i.postimg.cc/0NH8mz6B/Green-Attacker.png" TargetMode="External"/><Relationship Id="rId677" Type="http://schemas.openxmlformats.org/officeDocument/2006/relationships/hyperlink" Target="https://i.postimg.cc/SRpTJQFr/004-Straw-Hat-Pirates-Sharp-Shooter-Usopp.png" TargetMode="External"/><Relationship Id="rId313" Type="http://schemas.openxmlformats.org/officeDocument/2006/relationships/hyperlink" Target="https://i.postimg.cc/26Dxrcfb/186-Don-Quixote-Pirates-Officer-Monet.png" TargetMode="External"/><Relationship Id="rId434" Type="http://schemas.openxmlformats.org/officeDocument/2006/relationships/hyperlink" Target="https://i.postimg.cc/L6B2DCYf/Red-Attacker.png" TargetMode="External"/><Relationship Id="rId555" Type="http://schemas.openxmlformats.org/officeDocument/2006/relationships/hyperlink" Target="https://i.postimg.cc/445n88LL/065-2-Years-Later-Cook-Sanji.png" TargetMode="External"/><Relationship Id="rId676" Type="http://schemas.openxmlformats.org/officeDocument/2006/relationships/hyperlink" Target="https://i.postimg.cc/1zRtDxvf/Blue-Attacker.png" TargetMode="External"/><Relationship Id="rId319" Type="http://schemas.openxmlformats.org/officeDocument/2006/relationships/hyperlink" Target="https://i.postimg.cc/HW3t19vn/183-Don-Quixote-Pirates-Captain-Don-Quixote-Doflamingo.png" TargetMode="External"/><Relationship Id="rId318" Type="http://schemas.openxmlformats.org/officeDocument/2006/relationships/hyperlink" Target="https://i.postimg.cc/P5XhRWY7/Red-Defender.png" TargetMode="External"/><Relationship Id="rId439" Type="http://schemas.openxmlformats.org/officeDocument/2006/relationships/hyperlink" Target="https://i.postimg.cc/7LgW3THz/123-On-Air-Pirates-Captain-Scratchmen-Apoo.png" TargetMode="External"/><Relationship Id="rId317" Type="http://schemas.openxmlformats.org/officeDocument/2006/relationships/hyperlink" Target="https://i.postimg.cc/GtMPPbTG/184-Don-Quixote-Pirates-Special-Officer-Sugar.png" TargetMode="External"/><Relationship Id="rId438" Type="http://schemas.openxmlformats.org/officeDocument/2006/relationships/hyperlink" Target="https://i.postimg.cc/4NzNM4MY/Blue-Runner.png" TargetMode="External"/><Relationship Id="rId559" Type="http://schemas.openxmlformats.org/officeDocument/2006/relationships/hyperlink" Target="https://i.postimg.cc/pL9TLP24/063-2-Years-Later-Navigator-Nami.png" TargetMode="External"/><Relationship Id="rId550" Type="http://schemas.openxmlformats.org/officeDocument/2006/relationships/hyperlink" Target="https://i.postimg.cc/PxgT30Qb/Green-Runner.png" TargetMode="External"/><Relationship Id="rId671" Type="http://schemas.openxmlformats.org/officeDocument/2006/relationships/hyperlink" Target="https://i.postimg.cc/bN9MSnv2/007-Straw-Hat-Pirates-Archaeologist-Nico-Robin.png" TargetMode="External"/><Relationship Id="rId670" Type="http://schemas.openxmlformats.org/officeDocument/2006/relationships/hyperlink" Target="https://i.postimg.cc/P5XhRWY7/Red-Defender.png" TargetMode="External"/><Relationship Id="rId312" Type="http://schemas.openxmlformats.org/officeDocument/2006/relationships/hyperlink" Target="https://i.postimg.cc/m2xg81dx/Blue-Defender.png" TargetMode="External"/><Relationship Id="rId433" Type="http://schemas.openxmlformats.org/officeDocument/2006/relationships/hyperlink" Target="https://i.postimg.cc/pL57d63q/126-Land-of-Wano-X-Drake.png" TargetMode="External"/><Relationship Id="rId554" Type="http://schemas.openxmlformats.org/officeDocument/2006/relationships/hyperlink" Target="https://i.postimg.cc/4NzNM4MY/Blue-Runner.png" TargetMode="External"/><Relationship Id="rId675" Type="http://schemas.openxmlformats.org/officeDocument/2006/relationships/hyperlink" Target="https://i.postimg.cc/P56R2kYX/005-Straw-Hat-Pirates-Cook-Sanji.png" TargetMode="External"/><Relationship Id="rId311" Type="http://schemas.openxmlformats.org/officeDocument/2006/relationships/hyperlink" Target="https://i.postimg.cc/dVgBSQH9/187-Whole-Cake-Island-Nami.png" TargetMode="External"/><Relationship Id="rId432" Type="http://schemas.openxmlformats.org/officeDocument/2006/relationships/hyperlink" Target="https://i.postimg.cc/PxgT30Qb/Green-Runner.png" TargetMode="External"/><Relationship Id="rId553" Type="http://schemas.openxmlformats.org/officeDocument/2006/relationships/hyperlink" Target="https://i.postimg.cc/RhXFNFJ5/066-2-Years-Later-Sharp-Shooter-Usopp.png" TargetMode="External"/><Relationship Id="rId674" Type="http://schemas.openxmlformats.org/officeDocument/2006/relationships/hyperlink" Target="https://i.postimg.cc/Hk6HDrtk/Red-Runner.png" TargetMode="External"/><Relationship Id="rId310" Type="http://schemas.openxmlformats.org/officeDocument/2006/relationships/hyperlink" Target="https://i.postimg.cc/PxgT30Qb/Green-Runner.png" TargetMode="External"/><Relationship Id="rId431" Type="http://schemas.openxmlformats.org/officeDocument/2006/relationships/hyperlink" Target="https://i.postimg.cc/RCG2pfcQ/127-Land-of-Wano-Onami.png" TargetMode="External"/><Relationship Id="rId552" Type="http://schemas.openxmlformats.org/officeDocument/2006/relationships/hyperlink" Target="https://i.postimg.cc/PxgT30Qb/Green-Runner.png" TargetMode="External"/><Relationship Id="rId673" Type="http://schemas.openxmlformats.org/officeDocument/2006/relationships/hyperlink" Target="https://i.postimg.cc/kgMHQ5VY/006-Straw-Hat-Pirates-Doctor-Tony-Tony-Chopper.png" TargetMode="External"/><Relationship Id="rId430" Type="http://schemas.openxmlformats.org/officeDocument/2006/relationships/hyperlink" Target="https://i.postimg.cc/1zRtDxvf/Blue-Attacker.png" TargetMode="External"/><Relationship Id="rId551" Type="http://schemas.openxmlformats.org/officeDocument/2006/relationships/hyperlink" Target="https://i.postimg.cc/fywyzXLf/067-Bonney-Pirates-Captain-Jewelry-Bonney.png" TargetMode="External"/><Relationship Id="rId672" Type="http://schemas.openxmlformats.org/officeDocument/2006/relationships/hyperlink" Target="https://i.postimg.cc/0NH8mz6B/Green-Attacker.png" TargetMode="External"/></Relationships>
</file>

<file path=xl/worksheets/_rels/sheet8.xml.rels><?xml version="1.0" encoding="UTF-8" standalone="yes"?><Relationships xmlns="http://schemas.openxmlformats.org/package/2006/relationships"><Relationship Id="rId190" Type="http://schemas.openxmlformats.org/officeDocument/2006/relationships/hyperlink" Target="https://i.postimg.cc/xjJcXWBx/img-chara-luffy-nigh01-m.png" TargetMode="External"/><Relationship Id="rId194" Type="http://schemas.openxmlformats.org/officeDocument/2006/relationships/hyperlink" Target="https://i.postimg.cc/pVhpmg3S/img-chara-luffy-stam01-m.png" TargetMode="External"/><Relationship Id="rId193" Type="http://schemas.openxmlformats.org/officeDocument/2006/relationships/hyperlink" Target="https://i.postimg.cc/bYDsZK4B/img-chara-luffy-snak01-m.png" TargetMode="External"/><Relationship Id="rId192" Type="http://schemas.openxmlformats.org/officeDocument/2006/relationships/hyperlink" Target="https://i.postimg.cc/BZLXjdRw/img-chara-luffy-orig01-m.png" TargetMode="External"/><Relationship Id="rId191" Type="http://schemas.openxmlformats.org/officeDocument/2006/relationships/hyperlink" Target="https://i.postimg.cc/XNGprTt1/img-chara-luffy-nost01-m.png" TargetMode="External"/><Relationship Id="rId187" Type="http://schemas.openxmlformats.org/officeDocument/2006/relationships/hyperlink" Target="https://i.postimg.cc/v8gc4pCX/img-chara-luffy-eg5n01-m.png" TargetMode="External"/><Relationship Id="rId186" Type="http://schemas.openxmlformats.org/officeDocument/2006/relationships/hyperlink" Target="https://i.postimg.cc/wxy71Sn2/img-chara-luffy-dres01-str-m.png" TargetMode="External"/><Relationship Id="rId185" Type="http://schemas.openxmlformats.org/officeDocument/2006/relationships/hyperlink" Target="https://i.postimg.cc/05MbzLhf/img-chara-luffy-dres01-m.png" TargetMode="External"/><Relationship Id="rId184" Type="http://schemas.openxmlformats.org/officeDocument/2006/relationships/hyperlink" Target="https://i.postimg.cc/Z0zkn9Xr/img-chara-luffy-boun01-m.png" TargetMode="External"/><Relationship Id="rId189" Type="http://schemas.openxmlformats.org/officeDocument/2006/relationships/hyperlink" Target="https://i.postimg.cc/DfJ8StRB/img-chara-luffy-fift01-m.png" TargetMode="External"/><Relationship Id="rId188" Type="http://schemas.openxmlformats.org/officeDocument/2006/relationships/hyperlink" Target="https://i.postimg.cc/7PGf5pjB/img-chara-luffy-eggh01-m.png" TargetMode="External"/><Relationship Id="rId183" Type="http://schemas.openxmlformats.org/officeDocument/2006/relationships/hyperlink" Target="https://i.postimg.cc/s1CFxBb5/img-chara-luffy-atta01-m.png" TargetMode="External"/><Relationship Id="rId182" Type="http://schemas.openxmlformats.org/officeDocument/2006/relationships/hyperlink" Target="https://i.postimg.cc/8sg8cFxM/img-chara-luffy-alab01-m.png" TargetMode="External"/><Relationship Id="rId181" Type="http://schemas.openxmlformats.org/officeDocument/2006/relationships/hyperlink" Target="https://i.postimg.cc/Thv81yBm/img-chara-luffy-afro01-m.png" TargetMode="External"/><Relationship Id="rId180" Type="http://schemas.openxmlformats.org/officeDocument/2006/relationships/hyperlink" Target="https://i.postimg.cc/qgHfqtWK/img-chara-luffy-2yaf01-m.png" TargetMode="External"/><Relationship Id="rId176" Type="http://schemas.openxmlformats.org/officeDocument/2006/relationships/hyperlink" Target="https://i.postimg.cc/XX6MqZtq/img-chara-lilith-orig01-m.png" TargetMode="External"/><Relationship Id="rId297" Type="http://schemas.openxmlformats.org/officeDocument/2006/relationships/hyperlink" Target="https://i.postimg.cc/R0Z0487B/img-chara-smoker-stam01-m.png" TargetMode="External"/><Relationship Id="rId175" Type="http://schemas.openxmlformats.org/officeDocument/2006/relationships/hyperlink" Target="https://i.postimg.cc/0r1gj6hQ/img-chara-leo-orig01-m.png" TargetMode="External"/><Relationship Id="rId296" Type="http://schemas.openxmlformats.org/officeDocument/2006/relationships/hyperlink" Target="https://i.postimg.cc/d0V0wX2K/img-chara-smoker-orig01-m.png" TargetMode="External"/><Relationship Id="rId174" Type="http://schemas.openxmlformats.org/officeDocument/2006/relationships/hyperlink" Target="https://i.postimg.cc/XX6MqZtv/img-chara-law-winn01-m.png" TargetMode="External"/><Relationship Id="rId295" Type="http://schemas.openxmlformats.org/officeDocument/2006/relationships/hyperlink" Target="https://i.postimg.cc/SKxKk56b/img-chara-smoker-2yaf01-str-m.png" TargetMode="External"/><Relationship Id="rId173" Type="http://schemas.openxmlformats.org/officeDocument/2006/relationships/hyperlink" Target="https://i.postimg.cc/Z0zkn9XK/img-chara-law-wano01-m.png" TargetMode="External"/><Relationship Id="rId294" Type="http://schemas.openxmlformats.org/officeDocument/2006/relationships/hyperlink" Target="https://i.postimg.cc/s2g2s8Yd/img-chara-smoker-2yaf01-m.png" TargetMode="External"/><Relationship Id="rId179" Type="http://schemas.openxmlformats.org/officeDocument/2006/relationships/hyperlink" Target="https://i.postimg.cc/pyMNr93h/img-chara-lucci-orig01-m.png" TargetMode="External"/><Relationship Id="rId178" Type="http://schemas.openxmlformats.org/officeDocument/2006/relationships/hyperlink" Target="https://i.postimg.cc/7brvhCjC/img-chara-lucci-eggh01-m.png" TargetMode="External"/><Relationship Id="rId299" Type="http://schemas.openxmlformats.org/officeDocument/2006/relationships/hyperlink" Target="https://i.postimg.cc/1z73tHH2/img-chara-ssnake-orig01-m.png" TargetMode="External"/><Relationship Id="rId177" Type="http://schemas.openxmlformats.org/officeDocument/2006/relationships/hyperlink" Target="https://i.postimg.cc/fkQ4y31J/img-chara-lucci-2yaf01-m.png" TargetMode="External"/><Relationship Id="rId298" Type="http://schemas.openxmlformats.org/officeDocument/2006/relationships/hyperlink" Target="https://i.postimg.cc/s2g2s8Y3/img-chara-sshark-orig01-m.png" TargetMode="External"/><Relationship Id="rId198" Type="http://schemas.openxmlformats.org/officeDocument/2006/relationships/hyperlink" Target="https://i.postimg.cc/sfQvMttd/img-chara-luffy-topw01-str-m.png" TargetMode="External"/><Relationship Id="rId197" Type="http://schemas.openxmlformats.org/officeDocument/2006/relationships/hyperlink" Target="https://i.postimg.cc/sfQvMtbk/img-chara-luffy-topw01-m.png" TargetMode="External"/><Relationship Id="rId196" Type="http://schemas.openxmlformats.org/officeDocument/2006/relationships/hyperlink" Target="https://i.postimg.cc/ry0KDv73/img-chara-luffy-thou01-m.png" TargetMode="External"/><Relationship Id="rId195" Type="http://schemas.openxmlformats.org/officeDocument/2006/relationships/hyperlink" Target="https://i.postimg.cc/1Rnf8LbT/img-chara-luffy-tera01-m.png" TargetMode="External"/><Relationship Id="rId199" Type="http://schemas.openxmlformats.org/officeDocument/2006/relationships/hyperlink" Target="https://i.postimg.cc/gcXnxffb/img-chara-luffy-wano01-m.png" TargetMode="External"/><Relationship Id="rId150" Type="http://schemas.openxmlformats.org/officeDocument/2006/relationships/hyperlink" Target="https://i.postimg.cc/vBjwR2z2/img-chara-kidlaw-doub01-02-m.png" TargetMode="External"/><Relationship Id="rId271" Type="http://schemas.openxmlformats.org/officeDocument/2006/relationships/hyperlink" Target="https://i.postimg.cc/Nj4MhYr6/img-chara-sanji-eggh01-m.png" TargetMode="External"/><Relationship Id="rId270" Type="http://schemas.openxmlformats.org/officeDocument/2006/relationships/hyperlink" Target="https://i.postimg.cc/VkR6y1bX/img-chara-sanji-davy01-str-m.png" TargetMode="External"/><Relationship Id="rId1" Type="http://schemas.openxmlformats.org/officeDocument/2006/relationships/hyperlink" Target="https://i.postimg.cc/D0LvxKT3/img-chara-ace-mari01-m.png" TargetMode="External"/><Relationship Id="rId2" Type="http://schemas.openxmlformats.org/officeDocument/2006/relationships/hyperlink" Target="https://i.postimg.cc/T1gdtX6X/img-chara-ace-mera01-m.png" TargetMode="External"/><Relationship Id="rId3" Type="http://schemas.openxmlformats.org/officeDocument/2006/relationships/hyperlink" Target="https://i.postimg.cc/1XwmvZQQ/img-chara-ace-mera01-str-m.png" TargetMode="External"/><Relationship Id="rId149" Type="http://schemas.openxmlformats.org/officeDocument/2006/relationships/hyperlink" Target="https://i.postimg.cc/JngCwYqT/img-chara-kidlaw-doub01-01-m.png" TargetMode="External"/><Relationship Id="rId4" Type="http://schemas.openxmlformats.org/officeDocument/2006/relationships/hyperlink" Target="https://i.postimg.cc/Xqdjs0bW/img-chara-ace-orig01-m.png" TargetMode="External"/><Relationship Id="rId148" Type="http://schemas.openxmlformats.org/officeDocument/2006/relationships/hyperlink" Target="https://i.postimg.cc/qRYHfDL1/img-chara-kid-orig01-m.png" TargetMode="External"/><Relationship Id="rId269" Type="http://schemas.openxmlformats.org/officeDocument/2006/relationships/hyperlink" Target="https://i.postimg.cc/7ZV6vDTg/img-chara-sanji-davy01-m.png" TargetMode="External"/><Relationship Id="rId9" Type="http://schemas.openxmlformats.org/officeDocument/2006/relationships/hyperlink" Target="https://i.postimg.cc/ZnpbwhSR/img-chara-aceyamato-doub01-m.png" TargetMode="External"/><Relationship Id="rId143" Type="http://schemas.openxmlformats.org/officeDocument/2006/relationships/hyperlink" Target="https://i.postimg.cc/FRqXtCZg/img-chara-katakuri-orig01-m.png" TargetMode="External"/><Relationship Id="rId264" Type="http://schemas.openxmlformats.org/officeDocument/2006/relationships/hyperlink" Target="https://i.postimg.cc/CxN1yYfn/img-chara-sai-orig01-m.png" TargetMode="External"/><Relationship Id="rId142" Type="http://schemas.openxmlformats.org/officeDocument/2006/relationships/hyperlink" Target="https://i.postimg.cc/rmb26ZJS/img-chara-katakuri-face01-m.png" TargetMode="External"/><Relationship Id="rId263" Type="http://schemas.openxmlformats.org/officeDocument/2006/relationships/hyperlink" Target="https://i.postimg.cc/3xBRM7Dd/img-chara-sabo-stam01-m.png" TargetMode="External"/><Relationship Id="rId141" Type="http://schemas.openxmlformats.org/officeDocument/2006/relationships/hyperlink" Target="https://i.postimg.cc/TwSv8N9n/img-chara-karasu-orig01-m.png" TargetMode="External"/><Relationship Id="rId262" Type="http://schemas.openxmlformats.org/officeDocument/2006/relationships/hyperlink" Target="https://i.postimg.cc/Bng6Ws1t/img-chara-sabo-orig01-m.png" TargetMode="External"/><Relationship Id="rId140" Type="http://schemas.openxmlformats.org/officeDocument/2006/relationships/hyperlink" Target="https://i.postimg.cc/JngCwYqX/img-chara-kanjuro-orig01-m.png" TargetMode="External"/><Relationship Id="rId261" Type="http://schemas.openxmlformats.org/officeDocument/2006/relationships/hyperlink" Target="https://i.postimg.cc/qvLRf0Cq/img-chara-sabo-mera01-m.png" TargetMode="External"/><Relationship Id="rId5" Type="http://schemas.openxmlformats.org/officeDocument/2006/relationships/hyperlink" Target="https://i.postimg.cc/yxc1LzHs/img-chara-ace-topw01-m.png" TargetMode="External"/><Relationship Id="rId147" Type="http://schemas.openxmlformats.org/officeDocument/2006/relationships/hyperlink" Target="https://i.postimg.cc/mDqWxpw8/img-chara-kid-atta01-m.png" TargetMode="External"/><Relationship Id="rId268" Type="http://schemas.openxmlformats.org/officeDocument/2006/relationships/hyperlink" Target="https://i.postimg.cc/Sxrs0qz8/img-chara-sanji-cake01-m.png" TargetMode="External"/><Relationship Id="rId6" Type="http://schemas.openxmlformats.org/officeDocument/2006/relationships/hyperlink" Target="https://i.postimg.cc/nrBF3tJH/img-chara-acesaboluffy-trip01-m.png" TargetMode="External"/><Relationship Id="rId146" Type="http://schemas.openxmlformats.org/officeDocument/2006/relationships/hyperlink" Target="https://i.postimg.cc/853g8XHw/img-chara-kid-2yaf01-m.png" TargetMode="External"/><Relationship Id="rId267" Type="http://schemas.openxmlformats.org/officeDocument/2006/relationships/hyperlink" Target="https://i.postimg.cc/rwJm6ct4/img-chara-sanji-atta01-m.png" TargetMode="External"/><Relationship Id="rId7" Type="http://schemas.openxmlformats.org/officeDocument/2006/relationships/hyperlink" Target="https://i.postimg.cc/7h0HKykP/img-chara-aceyamato-doub01-01-m.png" TargetMode="External"/><Relationship Id="rId145" Type="http://schemas.openxmlformats.org/officeDocument/2006/relationships/hyperlink" Target="https://i.postimg.cc/76crvtVN/img-chara-kaya-orig01-m.png" TargetMode="External"/><Relationship Id="rId266" Type="http://schemas.openxmlformats.org/officeDocument/2006/relationships/hyperlink" Target="https://i.postimg.cc/3xBRM7Dv/img-chara-sanji-alab01-m.png" TargetMode="External"/><Relationship Id="rId8" Type="http://schemas.openxmlformats.org/officeDocument/2006/relationships/hyperlink" Target="https://i.postimg.cc/x8Mf6S21/img-chara-aceyamato-doub01-02-m.png" TargetMode="External"/><Relationship Id="rId144" Type="http://schemas.openxmlformats.org/officeDocument/2006/relationships/hyperlink" Target="https://i.postimg.cc/QtPZLYbm/img-chara-kawamatsu-orig01-m.png" TargetMode="External"/><Relationship Id="rId265" Type="http://schemas.openxmlformats.org/officeDocument/2006/relationships/hyperlink" Target="https://i.postimg.cc/T39w8GWW/img-chara-sanji-2yaf01-m.png" TargetMode="External"/><Relationship Id="rId260" Type="http://schemas.openxmlformats.org/officeDocument/2006/relationships/hyperlink" Target="https://i.postimg.cc/K8NzXFgc/img-chara-sabo-ente01-m.png" TargetMode="External"/><Relationship Id="rId139" Type="http://schemas.openxmlformats.org/officeDocument/2006/relationships/hyperlink" Target="https://i.postimg.cc/fLFQ4qK9/img-chara-kalgara-sora01-m.png" TargetMode="External"/><Relationship Id="rId138" Type="http://schemas.openxmlformats.org/officeDocument/2006/relationships/hyperlink" Target="https://i.postimg.cc/V6TPyZRr/img-chara-kaku-orig01-m.png" TargetMode="External"/><Relationship Id="rId259" Type="http://schemas.openxmlformats.org/officeDocument/2006/relationships/hyperlink" Target="https://i.postimg.cc/QdstnVVK/img-chara-ryuma-orig01-m.png" TargetMode="External"/><Relationship Id="rId137" Type="http://schemas.openxmlformats.org/officeDocument/2006/relationships/hyperlink" Target="https://i.postimg.cc/sX8CFHcZ/img-chara-kaku-eggh01-m.png" TargetMode="External"/><Relationship Id="rId258" Type="http://schemas.openxmlformats.org/officeDocument/2006/relationships/hyperlink" Target="https://i.postimg.cc/Sxrs0qzy/img-chara-ryokugyu-orig01-m.png" TargetMode="External"/><Relationship Id="rId132" Type="http://schemas.openxmlformats.org/officeDocument/2006/relationships/hyperlink" Target="https://i.postimg.cc/j59YV3Xj/img-chara-judge-orig01-m.png" TargetMode="External"/><Relationship Id="rId253" Type="http://schemas.openxmlformats.org/officeDocument/2006/relationships/hyperlink" Target="https://i.postimg.cc/4xZdFnn4/img-chara-robin-skyp01-m.png" TargetMode="External"/><Relationship Id="rId131" Type="http://schemas.openxmlformats.org/officeDocument/2006/relationships/hyperlink" Target="https://i.postimg.cc/V6TPyZRs/img-chara-jozu-orig01-m.png" TargetMode="External"/><Relationship Id="rId252" Type="http://schemas.openxmlformats.org/officeDocument/2006/relationships/hyperlink" Target="https://i.postimg.cc/Jzmndttw/img-chara-robin-holi01-m.png" TargetMode="External"/><Relationship Id="rId130" Type="http://schemas.openxmlformats.org/officeDocument/2006/relationships/hyperlink" Target="https://i.postimg.cc/PxNnRnm8/img-chara-johnny-orig01-m.png" TargetMode="External"/><Relationship Id="rId251" Type="http://schemas.openxmlformats.org/officeDocument/2006/relationships/hyperlink" Target="https://i.postimg.cc/YCk9yj0T/img-chara-robin-enie01-m.png" TargetMode="External"/><Relationship Id="rId250" Type="http://schemas.openxmlformats.org/officeDocument/2006/relationships/hyperlink" Target="https://i.postimg.cc/QdstnVCR/img-chara-robin-eggh01-m.png" TargetMode="External"/><Relationship Id="rId136" Type="http://schemas.openxmlformats.org/officeDocument/2006/relationships/hyperlink" Target="https://i.postimg.cc/nz5f8Sks/img-chara-kaido-orig01-m.png" TargetMode="External"/><Relationship Id="rId257" Type="http://schemas.openxmlformats.org/officeDocument/2006/relationships/hyperlink" Target="https://i.postimg.cc/8zD5nssF/img-chara-ryokugyu-mori01-m.png" TargetMode="External"/><Relationship Id="rId135" Type="http://schemas.openxmlformats.org/officeDocument/2006/relationships/hyperlink" Target="https://i.postimg.cc/QtPZLYbH/img-chara-kaido-jinj01-m.png" TargetMode="External"/><Relationship Id="rId256" Type="http://schemas.openxmlformats.org/officeDocument/2006/relationships/hyperlink" Target="https://i.postimg.cc/Bns6wttQ/img-chara-roger-reco01-m.png" TargetMode="External"/><Relationship Id="rId134" Type="http://schemas.openxmlformats.org/officeDocument/2006/relationships/hyperlink" Target="https://i.postimg.cc/fLFQ4qKy/img-chara-kaido-drag01-m.png" TargetMode="External"/><Relationship Id="rId255" Type="http://schemas.openxmlformats.org/officeDocument/2006/relationships/hyperlink" Target="https://i.postimg.cc/3x7RbWWK/img-chara-roger-orig01-m.png" TargetMode="External"/><Relationship Id="rId133" Type="http://schemas.openxmlformats.org/officeDocument/2006/relationships/hyperlink" Target="https://i.postimg.cc/0Q31gXfQ/img-chara-judge-orig01-str-m.png" TargetMode="External"/><Relationship Id="rId254" Type="http://schemas.openxmlformats.org/officeDocument/2006/relationships/hyperlink" Target="https://i.postimg.cc/cLZH566x/img-chara-robin-wano01-m.png" TargetMode="External"/><Relationship Id="rId172" Type="http://schemas.openxmlformats.org/officeDocument/2006/relationships/hyperlink" Target="https://i.postimg.cc/vDwRT1C8/img-chara-law-orig01-m.png" TargetMode="External"/><Relationship Id="rId293" Type="http://schemas.openxmlformats.org/officeDocument/2006/relationships/hyperlink" Target="https://i.postimg.cc/N0j0BV1W/img-chara-sircrocodile-topw01-m.png" TargetMode="External"/><Relationship Id="rId171" Type="http://schemas.openxmlformats.org/officeDocument/2006/relationships/hyperlink" Target="https://i.postimg.cc/F1XtzfwN/img-chara-law-atta01-m.png" TargetMode="External"/><Relationship Id="rId292" Type="http://schemas.openxmlformats.org/officeDocument/2006/relationships/hyperlink" Target="https://i.postimg.cc/N0j0BV1Z/img-chara-sircrocodile-orig01-m.png" TargetMode="External"/><Relationship Id="rId170" Type="http://schemas.openxmlformats.org/officeDocument/2006/relationships/hyperlink" Target="https://i.postimg.cc/mhWxkcK4/img-chara-law-2yaf01-m.png" TargetMode="External"/><Relationship Id="rId291" Type="http://schemas.openxmlformats.org/officeDocument/2006/relationships/hyperlink" Target="https://i.postimg.cc/FKHKNqj8/img-chara-sircrocodile-impe01-m.png" TargetMode="External"/><Relationship Id="rId290" Type="http://schemas.openxmlformats.org/officeDocument/2006/relationships/hyperlink" Target="https://i.postimg.cc/g020m5v5/img-chara-shiryu-orig01-m.png" TargetMode="External"/><Relationship Id="rId165" Type="http://schemas.openxmlformats.org/officeDocument/2006/relationships/hyperlink" Target="https://i.postimg.cc/NFHqQ8CG/img-chara-kumabonie-doub01-m.png" TargetMode="External"/><Relationship Id="rId286" Type="http://schemas.openxmlformats.org/officeDocument/2006/relationships/hyperlink" Target="https://i.postimg.cc/7LZLwcgB/img-chara-shawk-orig01-m.png" TargetMode="External"/><Relationship Id="rId164" Type="http://schemas.openxmlformats.org/officeDocument/2006/relationships/hyperlink" Target="https://i.postimg.cc/BbK9J574/img-chara-kumabonie-doub01-02-m.png" TargetMode="External"/><Relationship Id="rId285" Type="http://schemas.openxmlformats.org/officeDocument/2006/relationships/hyperlink" Target="https://i.postimg.cc/Bvnv4yxm/img-chara-shanks-tera01-m.png" TargetMode="External"/><Relationship Id="rId163" Type="http://schemas.openxmlformats.org/officeDocument/2006/relationships/hyperlink" Target="https://i.postimg.cc/d3yPJRNY/img-chara-kumabonie-doub01-01-m.png" TargetMode="External"/><Relationship Id="rId284" Type="http://schemas.openxmlformats.org/officeDocument/2006/relationships/hyperlink" Target="https://i.postimg.cc/XvYv4hwQ/img-chara-shanks-orig01-m.png" TargetMode="External"/><Relationship Id="rId162" Type="http://schemas.openxmlformats.org/officeDocument/2006/relationships/hyperlink" Target="https://i.postimg.cc/FzL5hbC5/img-chara-koala-vale01-m.png" TargetMode="External"/><Relationship Id="rId283" Type="http://schemas.openxmlformats.org/officeDocument/2006/relationships/hyperlink" Target="https://i.postimg.cc/d0V0wX86/img-chara-shanks-kamu01-m.png" TargetMode="External"/><Relationship Id="rId169" Type="http://schemas.openxmlformats.org/officeDocument/2006/relationships/hyperlink" Target="https://i.postimg.cc/yWCqxJ2H/img-chara-kyoshiro-orig01-m.png" TargetMode="External"/><Relationship Id="rId168" Type="http://schemas.openxmlformats.org/officeDocument/2006/relationships/hyperlink" Target="https://i.postimg.cc/bdfXrG4j/img-chara-kuroobi-orig01-m.png" TargetMode="External"/><Relationship Id="rId289" Type="http://schemas.openxmlformats.org/officeDocument/2006/relationships/hyperlink" Target="https://i.postimg.cc/QMdMhPpz/img-chara-shiryu-hach01-m.png" TargetMode="External"/><Relationship Id="rId167" Type="http://schemas.openxmlformats.org/officeDocument/2006/relationships/hyperlink" Target="https://i.postimg.cc/Sjb0RXH0/img-chara-kuro-orig01-m.png" TargetMode="External"/><Relationship Id="rId288" Type="http://schemas.openxmlformats.org/officeDocument/2006/relationships/hyperlink" Target="https://i.postimg.cc/pdLdR7D6/img-chara-shinobu-orig01-m.png" TargetMode="External"/><Relationship Id="rId166" Type="http://schemas.openxmlformats.org/officeDocument/2006/relationships/hyperlink" Target="https://i.postimg.cc/5jWcyHTh/img-chara-kungfudugong-orig01-m.png" TargetMode="External"/><Relationship Id="rId287" Type="http://schemas.openxmlformats.org/officeDocument/2006/relationships/hyperlink" Target="https://i.postimg.cc/Ls8s27zQ/img-chara-shiki-orig01-m.png" TargetMode="External"/><Relationship Id="rId161" Type="http://schemas.openxmlformats.org/officeDocument/2006/relationships/hyperlink" Target="https://i.postimg.cc/1Xqhy0Ck/img-chara-koala-orig01-str-m.png" TargetMode="External"/><Relationship Id="rId282" Type="http://schemas.openxmlformats.org/officeDocument/2006/relationships/hyperlink" Target="https://i.postimg.cc/JhzhMgb5/img-chara-shanks-hand01-m.png" TargetMode="External"/><Relationship Id="rId160" Type="http://schemas.openxmlformats.org/officeDocument/2006/relationships/hyperlink" Target="https://i.postimg.cc/XqCSnKHT/img-chara-koala-orig01-m.png" TargetMode="External"/><Relationship Id="rId281" Type="http://schemas.openxmlformats.org/officeDocument/2006/relationships/hyperlink" Target="https://i.postimg.cc/k5g5qZxN/img-chara-sentomaru-orig01-m.png" TargetMode="External"/><Relationship Id="rId280" Type="http://schemas.openxmlformats.org/officeDocument/2006/relationships/hyperlink" Target="https://i.postimg.cc/R0Z048c7/img-chara-sentomaru-2yaf01-m.png" TargetMode="External"/><Relationship Id="rId159" Type="http://schemas.openxmlformats.org/officeDocument/2006/relationships/hyperlink" Target="https://i.postimg.cc/L51KmkCW/img-chara-kizaru-swor01-m.png" TargetMode="External"/><Relationship Id="rId154" Type="http://schemas.openxmlformats.org/officeDocument/2006/relationships/hyperlink" Target="https://i.postimg.cc/ZndtJP7f/img-chara-killer-atta01-m.png" TargetMode="External"/><Relationship Id="rId275" Type="http://schemas.openxmlformats.org/officeDocument/2006/relationships/hyperlink" Target="https://i.postimg.cc/y8PdqBSL/img-chara-sasaki-jinj01-m.png" TargetMode="External"/><Relationship Id="rId153" Type="http://schemas.openxmlformats.org/officeDocument/2006/relationships/hyperlink" Target="https://i.postimg.cc/MHQ2z0Pb/img-chara-killer-2yaf01-m.png" TargetMode="External"/><Relationship Id="rId274" Type="http://schemas.openxmlformats.org/officeDocument/2006/relationships/hyperlink" Target="https://i.postimg.cc/13HtxPNM/img-chara-sanji-wedd01-m.png" TargetMode="External"/><Relationship Id="rId152" Type="http://schemas.openxmlformats.org/officeDocument/2006/relationships/hyperlink" Target="https://i.postimg.cc/zvgZqwtC/img-chara-kikunojo-orig01-m.png" TargetMode="External"/><Relationship Id="rId273" Type="http://schemas.openxmlformats.org/officeDocument/2006/relationships/hyperlink" Target="https://i.postimg.cc/K8NzXFgf/img-chara-sanji-orig01-m.png" TargetMode="External"/><Relationship Id="rId151" Type="http://schemas.openxmlformats.org/officeDocument/2006/relationships/hyperlink" Target="https://i.postimg.cc/j59YV3Xk/img-chara-kidlaw-doub01-m.png" TargetMode="External"/><Relationship Id="rId272" Type="http://schemas.openxmlformats.org/officeDocument/2006/relationships/hyperlink" Target="https://i.postimg.cc/nhkz8ZQ0/img-chara-sanji-jeru01-m.png" TargetMode="External"/><Relationship Id="rId158" Type="http://schemas.openxmlformats.org/officeDocument/2006/relationships/hyperlink" Target="https://i.postimg.cc/x8zD9Gx7/img-chara-kizaru-orig01-m.png" TargetMode="External"/><Relationship Id="rId279" Type="http://schemas.openxmlformats.org/officeDocument/2006/relationships/hyperlink" Target="https://i.postimg.cc/R0Z048cc/img-chara-senorpink-orig01-m.png" TargetMode="External"/><Relationship Id="rId157" Type="http://schemas.openxmlformats.org/officeDocument/2006/relationships/hyperlink" Target="https://i.postimg.cc/4y9kXvLL/img-chara-king-orig01-bs01-m.png" TargetMode="External"/><Relationship Id="rId278" Type="http://schemas.openxmlformats.org/officeDocument/2006/relationships/hyperlink" Target="https://i.postimg.cc/fbRbDFxY/img-chara-sengoku-orig01-m.png" TargetMode="External"/><Relationship Id="rId156" Type="http://schemas.openxmlformats.org/officeDocument/2006/relationships/hyperlink" Target="https://i.postimg.cc/8c6QTdKw/img-chara-king-face01-m.png" TargetMode="External"/><Relationship Id="rId277" Type="http://schemas.openxmlformats.org/officeDocument/2006/relationships/hyperlink" Target="https://i.postimg.cc/Z5cRkZy7/img-chara-sbear-orig01-m.png" TargetMode="External"/><Relationship Id="rId155" Type="http://schemas.openxmlformats.org/officeDocument/2006/relationships/hyperlink" Target="https://i.postimg.cc/NFHqQ8JD/img-chara-kinemon-orig01-m.png" TargetMode="External"/><Relationship Id="rId276" Type="http://schemas.openxmlformats.org/officeDocument/2006/relationships/hyperlink" Target="https://i.postimg.cc/htrjFg7C/img-chara-saturn-orig01-m.png" TargetMode="External"/><Relationship Id="rId40" Type="http://schemas.openxmlformats.org/officeDocument/2006/relationships/hyperlink" Target="https://i.postimg.cc/pXjRvv3K/img-chara-bonie-eggh01-m.png" TargetMode="External"/><Relationship Id="rId42" Type="http://schemas.openxmlformats.org/officeDocument/2006/relationships/hyperlink" Target="https://i.postimg.cc/fRhZTFht/img-chara-brogy-eggh01-m.png" TargetMode="External"/><Relationship Id="rId41" Type="http://schemas.openxmlformats.org/officeDocument/2006/relationships/hyperlink" Target="https://i.postimg.cc/4NcsGGj6/img-chara-bonie-orig01-m.png" TargetMode="External"/><Relationship Id="rId44" Type="http://schemas.openxmlformats.org/officeDocument/2006/relationships/hyperlink" Target="https://i.postimg.cc/t4HyCfHV/img-chara-brook-atta01-m.png" TargetMode="External"/><Relationship Id="rId43" Type="http://schemas.openxmlformats.org/officeDocument/2006/relationships/hyperlink" Target="https://i.postimg.cc/RZz9V8zJ/img-chara-brook-2yaf01-m.png" TargetMode="External"/><Relationship Id="rId46" Type="http://schemas.openxmlformats.org/officeDocument/2006/relationships/hyperlink" Target="https://i.postimg.cc/W1PjbKP0/img-chara-brook-eggh01-m.png" TargetMode="External"/><Relationship Id="rId45" Type="http://schemas.openxmlformats.org/officeDocument/2006/relationships/hyperlink" Target="https://i.postimg.cc/kgd9XZdS/img-chara-brook-cake01-m.png" TargetMode="External"/><Relationship Id="rId48" Type="http://schemas.openxmlformats.org/officeDocument/2006/relationships/hyperlink" Target="https://i.postimg.cc/13ZP5TZ0/img-chara-brook-wano01-m.png" TargetMode="External"/><Relationship Id="rId47" Type="http://schemas.openxmlformats.org/officeDocument/2006/relationships/hyperlink" Target="https://i.postimg.cc/fRhZTFhc/img-chara-brook-orig01-m.png" TargetMode="External"/><Relationship Id="rId49" Type="http://schemas.openxmlformats.org/officeDocument/2006/relationships/hyperlink" Target="https://i.postimg.cc/QdrsxPrk/img-chara-brulee-orig01-m.png" TargetMode="External"/><Relationship Id="rId31" Type="http://schemas.openxmlformats.org/officeDocument/2006/relationships/hyperlink" Target="https://i.postimg.cc/xjz1fLzN/img-chara-bigmom-slim01-m.png" TargetMode="External"/><Relationship Id="rId30" Type="http://schemas.openxmlformats.org/officeDocument/2006/relationships/hyperlink" Target="https://i.postimg.cc/h4dtDVdX/img-chara-bigmom-orig01-m.png" TargetMode="External"/><Relationship Id="rId33" Type="http://schemas.openxmlformats.org/officeDocument/2006/relationships/hyperlink" Target="https://i.postimg.cc/1515f4GR/img-chara-bkuma-orig01-m.png" TargetMode="External"/><Relationship Id="rId32" Type="http://schemas.openxmlformats.org/officeDocument/2006/relationships/hyperlink" Target="https://i.postimg.cc/xTVTcqvf/img-chara-bigmom-wano01-m.png" TargetMode="External"/><Relationship Id="rId35" Type="http://schemas.openxmlformats.org/officeDocument/2006/relationships/hyperlink" Target="https://i.postimg.cc/65ZtKKF4/img-chara-blueno-orig01-m.png" TargetMode="External"/><Relationship Id="rId34" Type="http://schemas.openxmlformats.org/officeDocument/2006/relationships/hyperlink" Target="https://i.postimg.cc/rF4MTT7t/img-chara-blackmaria-orig01-m.png" TargetMode="External"/><Relationship Id="rId37" Type="http://schemas.openxmlformats.org/officeDocument/2006/relationships/hyperlink" Target="https://i.postimg.cc/NfXBttZX/img-chara-boahancock-orig01-m.png" TargetMode="External"/><Relationship Id="rId36" Type="http://schemas.openxmlformats.org/officeDocument/2006/relationships/hyperlink" Target="https://i.postimg.cc/3JGYhhzv/img-chara-boahancock-2yaf01-m.png" TargetMode="External"/><Relationship Id="rId39" Type="http://schemas.openxmlformats.org/officeDocument/2006/relationships/hyperlink" Target="https://i.postimg.cc/fTdDss1m/img-chara-boahancock-swim01-m.png" TargetMode="External"/><Relationship Id="rId38" Type="http://schemas.openxmlformats.org/officeDocument/2006/relationships/hyperlink" Target="https://i.postimg.cc/28WrYYgv/img-chara-boahancock-stam01-m.png" TargetMode="External"/><Relationship Id="rId20" Type="http://schemas.openxmlformats.org/officeDocument/2006/relationships/hyperlink" Target="https://i.postimg.cc/bYtwy124/img-chara-ashuradoji-orig01-m.png" TargetMode="External"/><Relationship Id="rId22" Type="http://schemas.openxmlformats.org/officeDocument/2006/relationships/hyperlink" Target="https://i.postimg.cc/449xfp9s/img-chara-baby5-orig01-m.png" TargetMode="External"/><Relationship Id="rId21" Type="http://schemas.openxmlformats.org/officeDocument/2006/relationships/hyperlink" Target="https://i.postimg.cc/mZHgL7Fq/img-chara-atlas-orig01-m.png" TargetMode="External"/><Relationship Id="rId24" Type="http://schemas.openxmlformats.org/officeDocument/2006/relationships/hyperlink" Target="https://i.postimg.cc/QNTd8cTj/img-chara-bege-orig01-m.png" TargetMode="External"/><Relationship Id="rId23" Type="http://schemas.openxmlformats.org/officeDocument/2006/relationships/hyperlink" Target="https://i.postimg.cc/7P2ZHS2D/img-chara-bartolomeo-orig01-m.png" TargetMode="External"/><Relationship Id="rId26" Type="http://schemas.openxmlformats.org/officeDocument/2006/relationships/hyperlink" Target="https://i.postimg.cc/dQyVsGyV/img-chara-bellamy-orig01-m.png" TargetMode="External"/><Relationship Id="rId25" Type="http://schemas.openxmlformats.org/officeDocument/2006/relationships/hyperlink" Target="https://i.postimg.cc/qB3vJ23k/img-chara-bellamy-2yaf01-m.png" TargetMode="External"/><Relationship Id="rId28" Type="http://schemas.openxmlformats.org/officeDocument/2006/relationships/hyperlink" Target="https://i.postimg.cc/gcZ2z3Zj/img-chara-bennbeckman-tera01-m.png" TargetMode="External"/><Relationship Id="rId27" Type="http://schemas.openxmlformats.org/officeDocument/2006/relationships/hyperlink" Target="https://i.postimg.cc/tRx4qFxT/img-chara-belobetty-orig01-m.png" TargetMode="External"/><Relationship Id="rId29" Type="http://schemas.openxmlformats.org/officeDocument/2006/relationships/hyperlink" Target="https://i.postimg.cc/c1nLxfnJ/img-chara-bepo-orig01-m.png" TargetMode="External"/><Relationship Id="rId11" Type="http://schemas.openxmlformats.org/officeDocument/2006/relationships/hyperlink" Target="https://i.postimg.cc/HnXY6Cg7/img-chara-akainu-gens01-m.png" TargetMode="External"/><Relationship Id="rId10" Type="http://schemas.openxmlformats.org/officeDocument/2006/relationships/hyperlink" Target="https://i.postimg.cc/yxc1LzH3/img-chara-adio-orig01-m.png" TargetMode="External"/><Relationship Id="rId13" Type="http://schemas.openxmlformats.org/officeDocument/2006/relationships/hyperlink" Target="https://i.postimg.cc/SRCSgph9/img-chara-alvida-orig01-m.png" TargetMode="External"/><Relationship Id="rId12" Type="http://schemas.openxmlformats.org/officeDocument/2006/relationships/hyperlink" Target="https://i.postimg.cc/brkymjht/img-chara-akainu-orig01-m.png" TargetMode="External"/><Relationship Id="rId15" Type="http://schemas.openxmlformats.org/officeDocument/2006/relationships/hyperlink" Target="https://i.postimg.cc/WzgN5Pvw/img-chara-aokiji-casu01-m.png" TargetMode="External"/><Relationship Id="rId14" Type="http://schemas.openxmlformats.org/officeDocument/2006/relationships/hyperlink" Target="https://i.postimg.cc/zvKzx1rS/img-chara-alvida-sube01-m.png" TargetMode="External"/><Relationship Id="rId17" Type="http://schemas.openxmlformats.org/officeDocument/2006/relationships/hyperlink" Target="https://i.postimg.cc/GtGLX1CP/img-chara-aokiji-orig01-m.png" TargetMode="External"/><Relationship Id="rId16" Type="http://schemas.openxmlformats.org/officeDocument/2006/relationships/hyperlink" Target="https://i.postimg.cc/przWstHf/img-chara-aokiji-hach01-m.png" TargetMode="External"/><Relationship Id="rId19" Type="http://schemas.openxmlformats.org/officeDocument/2006/relationships/hyperlink" Target="https://i.postimg.cc/qB3vJ23f/img-chara-arlong-orig01-m.png" TargetMode="External"/><Relationship Id="rId18" Type="http://schemas.openxmlformats.org/officeDocument/2006/relationships/hyperlink" Target="https://i.postimg.cc/jq7SxyJ1/img-chara-apoo-2yaf01-m.png" TargetMode="External"/><Relationship Id="rId84" Type="http://schemas.openxmlformats.org/officeDocument/2006/relationships/hyperlink" Target="https://i.postimg.cc/YSrHQW04/img-chara-doflamingo-youn01-m.png" TargetMode="External"/><Relationship Id="rId83" Type="http://schemas.openxmlformats.org/officeDocument/2006/relationships/hyperlink" Target="https://i.postimg.cc/tgqjFxJ7/img-chara-doflamingo-orig01-bs01-m.png" TargetMode="External"/><Relationship Id="rId86" Type="http://schemas.openxmlformats.org/officeDocument/2006/relationships/hyperlink" Target="https://i.postimg.cc/25kDnZyn/img-chara-dorry-eggh01-m.png" TargetMode="External"/><Relationship Id="rId85" Type="http://schemas.openxmlformats.org/officeDocument/2006/relationships/hyperlink" Target="https://i.postimg.cc/BvS02KbH/img-chara-donkrieg-orig01-m.png" TargetMode="External"/><Relationship Id="rId88" Type="http://schemas.openxmlformats.org/officeDocument/2006/relationships/hyperlink" Target="https://i.postimg.cc/vmYs5VT7/img-chara-enel-amal01-m.png" TargetMode="External"/><Relationship Id="rId87" Type="http://schemas.openxmlformats.org/officeDocument/2006/relationships/hyperlink" Target="https://i.postimg.cc/YSrHQW06/img-chara-elizabello-orig01-m.png" TargetMode="External"/><Relationship Id="rId89" Type="http://schemas.openxmlformats.org/officeDocument/2006/relationships/hyperlink" Target="https://i.postimg.cc/nLFJqDrY/img-chara-enel-orig01-m.png" TargetMode="External"/><Relationship Id="rId80" Type="http://schemas.openxmlformats.org/officeDocument/2006/relationships/hyperlink" Target="https://i.postimg.cc/MG6S1QHZ/img-chara-demaroblack-orig01-m.png" TargetMode="External"/><Relationship Id="rId82" Type="http://schemas.openxmlformats.org/officeDocument/2006/relationships/hyperlink" Target="https://i.postimg.cc/YSrHQW0C/img-chara-django-orig01-m.png" TargetMode="External"/><Relationship Id="rId81" Type="http://schemas.openxmlformats.org/officeDocument/2006/relationships/hyperlink" Target="https://i.postimg.cc/JhrLjk04/img-chara-diamante-orig01-m.png" TargetMode="External"/><Relationship Id="rId73" Type="http://schemas.openxmlformats.org/officeDocument/2006/relationships/hyperlink" Target="https://i.postimg.cc/g2qpwDz2/img-chara-chopper-tera01-m.png" TargetMode="External"/><Relationship Id="rId72" Type="http://schemas.openxmlformats.org/officeDocument/2006/relationships/hyperlink" Target="https://i.postimg.cc/x1yQkRff/img-chara-chopper-orig01-m.png" TargetMode="External"/><Relationship Id="rId75" Type="http://schemas.openxmlformats.org/officeDocument/2006/relationships/hyperlink" Target="https://i.postimg.cc/mgN4cwLh/img-chara-coby-capt01-m.png" TargetMode="External"/><Relationship Id="rId74" Type="http://schemas.openxmlformats.org/officeDocument/2006/relationships/hyperlink" Target="https://i.postimg.cc/0ydv6fk2/img-chara-chopper-wano01-m.png" TargetMode="External"/><Relationship Id="rId77" Type="http://schemas.openxmlformats.org/officeDocument/2006/relationships/hyperlink" Target="https://i.postimg.cc/9fmhy70V/img-chara-coby-serg01-m.png" TargetMode="External"/><Relationship Id="rId76" Type="http://schemas.openxmlformats.org/officeDocument/2006/relationships/hyperlink" Target="https://i.postimg.cc/y8XKJP1k/img-chara-coby-orig01-m.png" TargetMode="External"/><Relationship Id="rId79" Type="http://schemas.openxmlformats.org/officeDocument/2006/relationships/hyperlink" Target="https://i.postimg.cc/QM83cTCj/img-chara-cracker-orig01-m.png" TargetMode="External"/><Relationship Id="rId78" Type="http://schemas.openxmlformats.org/officeDocument/2006/relationships/hyperlink" Target="https://i.postimg.cc/hGDBVdvc/img-chara-corazon-orig01-m.png" TargetMode="External"/><Relationship Id="rId71" Type="http://schemas.openxmlformats.org/officeDocument/2006/relationships/hyperlink" Target="https://i.postimg.cc/13cSgHmS/img-chara-chopper-holi01-m.png" TargetMode="External"/><Relationship Id="rId70" Type="http://schemas.openxmlformats.org/officeDocument/2006/relationships/hyperlink" Target="https://i.postimg.cc/XYcWZ8j0/img-chara-chopper-fish01-m.png" TargetMode="External"/><Relationship Id="rId62" Type="http://schemas.openxmlformats.org/officeDocument/2006/relationships/hyperlink" Target="https://i.postimg.cc/P5zHL4t7/img-chara-cavendish-orig01-m.png" TargetMode="External"/><Relationship Id="rId61" Type="http://schemas.openxmlformats.org/officeDocument/2006/relationships/hyperlink" Target="https://i.postimg.cc/rwCTdJ8h/img-chara-cavendish-dres01-m.png" TargetMode="External"/><Relationship Id="rId64" Type="http://schemas.openxmlformats.org/officeDocument/2006/relationships/hyperlink" Target="https://i.postimg.cc/RZQm3RM8/img-chara-chinjao-orig01-m.png" TargetMode="External"/><Relationship Id="rId63" Type="http://schemas.openxmlformats.org/officeDocument/2006/relationships/hyperlink" Target="https://i.postimg.cc/pLYv9Z26/img-chara-charlos-orig01-m.png" TargetMode="External"/><Relationship Id="rId66" Type="http://schemas.openxmlformats.org/officeDocument/2006/relationships/hyperlink" Target="https://i.postimg.cc/fRjs3Kw1/img-chara-chopper-2yaf01-m.png" TargetMode="External"/><Relationship Id="rId65" Type="http://schemas.openxmlformats.org/officeDocument/2006/relationships/hyperlink" Target="https://i.postimg.cc/g2qpwDYf/img-chara-choo-orig01-m.png" TargetMode="External"/><Relationship Id="rId68" Type="http://schemas.openxmlformats.org/officeDocument/2006/relationships/hyperlink" Target="https://i.postimg.cc/kgFCVcJ3/img-chara-chopper-atta01-m.png" TargetMode="External"/><Relationship Id="rId67" Type="http://schemas.openxmlformats.org/officeDocument/2006/relationships/hyperlink" Target="https://i.postimg.cc/Z5Fm9cTG/img-chara-chopper-armp01-m.png" TargetMode="External"/><Relationship Id="rId60" Type="http://schemas.openxmlformats.org/officeDocument/2006/relationships/hyperlink" Target="https://i.postimg.cc/y8XKJPVn/img-chara-carrot-orig01-m.png" TargetMode="External"/><Relationship Id="rId69" Type="http://schemas.openxmlformats.org/officeDocument/2006/relationships/hyperlink" Target="https://i.postimg.cc/qvXrtLJH/img-chara-chopper-eggh01-m.png" TargetMode="External"/><Relationship Id="rId51" Type="http://schemas.openxmlformats.org/officeDocument/2006/relationships/hyperlink" Target="https://i.postimg.cc/QdrsxPrf/img-chara-buggy-orig01-m.png" TargetMode="External"/><Relationship Id="rId50" Type="http://schemas.openxmlformats.org/officeDocument/2006/relationships/hyperlink" Target="https://i.postimg.cc/CxVYLtVm/img-chara-buggy-2yaf01-m.png" TargetMode="External"/><Relationship Id="rId53" Type="http://schemas.openxmlformats.org/officeDocument/2006/relationships/hyperlink" Target="https://i.postimg.cc/4xTZNMT2/img-chara-burgess-hach01-m.png" TargetMode="External"/><Relationship Id="rId52" Type="http://schemas.openxmlformats.org/officeDocument/2006/relationships/hyperlink" Target="https://i.postimg.cc/cLNZ4jN9/img-chara-bullet-stam01-m.png" TargetMode="External"/><Relationship Id="rId55" Type="http://schemas.openxmlformats.org/officeDocument/2006/relationships/hyperlink" Target="https://i.postimg.cc/dVKvtXKx/img-chara-butchie-orig01-m.png" TargetMode="External"/><Relationship Id="rId54" Type="http://schemas.openxmlformats.org/officeDocument/2006/relationships/hyperlink" Target="https://i.postimg.cc/XY037h0P/img-chara-burgess-orig01-m.png" TargetMode="External"/><Relationship Id="rId57" Type="http://schemas.openxmlformats.org/officeDocument/2006/relationships/hyperlink" Target="https://i.postimg.cc/SxpqN5pH/img-chara-caesar-orig01-m.png" TargetMode="External"/><Relationship Id="rId56" Type="http://schemas.openxmlformats.org/officeDocument/2006/relationships/hyperlink" Target="https://i.postimg.cc/kgd9XZdZ/img-chara-cabaji-orig01-m.png" TargetMode="External"/><Relationship Id="rId59" Type="http://schemas.openxmlformats.org/officeDocument/2006/relationships/hyperlink" Target="https://i.postimg.cc/JzWm4gWf/img-chara-carrot-cake01-m.png" TargetMode="External"/><Relationship Id="rId58" Type="http://schemas.openxmlformats.org/officeDocument/2006/relationships/hyperlink" Target="https://i.postimg.cc/3xH7J6HP/img-chara-caribou-orig01-m.png" TargetMode="External"/><Relationship Id="rId107" Type="http://schemas.openxmlformats.org/officeDocument/2006/relationships/hyperlink" Target="https://i.postimg.cc/PqSky58G/img-chara-gin-orig01-m.png" TargetMode="External"/><Relationship Id="rId228" Type="http://schemas.openxmlformats.org/officeDocument/2006/relationships/hyperlink" Target="https://i.postimg.cc/ZK6nc6br/img-chara-oven-orig01-m.png" TargetMode="External"/><Relationship Id="rId349" Type="http://schemas.openxmlformats.org/officeDocument/2006/relationships/hyperlink" Target="https://i.postimg.cc/nz6VKh6t/img-chara-zoro-alab01-m.png" TargetMode="External"/><Relationship Id="rId106" Type="http://schemas.openxmlformats.org/officeDocument/2006/relationships/hyperlink" Target="https://i.postimg.cc/QMfrmdKv/img-chara-geckomoria-topw01-m.png" TargetMode="External"/><Relationship Id="rId227" Type="http://schemas.openxmlformats.org/officeDocument/2006/relationships/hyperlink" Target="https://i.postimg.cc/4Npy5pfp/img-chara-otama-orig01-m.png" TargetMode="External"/><Relationship Id="rId348" Type="http://schemas.openxmlformats.org/officeDocument/2006/relationships/hyperlink" Target="https://i.postimg.cc/W3Qpm1QL/img-chara-zoro-2yaf01-m.png" TargetMode="External"/><Relationship Id="rId105" Type="http://schemas.openxmlformats.org/officeDocument/2006/relationships/hyperlink" Target="https://i.postimg.cc/QMfrmdKP/img-chara-geckomoria-orig01-m.png" TargetMode="External"/><Relationship Id="rId226" Type="http://schemas.openxmlformats.org/officeDocument/2006/relationships/hyperlink" Target="https://i.postimg.cc/ncqrkqFm/img-chara-oden-orig01-m.png" TargetMode="External"/><Relationship Id="rId347" Type="http://schemas.openxmlformats.org/officeDocument/2006/relationships/hyperlink" Target="https://i.postimg.cc/j5Gq6SGY/img-chara-zephyr-orig01-m.png" TargetMode="External"/><Relationship Id="rId104" Type="http://schemas.openxmlformats.org/officeDocument/2006/relationships/hyperlink" Target="https://i.postimg.cc/1zvZB3Vj/img-chara-garp-youn01-m.png" TargetMode="External"/><Relationship Id="rId225" Type="http://schemas.openxmlformats.org/officeDocument/2006/relationships/hyperlink" Target="https://i.postimg.cc/pXKrZKW8/img-chara-oden-haor01-m.png" TargetMode="External"/><Relationship Id="rId346" Type="http://schemas.openxmlformats.org/officeDocument/2006/relationships/hyperlink" Target="https://i.postimg.cc/Y9J2NCTP/img-chara-zeff-orig01-m.png" TargetMode="External"/><Relationship Id="rId109" Type="http://schemas.openxmlformats.org/officeDocument/2006/relationships/hyperlink" Target="https://i.postimg.cc/vm0dhZ6w/img-chara-hachi-orig01-m.png" TargetMode="External"/><Relationship Id="rId108" Type="http://schemas.openxmlformats.org/officeDocument/2006/relationships/hyperlink" Target="https://i.postimg.cc/6QMNcp4D/img-chara-goldenweek-orig01-m.png" TargetMode="External"/><Relationship Id="rId229" Type="http://schemas.openxmlformats.org/officeDocument/2006/relationships/hyperlink" Target="https://i.postimg.cc/zXTvjTzC/img-chara-pacifista-orig01-m.png" TargetMode="External"/><Relationship Id="rId220" Type="http://schemas.openxmlformats.org/officeDocument/2006/relationships/hyperlink" Target="https://i.postimg.cc/MZCXV9Sb/img-chara-nami-wano01-m.png" TargetMode="External"/><Relationship Id="rId341" Type="http://schemas.openxmlformats.org/officeDocument/2006/relationships/hyperlink" Target="https://i.postimg.cc/j5Gq6SBv/img-chara-yasopp-orig01-m.png" TargetMode="External"/><Relationship Id="rId340" Type="http://schemas.openxmlformats.org/officeDocument/2006/relationships/hyperlink" Target="https://i.postimg.cc/Kzdc78C0/img-chara-yamato-orig01-m.png" TargetMode="External"/><Relationship Id="rId103" Type="http://schemas.openxmlformats.org/officeDocument/2006/relationships/hyperlink" Target="https://i.postimg.cc/FKTQpHkn/img-chara-garp-mari01-m.png" TargetMode="External"/><Relationship Id="rId224" Type="http://schemas.openxmlformats.org/officeDocument/2006/relationships/hyperlink" Target="https://i.postimg.cc/vH5Tz5Yf/img-chara-noland-sora01-m.png" TargetMode="External"/><Relationship Id="rId345" Type="http://schemas.openxmlformats.org/officeDocument/2006/relationships/hyperlink" Target="https://i.postimg.cc/1tLR03bT/img-chara-yosaku-orig01-m.png" TargetMode="External"/><Relationship Id="rId102" Type="http://schemas.openxmlformats.org/officeDocument/2006/relationships/hyperlink" Target="https://i.postimg.cc/SKgpdxYg/img-chara-garp-hach01-m.png" TargetMode="External"/><Relationship Id="rId223" Type="http://schemas.openxmlformats.org/officeDocument/2006/relationships/hyperlink" Target="https://i.postimg.cc/65Cq0CWG/img-chara-niji-orig01-m.png" TargetMode="External"/><Relationship Id="rId344" Type="http://schemas.openxmlformats.org/officeDocument/2006/relationships/hyperlink" Target="https://i.postimg.cc/LXr4k8Gb/img-chara-york-orig01-m.png" TargetMode="External"/><Relationship Id="rId101" Type="http://schemas.openxmlformats.org/officeDocument/2006/relationships/hyperlink" Target="https://i.postimg.cc/zfx17GHd/img-chara-ganfall-orig01-m.png" TargetMode="External"/><Relationship Id="rId222" Type="http://schemas.openxmlformats.org/officeDocument/2006/relationships/hyperlink" Target="https://i.postimg.cc/FFM13T4Z/img-chara-neptune-orig01-m.png" TargetMode="External"/><Relationship Id="rId343" Type="http://schemas.openxmlformats.org/officeDocument/2006/relationships/hyperlink" Target="https://i.postimg.cc/k4kMNgLY/img-chara-yonji-orig01-m.png" TargetMode="External"/><Relationship Id="rId100" Type="http://schemas.openxmlformats.org/officeDocument/2006/relationships/hyperlink" Target="https://i.postimg.cc/mrmGjg1V/img-chara-gaimon-orig01-m.png" TargetMode="External"/><Relationship Id="rId221" Type="http://schemas.openxmlformats.org/officeDocument/2006/relationships/hyperlink" Target="https://i.postimg.cc/MZCXV9Sm/img-chara-nekomamushi-orig01-m.png" TargetMode="External"/><Relationship Id="rId342" Type="http://schemas.openxmlformats.org/officeDocument/2006/relationships/hyperlink" Target="https://i.postimg.cc/9MvXPQsx/img-chara-yasopp-tera01-m.png" TargetMode="External"/><Relationship Id="rId217" Type="http://schemas.openxmlformats.org/officeDocument/2006/relationships/hyperlink" Target="https://i.postimg.cc/Y25jYdHF/img-chara-nami-orig01-m.png" TargetMode="External"/><Relationship Id="rId338" Type="http://schemas.openxmlformats.org/officeDocument/2006/relationships/hyperlink" Target="https://i.postimg.cc/TwyYWDNF/img-chara-xdrake-jinj01-m.png" TargetMode="External"/><Relationship Id="rId216" Type="http://schemas.openxmlformats.org/officeDocument/2006/relationships/hyperlink" Target="https://i.postimg.cc/pVwyzsHF/img-chara-nami-eggh01-m.png" TargetMode="External"/><Relationship Id="rId337" Type="http://schemas.openxmlformats.org/officeDocument/2006/relationships/hyperlink" Target="https://i.postimg.cc/0Q62JwX3/img-chara-xdrake-2yaf01-m.png" TargetMode="External"/><Relationship Id="rId215" Type="http://schemas.openxmlformats.org/officeDocument/2006/relationships/hyperlink" Target="https://i.postimg.cc/L4chLxpq/img-chara-nami-cake01-m.png" TargetMode="External"/><Relationship Id="rId336" Type="http://schemas.openxmlformats.org/officeDocument/2006/relationships/hyperlink" Target="https://i.postimg.cc/DZWybXpN/img-chara-wyper-orig01-m.png" TargetMode="External"/><Relationship Id="rId214" Type="http://schemas.openxmlformats.org/officeDocument/2006/relationships/hyperlink" Target="https://i.postimg.cc/gcCr8gWn/img-chara-nami-brid01-m.png" TargetMode="External"/><Relationship Id="rId335" Type="http://schemas.openxmlformats.org/officeDocument/2006/relationships/hyperlink" Target="https://i.postimg.cc/9M4Fq7g8/img-chara-whoswho-jinj01-m.png" TargetMode="External"/><Relationship Id="rId219" Type="http://schemas.openxmlformats.org/officeDocument/2006/relationships/hyperlink" Target="https://i.postimg.cc/RCkqKgB1/img-chara-nami-tera01-m.png" TargetMode="External"/><Relationship Id="rId218" Type="http://schemas.openxmlformats.org/officeDocument/2006/relationships/hyperlink" Target="https://i.postimg.cc/y6MWcLHF/img-chara-nami-swim01-m.png" TargetMode="External"/><Relationship Id="rId339" Type="http://schemas.openxmlformats.org/officeDocument/2006/relationships/hyperlink" Target="https://i.postimg.cc/qR9BcvWG/img-chara-yamato-jinj01-m.png" TargetMode="External"/><Relationship Id="rId330" Type="http://schemas.openxmlformats.org/officeDocument/2006/relationships/hyperlink" Target="https://i.postimg.cc/9M4Fq7gt/img-chara-vivi-reve01-m.png" TargetMode="External"/><Relationship Id="rId213" Type="http://schemas.openxmlformats.org/officeDocument/2006/relationships/hyperlink" Target="https://i.postimg.cc/xjwqM62q/img-chara-nami-atta01-m.png" TargetMode="External"/><Relationship Id="rId334" Type="http://schemas.openxmlformats.org/officeDocument/2006/relationships/hyperlink" Target="https://i.postimg.cc/Jny4BkYT/img-chara-whitebeard-youn01-m.png" TargetMode="External"/><Relationship Id="rId212" Type="http://schemas.openxmlformats.org/officeDocument/2006/relationships/hyperlink" Target="https://i.postimg.cc/FFM13T4z/img-chara-nami-alab01-m.png" TargetMode="External"/><Relationship Id="rId333" Type="http://schemas.openxmlformats.org/officeDocument/2006/relationships/hyperlink" Target="https://i.postimg.cc/50HNFCKs/img-chara-whitebeard-reco01-m.png" TargetMode="External"/><Relationship Id="rId211" Type="http://schemas.openxmlformats.org/officeDocument/2006/relationships/hyperlink" Target="https://i.postimg.cc/bY7dkmhw/img-chara-nami-2yaf01-m.png" TargetMode="External"/><Relationship Id="rId332" Type="http://schemas.openxmlformats.org/officeDocument/2006/relationships/hyperlink" Target="https://i.postimg.cc/qRtMC3DQ/img-chara-whitebeard-orig01-m.png" TargetMode="External"/><Relationship Id="rId210" Type="http://schemas.openxmlformats.org/officeDocument/2006/relationships/hyperlink" Target="https://i.postimg.cc/7PFb0KkH/img-chara-mr3galdino-orig01-m.png" TargetMode="External"/><Relationship Id="rId331" Type="http://schemas.openxmlformats.org/officeDocument/2006/relationships/hyperlink" Target="https://i.postimg.cc/mDc2FHpw/img-chara-wapol-orig01-m.png" TargetMode="External"/><Relationship Id="rId129" Type="http://schemas.openxmlformats.org/officeDocument/2006/relationships/hyperlink" Target="https://i.postimg.cc/XJX6z6wB/img-chara-jinbe-orig01-m.png" TargetMode="External"/><Relationship Id="rId128" Type="http://schemas.openxmlformats.org/officeDocument/2006/relationships/hyperlink" Target="https://i.postimg.cc/wv3YGYhy/img-chara-jinbe-eggh01-m.png" TargetMode="External"/><Relationship Id="rId249" Type="http://schemas.openxmlformats.org/officeDocument/2006/relationships/hyperlink" Target="https://i.postimg.cc/Bns6wtbr/img-chara-robin-baro01-m.png" TargetMode="External"/><Relationship Id="rId127" Type="http://schemas.openxmlformats.org/officeDocument/2006/relationships/hyperlink" Target="https://i.postimg.cc/JntC2Cbs/img-chara-jinbe-atta01-m.png" TargetMode="External"/><Relationship Id="rId248" Type="http://schemas.openxmlformats.org/officeDocument/2006/relationships/hyperlink" Target="https://i.postimg.cc/NjYMPLFV/img-chara-robin-atta01-m.png" TargetMode="External"/><Relationship Id="rId126" Type="http://schemas.openxmlformats.org/officeDocument/2006/relationships/hyperlink" Target="https://i.postimg.cc/G29n5nkH/img-chara-jinbe-2yaf01-m.png" TargetMode="External"/><Relationship Id="rId247" Type="http://schemas.openxmlformats.org/officeDocument/2006/relationships/hyperlink" Target="https://i.postimg.cc/vZMBSDTK/img-chara-robin-2yaf01-m.png" TargetMode="External"/><Relationship Id="rId121" Type="http://schemas.openxmlformats.org/officeDocument/2006/relationships/hyperlink" Target="https://i.postimg.cc/3RWQcQgK/img-chara-inuarashi-orig01-m.png" TargetMode="External"/><Relationship Id="rId242" Type="http://schemas.openxmlformats.org/officeDocument/2006/relationships/hyperlink" Target="https://i.postimg.cc/Fs0zZ0FX/img-chara-rayleigh-2yaf01-m.png" TargetMode="External"/><Relationship Id="rId120" Type="http://schemas.openxmlformats.org/officeDocument/2006/relationships/hyperlink" Target="https://i.postimg.cc/XJX6z6wn/img-chara-inazuma-orig01-m.png" TargetMode="External"/><Relationship Id="rId241" Type="http://schemas.openxmlformats.org/officeDocument/2006/relationships/hyperlink" Target="https://i.postimg.cc/9Fy0pyX5/img-chara-raizo-orig01-m.png" TargetMode="External"/><Relationship Id="rId240" Type="http://schemas.openxmlformats.org/officeDocument/2006/relationships/hyperlink" Target="https://i.postimg.cc/xTL8RLf7/img-chara-queen-orig01-bs01-m.png" TargetMode="External"/><Relationship Id="rId125" Type="http://schemas.openxmlformats.org/officeDocument/2006/relationships/hyperlink" Target="https://i.postimg.cc/Hxj1h1Qj/img-chara-jack-orig01-m.png" TargetMode="External"/><Relationship Id="rId246" Type="http://schemas.openxmlformats.org/officeDocument/2006/relationships/hyperlink" Target="https://i.postimg.cc/nhZzwMrP/img-chara-reiju-orig01-m.png" TargetMode="External"/><Relationship Id="rId124" Type="http://schemas.openxmlformats.org/officeDocument/2006/relationships/hyperlink" Target="https://i.postimg.cc/85sg0ghC/img-chara-jabra-jinj01-m.png" TargetMode="External"/><Relationship Id="rId245" Type="http://schemas.openxmlformats.org/officeDocument/2006/relationships/hyperlink" Target="https://i.postimg.cc/9QVMNz0N/img-chara-rebecca-orig01-m.png" TargetMode="External"/><Relationship Id="rId123" Type="http://schemas.openxmlformats.org/officeDocument/2006/relationships/hyperlink" Target="https://i.postimg.cc/ZR0zMzrR/img-chara-izo-orig01-m.png" TargetMode="External"/><Relationship Id="rId244" Type="http://schemas.openxmlformats.org/officeDocument/2006/relationships/hyperlink" Target="https://i.postimg.cc/YqQ03Q2w/img-chara-rayleigh-youn01-m.png" TargetMode="External"/><Relationship Id="rId122" Type="http://schemas.openxmlformats.org/officeDocument/2006/relationships/hyperlink" Target="https://i.postimg.cc/k4DPpPxJ/img-chara-ivankov-orig01-m.png" TargetMode="External"/><Relationship Id="rId243" Type="http://schemas.openxmlformats.org/officeDocument/2006/relationships/hyperlink" Target="https://i.postimg.cc/qv0RZgqb/img-chara-rayleigh-orig01-m.png" TargetMode="External"/><Relationship Id="rId95" Type="http://schemas.openxmlformats.org/officeDocument/2006/relationships/hyperlink" Target="https://i.postimg.cc/ZqwhH5v6/img-chara-franky-orig01-m.png" TargetMode="External"/><Relationship Id="rId94" Type="http://schemas.openxmlformats.org/officeDocument/2006/relationships/hyperlink" Target="https://i.postimg.cc/0NVqnyKw/img-chara-franky-holi01-m.png" TargetMode="External"/><Relationship Id="rId97" Type="http://schemas.openxmlformats.org/officeDocument/2006/relationships/hyperlink" Target="https://i.postimg.cc/TPtX0359/img-chara-franky-wano01-m.png" TargetMode="External"/><Relationship Id="rId96" Type="http://schemas.openxmlformats.org/officeDocument/2006/relationships/hyperlink" Target="https://i.postimg.cc/GpX1KmTk/img-chara-franky-punk01-m.png" TargetMode="External"/><Relationship Id="rId99" Type="http://schemas.openxmlformats.org/officeDocument/2006/relationships/hyperlink" Target="https://i.postimg.cc/rpfLjwRj/img-chara-fujitora-orig01-m.png" TargetMode="External"/><Relationship Id="rId98" Type="http://schemas.openxmlformats.org/officeDocument/2006/relationships/hyperlink" Target="https://i.postimg.cc/hG2qstQ0/img-chara-fujitora-nonc01-m.png" TargetMode="External"/><Relationship Id="rId91" Type="http://schemas.openxmlformats.org/officeDocument/2006/relationships/hyperlink" Target="https://i.postimg.cc/TPd6nD10/img-chara-franky-2yaf01-m.png" TargetMode="External"/><Relationship Id="rId90" Type="http://schemas.openxmlformats.org/officeDocument/2006/relationships/hyperlink" Target="https://i.postimg.cc/N0scRHFk/img-chara-foxy-orig01-m.png" TargetMode="External"/><Relationship Id="rId93" Type="http://schemas.openxmlformats.org/officeDocument/2006/relationships/hyperlink" Target="https://i.postimg.cc/MG985pfB/img-chara-franky-eggh01-m.png" TargetMode="External"/><Relationship Id="rId92" Type="http://schemas.openxmlformats.org/officeDocument/2006/relationships/hyperlink" Target="https://i.postimg.cc/TPd6nD1Q/img-chara-franky-atta01-m.png" TargetMode="External"/><Relationship Id="rId118" Type="http://schemas.openxmlformats.org/officeDocument/2006/relationships/hyperlink" Target="https://i.postimg.cc/Kz4hHhnF/img-chara-ichiji-orig01-m.png" TargetMode="External"/><Relationship Id="rId239" Type="http://schemas.openxmlformats.org/officeDocument/2006/relationships/hyperlink" Target="https://i.postimg.cc/NfRF4RsS/img-chara-queen-jinj01-m.png" TargetMode="External"/><Relationship Id="rId117" Type="http://schemas.openxmlformats.org/officeDocument/2006/relationships/hyperlink" Target="https://i.postimg.cc/76brWrg4/img-chara-hyogoro-orig01-m.png" TargetMode="External"/><Relationship Id="rId238" Type="http://schemas.openxmlformats.org/officeDocument/2006/relationships/hyperlink" Target="https://i.postimg.cc/Dy10g1vN/img-chara-pudding-orig01-str-m.png" TargetMode="External"/><Relationship Id="rId116" Type="http://schemas.openxmlformats.org/officeDocument/2006/relationships/hyperlink" Target="https://i.postimg.cc/Y9jBsB1H/img-chara-hody-orig01-m.png" TargetMode="External"/><Relationship Id="rId237" Type="http://schemas.openxmlformats.org/officeDocument/2006/relationships/hyperlink" Target="https://i.postimg.cc/Hsbn2bYP/img-chara-pudding-orig01-m.png" TargetMode="External"/><Relationship Id="rId115" Type="http://schemas.openxmlformats.org/officeDocument/2006/relationships/hyperlink" Target="https://i.postimg.cc/d1Dcxc8K/img-chara-hina-2yaf01-m.png" TargetMode="External"/><Relationship Id="rId236" Type="http://schemas.openxmlformats.org/officeDocument/2006/relationships/hyperlink" Target="https://i.postimg.cc/Dy10g1vp/img-chara-pudding-cook01-m.png" TargetMode="External"/><Relationship Id="rId119" Type="http://schemas.openxmlformats.org/officeDocument/2006/relationships/hyperlink" Target="https://i.postimg.cc/mDhW5WQB/img-chara-ideo-orig01-m.png" TargetMode="External"/><Relationship Id="rId110" Type="http://schemas.openxmlformats.org/officeDocument/2006/relationships/hyperlink" Target="https://i.postimg.cc/SsjbvbcP/img-chara-hack-orig01-m.png" TargetMode="External"/><Relationship Id="rId231" Type="http://schemas.openxmlformats.org/officeDocument/2006/relationships/hyperlink" Target="https://i.postimg.cc/rF5sJ5VN/img-chara-pedro-orig01-m.png" TargetMode="External"/><Relationship Id="rId352" Type="http://schemas.openxmlformats.org/officeDocument/2006/relationships/hyperlink" Target="https://i.postimg.cc/1tLR03L9/img-chara-zoro-eggh01-m.png" TargetMode="External"/><Relationship Id="rId230" Type="http://schemas.openxmlformats.org/officeDocument/2006/relationships/hyperlink" Target="https://i.postimg.cc/wTDMVDqc/img-chara-pageone-orig01-m.png" TargetMode="External"/><Relationship Id="rId351" Type="http://schemas.openxmlformats.org/officeDocument/2006/relationships/hyperlink" Target="https://i.postimg.cc/fL6W7R6z/img-chara-zoro-dres01-m.png" TargetMode="External"/><Relationship Id="rId350" Type="http://schemas.openxmlformats.org/officeDocument/2006/relationships/hyperlink" Target="https://i.postimg.cc/9MvXPQvC/img-chara-zoro-atta01-m.png" TargetMode="External"/><Relationship Id="rId114" Type="http://schemas.openxmlformats.org/officeDocument/2006/relationships/hyperlink" Target="https://i.postimg.cc/sX1CNCpC/img-chara-higuma-orig01-m.png" TargetMode="External"/><Relationship Id="rId235" Type="http://schemas.openxmlformats.org/officeDocument/2006/relationships/hyperlink" Target="https://i.postimg.cc/sD5xc5j6/img-chara-perospero-orig01-m.png" TargetMode="External"/><Relationship Id="rId356" Type="http://schemas.openxmlformats.org/officeDocument/2006/relationships/drawing" Target="../drawings/drawing8.xml"/><Relationship Id="rId113" Type="http://schemas.openxmlformats.org/officeDocument/2006/relationships/hyperlink" Target="https://i.postimg.cc/63TxmxCk/img-chara-helmeppo-orig01-m.png" TargetMode="External"/><Relationship Id="rId234" Type="http://schemas.openxmlformats.org/officeDocument/2006/relationships/hyperlink" Target="https://i.postimg.cc/GhvtQvLX/img-chara-perona-orig01-m.png" TargetMode="External"/><Relationship Id="rId355" Type="http://schemas.openxmlformats.org/officeDocument/2006/relationships/hyperlink" Target="https://i.postimg.cc/Jn973z9n/img-chara-zoro-wano01-m.png" TargetMode="External"/><Relationship Id="rId112" Type="http://schemas.openxmlformats.org/officeDocument/2006/relationships/hyperlink" Target="https://i.postimg.cc/0Qr1B1pR/img-chara-helmeppo-ltco01-m.png" TargetMode="External"/><Relationship Id="rId233" Type="http://schemas.openxmlformats.org/officeDocument/2006/relationships/hyperlink" Target="https://i.postimg.cc/65Cq0CWz/img-chara-perona-2yaf01-m.png" TargetMode="External"/><Relationship Id="rId354" Type="http://schemas.openxmlformats.org/officeDocument/2006/relationships/hyperlink" Target="https://i.postimg.cc/1tLR03Lz/img-chara-zoro-skyp01-m.png" TargetMode="External"/><Relationship Id="rId111" Type="http://schemas.openxmlformats.org/officeDocument/2006/relationships/hyperlink" Target="https://i.postimg.cc/B6tfVf2d/img-chara-hawkins-wano01-m.png" TargetMode="External"/><Relationship Id="rId232" Type="http://schemas.openxmlformats.org/officeDocument/2006/relationships/hyperlink" Target="https://i.postimg.cc/BQ2bg2Sg/img-chara-pell-orig01-m.png" TargetMode="External"/><Relationship Id="rId353" Type="http://schemas.openxmlformats.org/officeDocument/2006/relationships/hyperlink" Target="https://i.postimg.cc/xCWjG1W1/img-chara-zoro-orig01-m.png" TargetMode="External"/><Relationship Id="rId305" Type="http://schemas.openxmlformats.org/officeDocument/2006/relationships/hyperlink" Target="https://i.postimg.cc/g0t2JDsY/img-chara-teach-2yaf01-m.png" TargetMode="External"/><Relationship Id="rId304" Type="http://schemas.openxmlformats.org/officeDocument/2006/relationships/hyperlink" Target="https://i.postimg.cc/LsQ8XTDS/img-chara-tashigi-smok01-m.png" TargetMode="External"/><Relationship Id="rId303" Type="http://schemas.openxmlformats.org/officeDocument/2006/relationships/hyperlink" Target="https://i.postimg.cc/TPN3w90X/img-chara-tashigi-orig01-m.png" TargetMode="External"/><Relationship Id="rId302" Type="http://schemas.openxmlformats.org/officeDocument/2006/relationships/hyperlink" Target="https://i.postimg.cc/jj3S5Xcb/img-chara-tashigi-2yaf01-m.png" TargetMode="External"/><Relationship Id="rId309" Type="http://schemas.openxmlformats.org/officeDocument/2006/relationships/hyperlink" Target="https://i.postimg.cc/cJkLHmhC/img-chara-ulti-orig01-m.png" TargetMode="External"/><Relationship Id="rId308" Type="http://schemas.openxmlformats.org/officeDocument/2006/relationships/hyperlink" Target="https://i.postimg.cc/d0NV1B60/img-chara-trebol-orig01-m.png" TargetMode="External"/><Relationship Id="rId307" Type="http://schemas.openxmlformats.org/officeDocument/2006/relationships/hyperlink" Target="https://i.postimg.cc/9fgQMpbX/img-chara-tesoro-orig01-m.png" TargetMode="External"/><Relationship Id="rId306" Type="http://schemas.openxmlformats.org/officeDocument/2006/relationships/hyperlink" Target="https://i.postimg.cc/HLvkx2zs/img-chara-teach-orig01-m.png" TargetMode="External"/><Relationship Id="rId301" Type="http://schemas.openxmlformats.org/officeDocument/2006/relationships/hyperlink" Target="https://i.postimg.cc/vm2ZBzzC/img-chara-sugar-orig01-m.png" TargetMode="External"/><Relationship Id="rId300" Type="http://schemas.openxmlformats.org/officeDocument/2006/relationships/hyperlink" Target="https://i.postimg.cc/6QpQtSr9/img-chara-stussy-eggh01-m.png" TargetMode="External"/><Relationship Id="rId206" Type="http://schemas.openxmlformats.org/officeDocument/2006/relationships/hyperlink" Target="https://i.postimg.cc/mZvhCmss/img-chara-monet-orig01-m.png" TargetMode="External"/><Relationship Id="rId327" Type="http://schemas.openxmlformats.org/officeDocument/2006/relationships/hyperlink" Target="https://i.postimg.cc/1tg5Nq7G/img-chara-vivi-alab01-m.png" TargetMode="External"/><Relationship Id="rId205" Type="http://schemas.openxmlformats.org/officeDocument/2006/relationships/hyperlink" Target="https://i.postimg.cc/7PFb0Kky/img-chara-momonosuke-orig01-m.png" TargetMode="External"/><Relationship Id="rId326" Type="http://schemas.openxmlformats.org/officeDocument/2006/relationships/hyperlink" Target="https://i.postimg.cc/9M4Fq7gG/img-chara-vista-orig01-m.png" TargetMode="External"/><Relationship Id="rId204" Type="http://schemas.openxmlformats.org/officeDocument/2006/relationships/hyperlink" Target="https://i.postimg.cc/qBhzN99q/img-chara-mihawk-shik01-m.png" TargetMode="External"/><Relationship Id="rId325" Type="http://schemas.openxmlformats.org/officeDocument/2006/relationships/hyperlink" Target="https://i.postimg.cc/cHK48nkf/img-chara-vergo-orig01-m.png" TargetMode="External"/><Relationship Id="rId203" Type="http://schemas.openxmlformats.org/officeDocument/2006/relationships/hyperlink" Target="https://i.postimg.cc/05MbzLLQ/img-chara-mihawk-orig01-m.png" TargetMode="External"/><Relationship Id="rId324" Type="http://schemas.openxmlformats.org/officeDocument/2006/relationships/hyperlink" Target="https://i.postimg.cc/Jny4BkYZ/img-chara-vegapunk-orig01-m.png" TargetMode="External"/><Relationship Id="rId209" Type="http://schemas.openxmlformats.org/officeDocument/2006/relationships/hyperlink" Target="https://i.postimg.cc/c1p6wFS4/img-chara-mr2bonkure-orig01-m.png" TargetMode="External"/><Relationship Id="rId208" Type="http://schemas.openxmlformats.org/officeDocument/2006/relationships/hyperlink" Target="https://i.postimg.cc/59hjLsV9/img-chara-mr2bonkure-impe01-m.png" TargetMode="External"/><Relationship Id="rId329" Type="http://schemas.openxmlformats.org/officeDocument/2006/relationships/hyperlink" Target="https://i.postimg.cc/50HNFCKm/img-chara-vivi-orig01-m.png" TargetMode="External"/><Relationship Id="rId207" Type="http://schemas.openxmlformats.org/officeDocument/2006/relationships/hyperlink" Target="https://i.postimg.cc/dQbDr5YJ/img-chara-morgan-orig01-m.png" TargetMode="External"/><Relationship Id="rId328" Type="http://schemas.openxmlformats.org/officeDocument/2006/relationships/hyperlink" Target="https://i.postimg.cc/9M4Fq7gP/img-chara-vivi-karo01-m.png" TargetMode="External"/><Relationship Id="rId202" Type="http://schemas.openxmlformats.org/officeDocument/2006/relationships/hyperlink" Target="https://i.postimg.cc/FFd7Y22m/img-chara-marco-orig01-m.png" TargetMode="External"/><Relationship Id="rId323" Type="http://schemas.openxmlformats.org/officeDocument/2006/relationships/hyperlink" Target="https://i.postimg.cc/xCkTbzpb/img-chara-vanderdecken-orig01-m.png" TargetMode="External"/><Relationship Id="rId201" Type="http://schemas.openxmlformats.org/officeDocument/2006/relationships/hyperlink" Target="https://i.postimg.cc/MZMvnhhw/img-chara-marco-bird01-m.png" TargetMode="External"/><Relationship Id="rId322" Type="http://schemas.openxmlformats.org/officeDocument/2006/relationships/hyperlink" Target="https://i.postimg.cc/ydJYSZp3/img-chara-uta-tera01-m.png" TargetMode="External"/><Relationship Id="rId200" Type="http://schemas.openxmlformats.org/officeDocument/2006/relationships/hyperlink" Target="https://i.postimg.cc/2jbV1PPf/img-chara-magellan-orig01-m.png" TargetMode="External"/><Relationship Id="rId321" Type="http://schemas.openxmlformats.org/officeDocument/2006/relationships/hyperlink" Target="https://i.postimg.cc/xCkTbzpX/img-chara-uta-orig01-m.png" TargetMode="External"/><Relationship Id="rId320" Type="http://schemas.openxmlformats.org/officeDocument/2006/relationships/hyperlink" Target="https://i.postimg.cc/NMyfrHC5/img-chara-uta-hall01-m.png" TargetMode="External"/><Relationship Id="rId316" Type="http://schemas.openxmlformats.org/officeDocument/2006/relationships/hyperlink" Target="https://i.postimg.cc/d0NV1B6G/img-chara-usopp-orig01-m.png" TargetMode="External"/><Relationship Id="rId315" Type="http://schemas.openxmlformats.org/officeDocument/2006/relationships/hyperlink" Target="https://i.postimg.cc/jj3S5XcP/img-chara-usopp-eggh01-m.png" TargetMode="External"/><Relationship Id="rId314" Type="http://schemas.openxmlformats.org/officeDocument/2006/relationships/hyperlink" Target="https://i.postimg.cc/W4Y13n8k/img-chara-usopp-dres01-m.png" TargetMode="External"/><Relationship Id="rId313" Type="http://schemas.openxmlformats.org/officeDocument/2006/relationships/hyperlink" Target="https://i.postimg.cc/YSDC93RL/img-chara-usopp-atta01-m.png" TargetMode="External"/><Relationship Id="rId319" Type="http://schemas.openxmlformats.org/officeDocument/2006/relationships/hyperlink" Target="https://i.postimg.cc/Y94qmWDj/img-chara-usopp-wano01-m.png" TargetMode="External"/><Relationship Id="rId318" Type="http://schemas.openxmlformats.org/officeDocument/2006/relationships/hyperlink" Target="https://i.postimg.cc/Jny4BkY0/img-chara-usopp-tera01-m.png" TargetMode="External"/><Relationship Id="rId317" Type="http://schemas.openxmlformats.org/officeDocument/2006/relationships/hyperlink" Target="https://i.postimg.cc/QtBxWTYt/img-chara-usopp-soge01-m.png" TargetMode="External"/><Relationship Id="rId312" Type="http://schemas.openxmlformats.org/officeDocument/2006/relationships/hyperlink" Target="https://i.postimg.cc/FKCHRZpJ/img-chara-usopp-alab01-m.png" TargetMode="External"/><Relationship Id="rId311" Type="http://schemas.openxmlformats.org/officeDocument/2006/relationships/hyperlink" Target="https://i.postimg.cc/g0t2JDsn/img-chara-usopp-2yaf01-m.png" TargetMode="External"/><Relationship Id="rId310" Type="http://schemas.openxmlformats.org/officeDocument/2006/relationships/hyperlink" Target="https://i.postimg.cc/mrpgDwjD/img-chara-urouge-orig01-m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12.63"/>
    <col customWidth="1" min="2" max="2" width="5.13"/>
    <col customWidth="1" min="3" max="3" width="7.63"/>
    <col customWidth="1" min="4" max="4" width="25.13"/>
    <col customWidth="1" min="5" max="5" width="75.13"/>
    <col customWidth="1" min="6" max="7" width="37.63"/>
    <col customWidth="1" min="8" max="8" width="25.13"/>
    <col customWidth="1" min="9" max="13" width="3.25" outlineLevel="1"/>
    <col customWidth="1" min="14" max="14" width="6.38"/>
  </cols>
  <sheetData>
    <row r="1" ht="22.5" customHeight="1">
      <c r="A1" s="1" t="s">
        <v>0</v>
      </c>
      <c r="M1" s="1"/>
      <c r="N1" s="2"/>
    </row>
    <row r="2" ht="22.5" customHeight="1">
      <c r="A2" s="3" t="s">
        <v>1</v>
      </c>
      <c r="I2" s="1"/>
      <c r="J2" s="1"/>
      <c r="K2" s="1"/>
      <c r="L2" s="1"/>
      <c r="M2" s="1"/>
      <c r="N2" s="2"/>
    </row>
    <row r="3">
      <c r="A3" s="4" t="s">
        <v>2</v>
      </c>
      <c r="I3" s="5"/>
      <c r="J3" s="6"/>
      <c r="K3" s="7"/>
      <c r="L3" s="7"/>
      <c r="M3" s="7"/>
      <c r="N3" s="2"/>
    </row>
    <row r="4">
      <c r="A4" s="4" t="s">
        <v>3</v>
      </c>
      <c r="I4" s="5"/>
      <c r="J4" s="6"/>
      <c r="K4" s="7"/>
      <c r="L4" s="7"/>
      <c r="M4" s="7"/>
      <c r="N4" s="2"/>
    </row>
    <row r="5" ht="22.5" customHeight="1">
      <c r="A5" s="3" t="s">
        <v>4</v>
      </c>
      <c r="M5" s="8"/>
      <c r="N5" s="2"/>
    </row>
    <row r="6" ht="18.75" customHeight="1">
      <c r="A6" s="9"/>
      <c r="B6" s="10"/>
      <c r="C6" s="11" t="str">
        <f t="array" ref="C6:C350">IFERROR(IF(J6:J350 &lt;&gt; "", IMAGE(J6:J350), "-"), )</f>
        <v>-</v>
      </c>
      <c r="D6" s="12" t="str">
        <f t="array" ref="D6:D350">IF(I6:I350 &lt;&gt; "",IMAGE(I6:I350), "-")</f>
        <v>-</v>
      </c>
      <c r="E6" s="13"/>
      <c r="F6" s="14"/>
      <c r="G6" s="15"/>
      <c r="H6" s="16"/>
      <c r="I6" s="17"/>
      <c r="J6" s="18" t="str">
        <f>IFERROR(__xludf.DUMMYFUNCTION("IFERROR(ARRAYFORMULA(IFS(
REGEXMATCH(B6:B350, ""^Red\nAttacker$""       ), ""https://i.postimg.cc/L6B2DCYf/Red-Attacker.png"",
REGEXMATCH(B6:B350, ""^Red\nDefender$""       ), ""https://i.postimg.cc/P5XhRWY7/Red-Defender.png"",
REGEXMATCH(B6:B350, ""^Red\"&amp;"nRunner$""         ), ""https://i.postimg.cc/Hk6HDrtk/Red-Runner.png"",
REGEXMATCH(B6:B350, ""^Blue\nAttacker$""      ), ""https://i.postimg.cc/1zRtDxvf/Blue-Attacker.png"",
REGEXMATCH(B6:B350, ""^Blue\nDefender$""      ), ""https://i.postimg.cc/m2xg81dx"&amp;"/Blue-Defender.png"",
REGEXMATCH(B6:B350, ""^Blue\nRunner$""        ), ""https://i.postimg.cc/4NzNM4MY/Blue-Runner.png"",
REGEXMATCH(B6:B350, ""^Green\nAttacker$""     ), ""https://i.postimg.cc/0NH8mz6B/Green-Attacker.png"",
REGEXMATCH(B6:B350, ""^Green\"&amp;"nDefender$""     ), ""https://i.postimg.cc/qRhpGpyM/Green-Defender.png"",
REGEXMATCH(B6:B350, ""^Green\nRunner$""       ), ""https://i.postimg.cc/PxgT30Qb/Green-Runner.png"",
REGEXMATCH(B6:B350, ""^Light\nAttacker$""     ), ""https://i.postimg.cc/NGXg9fQ"&amp;"d/Light-Attacker.png"",
REGEXMATCH(B6:B350, ""^Light\nDefender$""     ), ""https://i.postimg.cc/0j7xLZVT/Light-Defender.png"",
REGEXMATCH(B6:B350, ""^Light\nRunner$""       ), ""https://i.postimg.cc/02q9pRQP/Light-Runner.png"",
REGEXMATCH(B6:B350, ""^Dar"&amp;"k\nAttacker$""      ), ""https://i.postimg.cc/QdmN84js/Dark-Attacker.png"",
REGEXMATCH(B6:B350, ""^Dark\nDefender$""      ), ""https://i.postimg.cc/qv4MdVVj/Dark-Defender.png"",
REGEXMATCH(B6:B350, ""^Dark\nRunner$""        ), ""https://i.postimg.cc/rppVK"&amp;"1p4/Dark-Runner.png"",
REGEXMATCH(B6:B350, ""Red\nDefender-""      ), ""https://i.postimg.cc/k4wqRxyN/Transforming-Class-Red-Defender.png"",
REGEXMATCH(B6:B350, ""Blue\nAttacker-""     ), ""https://i.postimg.cc/J0nmNGTf/Transforming-Class-Blue-Attacke"&amp;"r.png"",
REGEXMATCH(B6:B350, ""Blue\nRunner-""       ), ""https://i.postimg.cc/bN48nY15/Transforming-Class-Blue-Runner.png"",
REGEXMATCH(B6:B350, ""Green\nDefender-""    ), ""https://i.postimg.cc/vZ9ytRzZ/Transforming-Class-Green-Defender.png"",
REGEXMA"&amp;"TCH(B6:B350, ""Light\nAttacker-""     ), ""https://i.postimg.cc/0j0ZVpyR/Transforming-Class-Light-Attacker.png"",
REGEXMATCH(B6:B350, ""Dark\nDefender-""     ), ""https://i.postimg.cc/MZPzWmHq/Transforming-Class-Dark-Defender.png"",
REGEXMATCH(B6:B350, "&amp;"""Dark\nRunner-""       ), ""https://i.postimg.cc/Kv1x433L/Transforming-Class-Dark-Runner.png"",
REGEXMATCH(B6:B350, ""^Red-.*\nAttacker""  ), ""https://i.postimg.cc/KjHbJxwR/Transforming-Element-Red-Attacker.png"",
REGEXMATCH(B6:B350, ""^Blue-.*\nAtt"&amp;"acker""), ""https://i.postimg.cc/P52mhmnd/Transforming-Element-Blue-Attacker.png"",
REGEXMATCH(B6:B350, ""^Green-.*\nAttacker""), ""https://i.postimg.cc/bJqqv61N/Transforming-Element-Green-Attacker.png"",
REGEXMATCH(B6:B350, ""^Dark-.*\nAttacker""), ""h"&amp;"ttps://i.postimg.cc/nLHLrFW9/Transforming-Element-Dark-Attacker.png""
)), )"),"")</f>
        <v/>
      </c>
      <c r="K6" s="19" t="str">
        <f t="array" ref="K6:K350">IF(B6:B350 &lt;&gt; "" , B6:B350, )</f>
        <v/>
      </c>
      <c r="L6" s="19" t="str">
        <f>IFERROR(__xludf.DUMMYFUNCTION("ARRAYFORMULA(IFERROR(
 IFS(
  REGEXMATCH(F6:F350,""2 Stars""),""2 Stars"",
  REGEXMATCH(F6:F350,""3 Stars""),""3 Stars"",
  REGEXMATCH(F6:F350,""4 Stars|Step Up|Bounty Festival|Extreme|Cola""),""4 Stars""
 ), ))"),"")</f>
        <v/>
      </c>
      <c r="M6" s="20" t="str">
        <f>IFERROR(__xludf.DUMMYFUNCTION("ARRAYFORMULA(IF(A6:A350 &lt;&gt; """", LOOKUP(ROW(H6:H350), FILTER(ROW(H6:H350), H6:H350&lt;&gt;""""), FILTER(H6:H350, H6:H350&lt;&gt;"""")), ))"),"")</f>
        <v/>
      </c>
      <c r="N6" s="2"/>
    </row>
    <row r="7" ht="112.5" customHeight="1">
      <c r="A7" s="21">
        <f t="shared" ref="A7:A348" si="1">A8+1</f>
        <v>343</v>
      </c>
      <c r="B7" s="22" t="s">
        <v>5</v>
      </c>
      <c r="C7" s="23"/>
      <c r="D7" s="24"/>
      <c r="E7" s="25" t="s">
        <v>6</v>
      </c>
      <c r="F7" s="26" t="s">
        <v>7</v>
      </c>
      <c r="G7" s="27" t="s">
        <v>8</v>
      </c>
      <c r="H7" s="28">
        <v>46063.0</v>
      </c>
      <c r="I7" s="29" t="s">
        <v>9</v>
      </c>
      <c r="J7" s="29" t="str">
        <f>IFERROR(__xludf.DUMMYFUNCTION("""COMPUTED_VALUE"""),"https://i.postimg.cc/qv4MdVVj/Dark-Defender.png")</f>
        <v>https://i.postimg.cc/qv4MdVVj/Dark-Defender.png</v>
      </c>
      <c r="K7" s="30" t="s">
        <v>5</v>
      </c>
      <c r="L7" s="30" t="str">
        <f>IFERROR(__xludf.DUMMYFUNCTION("""COMPUTED_VALUE"""),"4 Stars")</f>
        <v>4 Stars</v>
      </c>
      <c r="M7" s="31">
        <f>IFERROR(__xludf.DUMMYFUNCTION("""COMPUTED_VALUE"""),46063.0)</f>
        <v>46063</v>
      </c>
      <c r="N7" s="32"/>
    </row>
    <row r="8" ht="112.5" customHeight="1">
      <c r="A8" s="21">
        <f t="shared" si="1"/>
        <v>342</v>
      </c>
      <c r="B8" s="22" t="s">
        <v>10</v>
      </c>
      <c r="C8" s="23"/>
      <c r="D8" s="24"/>
      <c r="E8" s="25" t="s">
        <v>11</v>
      </c>
      <c r="F8" s="26" t="s">
        <v>7</v>
      </c>
      <c r="G8" s="27" t="s">
        <v>12</v>
      </c>
      <c r="H8" s="33"/>
      <c r="I8" s="29" t="s">
        <v>13</v>
      </c>
      <c r="J8" s="29" t="str">
        <f>IFERROR(__xludf.DUMMYFUNCTION("""COMPUTED_VALUE"""),"https://i.postimg.cc/PxgT30Qb/Green-Runner.png")</f>
        <v>https://i.postimg.cc/PxgT30Qb/Green-Runner.png</v>
      </c>
      <c r="K8" s="30" t="s">
        <v>10</v>
      </c>
      <c r="L8" s="30" t="str">
        <f>IFERROR(__xludf.DUMMYFUNCTION("""COMPUTED_VALUE"""),"4 Stars")</f>
        <v>4 Stars</v>
      </c>
      <c r="M8" s="31">
        <f>IFERROR(__xludf.DUMMYFUNCTION("""COMPUTED_VALUE"""),46063.0)</f>
        <v>46063</v>
      </c>
      <c r="N8" s="32"/>
    </row>
    <row r="9" ht="112.5" customHeight="1">
      <c r="A9" s="21">
        <f t="shared" si="1"/>
        <v>341</v>
      </c>
      <c r="B9" s="22" t="s">
        <v>14</v>
      </c>
      <c r="C9" s="23"/>
      <c r="D9" s="24"/>
      <c r="E9" s="25" t="s">
        <v>15</v>
      </c>
      <c r="F9" s="26" t="s">
        <v>16</v>
      </c>
      <c r="G9" s="27" t="s">
        <v>17</v>
      </c>
      <c r="H9" s="28">
        <v>46049.0</v>
      </c>
      <c r="I9" s="29" t="s">
        <v>18</v>
      </c>
      <c r="J9" s="29" t="str">
        <f>IFERROR(__xludf.DUMMYFUNCTION("""COMPUTED_VALUE"""),"https://i.postimg.cc/nLHLrFW9/Transforming-Element-Dark-Attacker.png")</f>
        <v>https://i.postimg.cc/nLHLrFW9/Transforming-Element-Dark-Attacker.png</v>
      </c>
      <c r="K9" s="30" t="s">
        <v>14</v>
      </c>
      <c r="L9" s="30" t="str">
        <f>IFERROR(__xludf.DUMMYFUNCTION("""COMPUTED_VALUE"""),"4 Stars")</f>
        <v>4 Stars</v>
      </c>
      <c r="M9" s="31">
        <f>IFERROR(__xludf.DUMMYFUNCTION("""COMPUTED_VALUE"""),46049.0)</f>
        <v>46049</v>
      </c>
      <c r="N9" s="32"/>
    </row>
    <row r="10" ht="112.5" customHeight="1">
      <c r="A10" s="21">
        <f t="shared" si="1"/>
        <v>340</v>
      </c>
      <c r="B10" s="22" t="s">
        <v>19</v>
      </c>
      <c r="C10" s="23"/>
      <c r="D10" s="24"/>
      <c r="E10" s="25" t="s">
        <v>20</v>
      </c>
      <c r="F10" s="26" t="s">
        <v>21</v>
      </c>
      <c r="G10" s="27" t="s">
        <v>22</v>
      </c>
      <c r="H10" s="28">
        <v>46023.0</v>
      </c>
      <c r="I10" s="29" t="s">
        <v>23</v>
      </c>
      <c r="J10" s="29" t="str">
        <f>IFERROR(__xludf.DUMMYFUNCTION("""COMPUTED_VALUE"""),"https://i.postimg.cc/0j0ZVpyR/Transforming-Class-Light-Attacker.png")</f>
        <v>https://i.postimg.cc/0j0ZVpyR/Transforming-Class-Light-Attacker.png</v>
      </c>
      <c r="K10" s="30" t="s">
        <v>19</v>
      </c>
      <c r="L10" s="30" t="str">
        <f>IFERROR(__xludf.DUMMYFUNCTION("""COMPUTED_VALUE"""),"4 Stars")</f>
        <v>4 Stars</v>
      </c>
      <c r="M10" s="31">
        <f>IFERROR(__xludf.DUMMYFUNCTION("""COMPUTED_VALUE"""),46023.0)</f>
        <v>46023</v>
      </c>
      <c r="N10" s="32"/>
    </row>
    <row r="11" ht="112.5" customHeight="1">
      <c r="A11" s="21">
        <f t="shared" si="1"/>
        <v>339</v>
      </c>
      <c r="B11" s="22" t="s">
        <v>24</v>
      </c>
      <c r="C11" s="23"/>
      <c r="D11" s="24"/>
      <c r="E11" s="25" t="s">
        <v>25</v>
      </c>
      <c r="F11" s="26" t="s">
        <v>16</v>
      </c>
      <c r="G11" s="27" t="s">
        <v>26</v>
      </c>
      <c r="H11" s="28">
        <v>46009.0</v>
      </c>
      <c r="I11" s="29" t="s">
        <v>27</v>
      </c>
      <c r="J11" s="29" t="str">
        <f>IFERROR(__xludf.DUMMYFUNCTION("""COMPUTED_VALUE"""),"https://i.postimg.cc/Hk6HDrtk/Red-Runner.png")</f>
        <v>https://i.postimg.cc/Hk6HDrtk/Red-Runner.png</v>
      </c>
      <c r="K11" s="30" t="s">
        <v>24</v>
      </c>
      <c r="L11" s="30" t="str">
        <f>IFERROR(__xludf.DUMMYFUNCTION("""COMPUTED_VALUE"""),"4 Stars")</f>
        <v>4 Stars</v>
      </c>
      <c r="M11" s="31">
        <f>IFERROR(__xludf.DUMMYFUNCTION("""COMPUTED_VALUE"""),46009.0)</f>
        <v>46009</v>
      </c>
      <c r="N11" s="32"/>
    </row>
    <row r="12" ht="112.5" customHeight="1">
      <c r="A12" s="21">
        <f t="shared" si="1"/>
        <v>338</v>
      </c>
      <c r="B12" s="22" t="s">
        <v>28</v>
      </c>
      <c r="C12" s="23"/>
      <c r="D12" s="24"/>
      <c r="E12" s="25" t="s">
        <v>29</v>
      </c>
      <c r="F12" s="26" t="s">
        <v>21</v>
      </c>
      <c r="G12" s="27" t="s">
        <v>30</v>
      </c>
      <c r="H12" s="28">
        <v>46000.0</v>
      </c>
      <c r="I12" s="29" t="s">
        <v>31</v>
      </c>
      <c r="J12" s="29" t="str">
        <f>IFERROR(__xludf.DUMMYFUNCTION("""COMPUTED_VALUE"""),"https://i.postimg.cc/0j7xLZVT/Light-Defender.png")</f>
        <v>https://i.postimg.cc/0j7xLZVT/Light-Defender.png</v>
      </c>
      <c r="K12" s="30" t="s">
        <v>28</v>
      </c>
      <c r="L12" s="30" t="str">
        <f>IFERROR(__xludf.DUMMYFUNCTION("""COMPUTED_VALUE"""),"4 Stars")</f>
        <v>4 Stars</v>
      </c>
      <c r="M12" s="31">
        <f>IFERROR(__xludf.DUMMYFUNCTION("""COMPUTED_VALUE"""),46000.0)</f>
        <v>46000</v>
      </c>
      <c r="N12" s="32"/>
    </row>
    <row r="13" ht="112.5" customHeight="1">
      <c r="A13" s="21">
        <f t="shared" si="1"/>
        <v>337</v>
      </c>
      <c r="B13" s="22" t="s">
        <v>10</v>
      </c>
      <c r="C13" s="23"/>
      <c r="D13" s="24"/>
      <c r="E13" s="25" t="s">
        <v>32</v>
      </c>
      <c r="F13" s="26" t="s">
        <v>21</v>
      </c>
      <c r="G13" s="27" t="s">
        <v>33</v>
      </c>
      <c r="H13" s="28">
        <v>45986.0</v>
      </c>
      <c r="I13" s="29" t="s">
        <v>34</v>
      </c>
      <c r="J13" s="29" t="str">
        <f>IFERROR(__xludf.DUMMYFUNCTION("""COMPUTED_VALUE"""),"https://i.postimg.cc/PxgT30Qb/Green-Runner.png")</f>
        <v>https://i.postimg.cc/PxgT30Qb/Green-Runner.png</v>
      </c>
      <c r="K13" s="30" t="s">
        <v>10</v>
      </c>
      <c r="L13" s="30" t="str">
        <f>IFERROR(__xludf.DUMMYFUNCTION("""COMPUTED_VALUE"""),"4 Stars")</f>
        <v>4 Stars</v>
      </c>
      <c r="M13" s="31">
        <f>IFERROR(__xludf.DUMMYFUNCTION("""COMPUTED_VALUE"""),45986.0)</f>
        <v>45986</v>
      </c>
      <c r="N13" s="32"/>
    </row>
    <row r="14" ht="112.5" customHeight="1">
      <c r="A14" s="21">
        <f t="shared" si="1"/>
        <v>336</v>
      </c>
      <c r="B14" s="22" t="s">
        <v>35</v>
      </c>
      <c r="C14" s="23"/>
      <c r="D14" s="24"/>
      <c r="E14" s="25" t="s">
        <v>36</v>
      </c>
      <c r="F14" s="26" t="s">
        <v>21</v>
      </c>
      <c r="G14" s="27" t="s">
        <v>37</v>
      </c>
      <c r="H14" s="33"/>
      <c r="I14" s="29" t="s">
        <v>38</v>
      </c>
      <c r="J14" s="29" t="str">
        <f>IFERROR(__xludf.DUMMYFUNCTION("""COMPUTED_VALUE"""),"https://i.postimg.cc/L6B2DCYf/Red-Attacker.png")</f>
        <v>https://i.postimg.cc/L6B2DCYf/Red-Attacker.png</v>
      </c>
      <c r="K14" s="30" t="s">
        <v>35</v>
      </c>
      <c r="L14" s="30" t="str">
        <f>IFERROR(__xludf.DUMMYFUNCTION("""COMPUTED_VALUE"""),"4 Stars")</f>
        <v>4 Stars</v>
      </c>
      <c r="M14" s="31">
        <f>IFERROR(__xludf.DUMMYFUNCTION("""COMPUTED_VALUE"""),45986.0)</f>
        <v>45986</v>
      </c>
      <c r="N14" s="32"/>
    </row>
    <row r="15" ht="112.5" customHeight="1">
      <c r="A15" s="21">
        <f t="shared" si="1"/>
        <v>335</v>
      </c>
      <c r="B15" s="22" t="s">
        <v>39</v>
      </c>
      <c r="C15" s="23"/>
      <c r="D15" s="24"/>
      <c r="E15" s="25" t="s">
        <v>40</v>
      </c>
      <c r="F15" s="26" t="s">
        <v>21</v>
      </c>
      <c r="G15" s="27" t="s">
        <v>41</v>
      </c>
      <c r="H15" s="28">
        <v>45959.0</v>
      </c>
      <c r="I15" s="29" t="s">
        <v>42</v>
      </c>
      <c r="J15" s="29" t="str">
        <f>IFERROR(__xludf.DUMMYFUNCTION("""COMPUTED_VALUE"""),"https://i.postimg.cc/rppVK1p4/Dark-Runner.png")</f>
        <v>https://i.postimg.cc/rppVK1p4/Dark-Runner.png</v>
      </c>
      <c r="K15" s="30" t="s">
        <v>39</v>
      </c>
      <c r="L15" s="30" t="str">
        <f>IFERROR(__xludf.DUMMYFUNCTION("""COMPUTED_VALUE"""),"4 Stars")</f>
        <v>4 Stars</v>
      </c>
      <c r="M15" s="31">
        <f>IFERROR(__xludf.DUMMYFUNCTION("""COMPUTED_VALUE"""),45959.0)</f>
        <v>45959</v>
      </c>
      <c r="N15" s="32"/>
    </row>
    <row r="16" ht="112.5" customHeight="1">
      <c r="A16" s="21">
        <f t="shared" si="1"/>
        <v>334</v>
      </c>
      <c r="B16" s="22" t="s">
        <v>43</v>
      </c>
      <c r="C16" s="23"/>
      <c r="D16" s="24"/>
      <c r="E16" s="25" t="s">
        <v>44</v>
      </c>
      <c r="F16" s="26" t="s">
        <v>21</v>
      </c>
      <c r="G16" s="27" t="s">
        <v>45</v>
      </c>
      <c r="H16" s="33"/>
      <c r="I16" s="29" t="s">
        <v>46</v>
      </c>
      <c r="J16" s="29" t="str">
        <f>IFERROR(__xludf.DUMMYFUNCTION("""COMPUTED_VALUE"""),"https://i.postimg.cc/QdmN84js/Dark-Attacker.png")</f>
        <v>https://i.postimg.cc/QdmN84js/Dark-Attacker.png</v>
      </c>
      <c r="K16" s="30" t="s">
        <v>43</v>
      </c>
      <c r="L16" s="30" t="str">
        <f>IFERROR(__xludf.DUMMYFUNCTION("""COMPUTED_VALUE"""),"4 Stars")</f>
        <v>4 Stars</v>
      </c>
      <c r="M16" s="31">
        <f>IFERROR(__xludf.DUMMYFUNCTION("""COMPUTED_VALUE"""),45959.0)</f>
        <v>45959</v>
      </c>
      <c r="N16" s="32"/>
    </row>
    <row r="17" ht="112.5" customHeight="1">
      <c r="A17" s="21">
        <f t="shared" si="1"/>
        <v>333</v>
      </c>
      <c r="B17" s="22" t="s">
        <v>47</v>
      </c>
      <c r="C17" s="23"/>
      <c r="D17" s="24"/>
      <c r="E17" s="25" t="s">
        <v>48</v>
      </c>
      <c r="F17" s="26" t="s">
        <v>16</v>
      </c>
      <c r="G17" s="27" t="s">
        <v>49</v>
      </c>
      <c r="H17" s="28">
        <v>45946.0</v>
      </c>
      <c r="I17" s="29" t="s">
        <v>50</v>
      </c>
      <c r="J17" s="29" t="str">
        <f>IFERROR(__xludf.DUMMYFUNCTION("""COMPUTED_VALUE"""),"https://i.postimg.cc/MZPzWmHq/Transforming-Class-Dark-Defender.png")</f>
        <v>https://i.postimg.cc/MZPzWmHq/Transforming-Class-Dark-Defender.png</v>
      </c>
      <c r="K17" s="30" t="s">
        <v>47</v>
      </c>
      <c r="L17" s="30" t="str">
        <f>IFERROR(__xludf.DUMMYFUNCTION("""COMPUTED_VALUE"""),"4 Stars")</f>
        <v>4 Stars</v>
      </c>
      <c r="M17" s="31">
        <f>IFERROR(__xludf.DUMMYFUNCTION("""COMPUTED_VALUE"""),45946.0)</f>
        <v>45946</v>
      </c>
      <c r="N17" s="32"/>
    </row>
    <row r="18" ht="112.5" customHeight="1">
      <c r="A18" s="21">
        <f t="shared" si="1"/>
        <v>332</v>
      </c>
      <c r="B18" s="22" t="s">
        <v>28</v>
      </c>
      <c r="C18" s="23"/>
      <c r="D18" s="24"/>
      <c r="E18" s="25" t="s">
        <v>51</v>
      </c>
      <c r="F18" s="26" t="s">
        <v>21</v>
      </c>
      <c r="G18" s="27" t="s">
        <v>52</v>
      </c>
      <c r="H18" s="28">
        <v>45929.0</v>
      </c>
      <c r="I18" s="29" t="s">
        <v>53</v>
      </c>
      <c r="J18" s="29" t="str">
        <f>IFERROR(__xludf.DUMMYFUNCTION("""COMPUTED_VALUE"""),"https://i.postimg.cc/0j7xLZVT/Light-Defender.png")</f>
        <v>https://i.postimg.cc/0j7xLZVT/Light-Defender.png</v>
      </c>
      <c r="K18" s="30" t="s">
        <v>28</v>
      </c>
      <c r="L18" s="30" t="str">
        <f>IFERROR(__xludf.DUMMYFUNCTION("""COMPUTED_VALUE"""),"4 Stars")</f>
        <v>4 Stars</v>
      </c>
      <c r="M18" s="31">
        <f>IFERROR(__xludf.DUMMYFUNCTION("""COMPUTED_VALUE"""),45929.0)</f>
        <v>45929</v>
      </c>
      <c r="N18" s="32"/>
    </row>
    <row r="19" ht="112.5" customHeight="1">
      <c r="A19" s="21">
        <f t="shared" si="1"/>
        <v>331</v>
      </c>
      <c r="B19" s="22" t="s">
        <v>54</v>
      </c>
      <c r="C19" s="23"/>
      <c r="D19" s="24"/>
      <c r="E19" s="25" t="s">
        <v>55</v>
      </c>
      <c r="F19" s="26" t="s">
        <v>21</v>
      </c>
      <c r="G19" s="27" t="s">
        <v>56</v>
      </c>
      <c r="H19" s="33"/>
      <c r="I19" s="29" t="s">
        <v>57</v>
      </c>
      <c r="J19" s="29" t="str">
        <f>IFERROR(__xludf.DUMMYFUNCTION("""COMPUTED_VALUE"""),"https://i.postimg.cc/0j0ZVpyR/Transforming-Class-Light-Attacker.png")</f>
        <v>https://i.postimg.cc/0j0ZVpyR/Transforming-Class-Light-Attacker.png</v>
      </c>
      <c r="K19" s="30" t="s">
        <v>54</v>
      </c>
      <c r="L19" s="30" t="str">
        <f>IFERROR(__xludf.DUMMYFUNCTION("""COMPUTED_VALUE"""),"4 Stars")</f>
        <v>4 Stars</v>
      </c>
      <c r="M19" s="31">
        <f>IFERROR(__xludf.DUMMYFUNCTION("""COMPUTED_VALUE"""),45929.0)</f>
        <v>45929</v>
      </c>
      <c r="N19" s="32"/>
    </row>
    <row r="20" ht="112.5" customHeight="1">
      <c r="A20" s="21">
        <f t="shared" si="1"/>
        <v>330</v>
      </c>
      <c r="B20" s="22" t="s">
        <v>58</v>
      </c>
      <c r="C20" s="23"/>
      <c r="D20" s="24"/>
      <c r="E20" s="25" t="s">
        <v>59</v>
      </c>
      <c r="F20" s="26" t="s">
        <v>21</v>
      </c>
      <c r="G20" s="27" t="s">
        <v>60</v>
      </c>
      <c r="H20" s="28">
        <v>45919.0</v>
      </c>
      <c r="I20" s="29" t="s">
        <v>61</v>
      </c>
      <c r="J20" s="29" t="str">
        <f>IFERROR(__xludf.DUMMYFUNCTION("""COMPUTED_VALUE"""),"https://i.postimg.cc/P52mhmnd/Transforming-Element-Blue-Attacker.png")</f>
        <v>https://i.postimg.cc/P52mhmnd/Transforming-Element-Blue-Attacker.png</v>
      </c>
      <c r="K20" s="30" t="s">
        <v>58</v>
      </c>
      <c r="L20" s="30" t="str">
        <f>IFERROR(__xludf.DUMMYFUNCTION("""COMPUTED_VALUE"""),"4 Stars")</f>
        <v>4 Stars</v>
      </c>
      <c r="M20" s="31">
        <f>IFERROR(__xludf.DUMMYFUNCTION("""COMPUTED_VALUE"""),45919.0)</f>
        <v>45919</v>
      </c>
      <c r="N20" s="32"/>
    </row>
    <row r="21" ht="112.5" customHeight="1">
      <c r="A21" s="21">
        <f t="shared" si="1"/>
        <v>329</v>
      </c>
      <c r="B21" s="22" t="s">
        <v>62</v>
      </c>
      <c r="C21" s="23"/>
      <c r="D21" s="24"/>
      <c r="E21" s="25" t="s">
        <v>63</v>
      </c>
      <c r="F21" s="26" t="s">
        <v>16</v>
      </c>
      <c r="G21" s="27" t="s">
        <v>64</v>
      </c>
      <c r="H21" s="28">
        <v>45897.0</v>
      </c>
      <c r="I21" s="29" t="s">
        <v>65</v>
      </c>
      <c r="J21" s="29" t="str">
        <f>IFERROR(__xludf.DUMMYFUNCTION("""COMPUTED_VALUE"""),"https://i.postimg.cc/02q9pRQP/Light-Runner.png")</f>
        <v>https://i.postimg.cc/02q9pRQP/Light-Runner.png</v>
      </c>
      <c r="K21" s="30" t="s">
        <v>62</v>
      </c>
      <c r="L21" s="30" t="str">
        <f>IFERROR(__xludf.DUMMYFUNCTION("""COMPUTED_VALUE"""),"4 Stars")</f>
        <v>4 Stars</v>
      </c>
      <c r="M21" s="31">
        <f>IFERROR(__xludf.DUMMYFUNCTION("""COMPUTED_VALUE"""),45897.0)</f>
        <v>45897</v>
      </c>
      <c r="N21" s="32"/>
    </row>
    <row r="22" ht="112.5" customHeight="1">
      <c r="A22" s="21">
        <f t="shared" si="1"/>
        <v>328</v>
      </c>
      <c r="B22" s="34" t="s">
        <v>28</v>
      </c>
      <c r="C22" s="23"/>
      <c r="D22" s="24"/>
      <c r="E22" s="25" t="s">
        <v>66</v>
      </c>
      <c r="F22" s="26" t="s">
        <v>21</v>
      </c>
      <c r="G22" s="27" t="s">
        <v>67</v>
      </c>
      <c r="H22" s="28">
        <v>45876.0</v>
      </c>
      <c r="I22" s="29" t="s">
        <v>68</v>
      </c>
      <c r="J22" s="29" t="str">
        <f>IFERROR(__xludf.DUMMYFUNCTION("""COMPUTED_VALUE"""),"https://i.postimg.cc/0j7xLZVT/Light-Defender.png")</f>
        <v>https://i.postimg.cc/0j7xLZVT/Light-Defender.png</v>
      </c>
      <c r="K22" s="30" t="s">
        <v>28</v>
      </c>
      <c r="L22" s="30" t="str">
        <f>IFERROR(__xludf.DUMMYFUNCTION("""COMPUTED_VALUE"""),"4 Stars")</f>
        <v>4 Stars</v>
      </c>
      <c r="M22" s="31">
        <f>IFERROR(__xludf.DUMMYFUNCTION("""COMPUTED_VALUE"""),45876.0)</f>
        <v>45876</v>
      </c>
      <c r="N22" s="32"/>
    </row>
    <row r="23" ht="112.5" customHeight="1">
      <c r="A23" s="21">
        <f t="shared" si="1"/>
        <v>327</v>
      </c>
      <c r="B23" s="22" t="s">
        <v>24</v>
      </c>
      <c r="C23" s="23"/>
      <c r="D23" s="24"/>
      <c r="E23" s="25" t="s">
        <v>69</v>
      </c>
      <c r="F23" s="26" t="s">
        <v>21</v>
      </c>
      <c r="G23" s="27" t="s">
        <v>70</v>
      </c>
      <c r="H23" s="33"/>
      <c r="I23" s="29" t="s">
        <v>71</v>
      </c>
      <c r="J23" s="29" t="str">
        <f>IFERROR(__xludf.DUMMYFUNCTION("""COMPUTED_VALUE"""),"https://i.postimg.cc/Hk6HDrtk/Red-Runner.png")</f>
        <v>https://i.postimg.cc/Hk6HDrtk/Red-Runner.png</v>
      </c>
      <c r="K23" s="30" t="s">
        <v>24</v>
      </c>
      <c r="L23" s="30" t="str">
        <f>IFERROR(__xludf.DUMMYFUNCTION("""COMPUTED_VALUE"""),"4 Stars")</f>
        <v>4 Stars</v>
      </c>
      <c r="M23" s="31">
        <f>IFERROR(__xludf.DUMMYFUNCTION("""COMPUTED_VALUE"""),45876.0)</f>
        <v>45876</v>
      </c>
      <c r="N23" s="32"/>
    </row>
    <row r="24" ht="112.5" customHeight="1">
      <c r="A24" s="21">
        <f t="shared" si="1"/>
        <v>326</v>
      </c>
      <c r="B24" s="22" t="s">
        <v>62</v>
      </c>
      <c r="C24" s="23"/>
      <c r="D24" s="24"/>
      <c r="E24" s="25" t="s">
        <v>72</v>
      </c>
      <c r="F24" s="26" t="s">
        <v>21</v>
      </c>
      <c r="G24" s="27" t="s">
        <v>73</v>
      </c>
      <c r="H24" s="28">
        <v>45834.0</v>
      </c>
      <c r="I24" s="29" t="s">
        <v>74</v>
      </c>
      <c r="J24" s="29" t="str">
        <f>IFERROR(__xludf.DUMMYFUNCTION("""COMPUTED_VALUE"""),"https://i.postimg.cc/02q9pRQP/Light-Runner.png")</f>
        <v>https://i.postimg.cc/02q9pRQP/Light-Runner.png</v>
      </c>
      <c r="K24" s="30" t="s">
        <v>62</v>
      </c>
      <c r="L24" s="30" t="str">
        <f>IFERROR(__xludf.DUMMYFUNCTION("""COMPUTED_VALUE"""),"4 Stars")</f>
        <v>4 Stars</v>
      </c>
      <c r="M24" s="31">
        <f>IFERROR(__xludf.DUMMYFUNCTION("""COMPUTED_VALUE"""),45834.0)</f>
        <v>45834</v>
      </c>
      <c r="N24" s="32"/>
    </row>
    <row r="25" ht="112.5" customHeight="1">
      <c r="A25" s="21">
        <f t="shared" si="1"/>
        <v>325</v>
      </c>
      <c r="B25" s="22" t="s">
        <v>75</v>
      </c>
      <c r="C25" s="23"/>
      <c r="D25" s="24"/>
      <c r="E25" s="25" t="s">
        <v>76</v>
      </c>
      <c r="F25" s="26" t="s">
        <v>21</v>
      </c>
      <c r="G25" s="27" t="s">
        <v>77</v>
      </c>
      <c r="H25" s="33"/>
      <c r="I25" s="29" t="s">
        <v>78</v>
      </c>
      <c r="J25" s="29" t="str">
        <f>IFERROR(__xludf.DUMMYFUNCTION("""COMPUTED_VALUE"""),"https://i.postimg.cc/P5XhRWY7/Red-Defender.png")</f>
        <v>https://i.postimg.cc/P5XhRWY7/Red-Defender.png</v>
      </c>
      <c r="K25" s="30" t="s">
        <v>75</v>
      </c>
      <c r="L25" s="30" t="str">
        <f>IFERROR(__xludf.DUMMYFUNCTION("""COMPUTED_VALUE"""),"4 Stars")</f>
        <v>4 Stars</v>
      </c>
      <c r="M25" s="31">
        <f>IFERROR(__xludf.DUMMYFUNCTION("""COMPUTED_VALUE"""),45834.0)</f>
        <v>45834</v>
      </c>
      <c r="N25" s="32"/>
    </row>
    <row r="26" ht="112.5" customHeight="1">
      <c r="A26" s="21">
        <f t="shared" si="1"/>
        <v>324</v>
      </c>
      <c r="B26" s="22" t="s">
        <v>79</v>
      </c>
      <c r="C26" s="23"/>
      <c r="D26" s="24"/>
      <c r="E26" s="25" t="s">
        <v>80</v>
      </c>
      <c r="F26" s="26" t="s">
        <v>16</v>
      </c>
      <c r="G26" s="27" t="s">
        <v>81</v>
      </c>
      <c r="H26" s="28">
        <v>45825.0</v>
      </c>
      <c r="I26" s="29" t="s">
        <v>82</v>
      </c>
      <c r="J26" s="29" t="str">
        <f>IFERROR(__xludf.DUMMYFUNCTION("""COMPUTED_VALUE"""),"https://i.postimg.cc/KjHbJxwR/Transforming-Element-Red-Attacker.png")</f>
        <v>https://i.postimg.cc/KjHbJxwR/Transforming-Element-Red-Attacker.png</v>
      </c>
      <c r="K26" s="30" t="s">
        <v>79</v>
      </c>
      <c r="L26" s="30" t="str">
        <f>IFERROR(__xludf.DUMMYFUNCTION("""COMPUTED_VALUE"""),"4 Stars")</f>
        <v>4 Stars</v>
      </c>
      <c r="M26" s="31">
        <f>IFERROR(__xludf.DUMMYFUNCTION("""COMPUTED_VALUE"""),45825.0)</f>
        <v>45825</v>
      </c>
      <c r="N26" s="32"/>
    </row>
    <row r="27" ht="112.5" customHeight="1">
      <c r="A27" s="21">
        <f t="shared" si="1"/>
        <v>323</v>
      </c>
      <c r="B27" s="22" t="s">
        <v>24</v>
      </c>
      <c r="C27" s="23"/>
      <c r="D27" s="24"/>
      <c r="E27" s="25" t="s">
        <v>83</v>
      </c>
      <c r="F27" s="26" t="s">
        <v>21</v>
      </c>
      <c r="G27" s="27" t="s">
        <v>84</v>
      </c>
      <c r="H27" s="28">
        <v>45797.0</v>
      </c>
      <c r="I27" s="29" t="s">
        <v>85</v>
      </c>
      <c r="J27" s="29" t="str">
        <f>IFERROR(__xludf.DUMMYFUNCTION("""COMPUTED_VALUE"""),"https://i.postimg.cc/Hk6HDrtk/Red-Runner.png")</f>
        <v>https://i.postimg.cc/Hk6HDrtk/Red-Runner.png</v>
      </c>
      <c r="K27" s="30" t="s">
        <v>24</v>
      </c>
      <c r="L27" s="30" t="str">
        <f>IFERROR(__xludf.DUMMYFUNCTION("""COMPUTED_VALUE"""),"4 Stars")</f>
        <v>4 Stars</v>
      </c>
      <c r="M27" s="31">
        <f>IFERROR(__xludf.DUMMYFUNCTION("""COMPUTED_VALUE"""),45797.0)</f>
        <v>45797</v>
      </c>
      <c r="N27" s="32"/>
    </row>
    <row r="28" ht="112.5" customHeight="1">
      <c r="A28" s="21">
        <f t="shared" si="1"/>
        <v>322</v>
      </c>
      <c r="B28" s="22" t="s">
        <v>86</v>
      </c>
      <c r="C28" s="23"/>
      <c r="D28" s="24"/>
      <c r="E28" s="25" t="s">
        <v>87</v>
      </c>
      <c r="F28" s="26" t="s">
        <v>21</v>
      </c>
      <c r="G28" s="27" t="s">
        <v>88</v>
      </c>
      <c r="H28" s="28">
        <v>45782.0</v>
      </c>
      <c r="I28" s="29" t="s">
        <v>89</v>
      </c>
      <c r="J28" s="29" t="str">
        <f>IFERROR(__xludf.DUMMYFUNCTION("""COMPUTED_VALUE"""),"https://i.postimg.cc/qRhpGpyM/Green-Defender.png")</f>
        <v>https://i.postimg.cc/qRhpGpyM/Green-Defender.png</v>
      </c>
      <c r="K28" s="30" t="s">
        <v>86</v>
      </c>
      <c r="L28" s="30" t="str">
        <f>IFERROR(__xludf.DUMMYFUNCTION("""COMPUTED_VALUE"""),"4 Stars")</f>
        <v>4 Stars</v>
      </c>
      <c r="M28" s="31">
        <f>IFERROR(__xludf.DUMMYFUNCTION("""COMPUTED_VALUE"""),45782.0)</f>
        <v>45782</v>
      </c>
      <c r="N28" s="32"/>
    </row>
    <row r="29" ht="112.5" customHeight="1">
      <c r="A29" s="21">
        <f t="shared" si="1"/>
        <v>321</v>
      </c>
      <c r="B29" s="22" t="s">
        <v>35</v>
      </c>
      <c r="C29" s="23"/>
      <c r="D29" s="24"/>
      <c r="E29" s="25" t="s">
        <v>90</v>
      </c>
      <c r="F29" s="26" t="s">
        <v>21</v>
      </c>
      <c r="G29" s="27" t="s">
        <v>91</v>
      </c>
      <c r="H29" s="33"/>
      <c r="I29" s="29" t="s">
        <v>92</v>
      </c>
      <c r="J29" s="29" t="str">
        <f>IFERROR(__xludf.DUMMYFUNCTION("""COMPUTED_VALUE"""),"https://i.postimg.cc/L6B2DCYf/Red-Attacker.png")</f>
        <v>https://i.postimg.cc/L6B2DCYf/Red-Attacker.png</v>
      </c>
      <c r="K29" s="30" t="s">
        <v>35</v>
      </c>
      <c r="L29" s="30" t="str">
        <f>IFERROR(__xludf.DUMMYFUNCTION("""COMPUTED_VALUE"""),"4 Stars")</f>
        <v>4 Stars</v>
      </c>
      <c r="M29" s="31">
        <f>IFERROR(__xludf.DUMMYFUNCTION("""COMPUTED_VALUE"""),45782.0)</f>
        <v>45782</v>
      </c>
      <c r="N29" s="32"/>
    </row>
    <row r="30" ht="112.5" customHeight="1">
      <c r="A30" s="21">
        <f t="shared" si="1"/>
        <v>320</v>
      </c>
      <c r="B30" s="22" t="s">
        <v>93</v>
      </c>
      <c r="C30" s="23"/>
      <c r="D30" s="24"/>
      <c r="E30" s="25" t="s">
        <v>94</v>
      </c>
      <c r="F30" s="26" t="s">
        <v>21</v>
      </c>
      <c r="G30" s="27" t="s">
        <v>95</v>
      </c>
      <c r="H30" s="28">
        <v>45771.0</v>
      </c>
      <c r="I30" s="29" t="s">
        <v>96</v>
      </c>
      <c r="J30" s="29" t="str">
        <f>IFERROR(__xludf.DUMMYFUNCTION("""COMPUTED_VALUE"""),"https://i.postimg.cc/NGXg9fQd/Light-Attacker.png")</f>
        <v>https://i.postimg.cc/NGXg9fQd/Light-Attacker.png</v>
      </c>
      <c r="K30" s="30" t="s">
        <v>93</v>
      </c>
      <c r="L30" s="30" t="str">
        <f>IFERROR(__xludf.DUMMYFUNCTION("""COMPUTED_VALUE"""),"4 Stars")</f>
        <v>4 Stars</v>
      </c>
      <c r="M30" s="31">
        <f>IFERROR(__xludf.DUMMYFUNCTION("""COMPUTED_VALUE"""),45771.0)</f>
        <v>45771</v>
      </c>
      <c r="N30" s="32"/>
    </row>
    <row r="31" ht="112.5" customHeight="1">
      <c r="A31" s="21">
        <f t="shared" si="1"/>
        <v>319</v>
      </c>
      <c r="B31" s="22" t="s">
        <v>75</v>
      </c>
      <c r="C31" s="23"/>
      <c r="D31" s="24"/>
      <c r="E31" s="25" t="s">
        <v>97</v>
      </c>
      <c r="F31" s="26" t="s">
        <v>21</v>
      </c>
      <c r="G31" s="27" t="s">
        <v>98</v>
      </c>
      <c r="H31" s="33"/>
      <c r="I31" s="29" t="s">
        <v>99</v>
      </c>
      <c r="J31" s="29" t="str">
        <f>IFERROR(__xludf.DUMMYFUNCTION("""COMPUTED_VALUE"""),"https://i.postimg.cc/P5XhRWY7/Red-Defender.png")</f>
        <v>https://i.postimg.cc/P5XhRWY7/Red-Defender.png</v>
      </c>
      <c r="K31" s="30" t="s">
        <v>75</v>
      </c>
      <c r="L31" s="30" t="str">
        <f>IFERROR(__xludf.DUMMYFUNCTION("""COMPUTED_VALUE"""),"4 Stars")</f>
        <v>4 Stars</v>
      </c>
      <c r="M31" s="31">
        <f>IFERROR(__xludf.DUMMYFUNCTION("""COMPUTED_VALUE"""),45771.0)</f>
        <v>45771</v>
      </c>
      <c r="N31" s="32"/>
    </row>
    <row r="32" ht="112.5" customHeight="1">
      <c r="A32" s="21">
        <f t="shared" si="1"/>
        <v>318</v>
      </c>
      <c r="B32" s="22" t="s">
        <v>28</v>
      </c>
      <c r="C32" s="23"/>
      <c r="D32" s="24"/>
      <c r="E32" s="25" t="s">
        <v>100</v>
      </c>
      <c r="F32" s="26" t="s">
        <v>101</v>
      </c>
      <c r="G32" s="27" t="s">
        <v>102</v>
      </c>
      <c r="H32" s="28">
        <v>45748.0</v>
      </c>
      <c r="I32" s="29" t="s">
        <v>103</v>
      </c>
      <c r="J32" s="29" t="str">
        <f>IFERROR(__xludf.DUMMYFUNCTION("""COMPUTED_VALUE"""),"https://i.postimg.cc/0j7xLZVT/Light-Defender.png")</f>
        <v>https://i.postimg.cc/0j7xLZVT/Light-Defender.png</v>
      </c>
      <c r="K32" s="30" t="s">
        <v>28</v>
      </c>
      <c r="L32" s="30" t="str">
        <f>IFERROR(__xludf.DUMMYFUNCTION("""COMPUTED_VALUE"""),"2 Stars")</f>
        <v>2 Stars</v>
      </c>
      <c r="M32" s="31">
        <f>IFERROR(__xludf.DUMMYFUNCTION("""COMPUTED_VALUE"""),45748.0)</f>
        <v>45748</v>
      </c>
      <c r="N32" s="32"/>
    </row>
    <row r="33" ht="112.5" customHeight="1">
      <c r="A33" s="21">
        <f t="shared" si="1"/>
        <v>317</v>
      </c>
      <c r="B33" s="22" t="s">
        <v>104</v>
      </c>
      <c r="C33" s="23"/>
      <c r="D33" s="24"/>
      <c r="E33" s="25" t="s">
        <v>105</v>
      </c>
      <c r="F33" s="26" t="s">
        <v>21</v>
      </c>
      <c r="G33" s="27" t="s">
        <v>106</v>
      </c>
      <c r="H33" s="28">
        <v>45743.0</v>
      </c>
      <c r="I33" s="29" t="s">
        <v>107</v>
      </c>
      <c r="J33" s="29" t="str">
        <f>IFERROR(__xludf.DUMMYFUNCTION("""COMPUTED_VALUE"""),"https://i.postimg.cc/0NH8mz6B/Green-Attacker.png")</f>
        <v>https://i.postimg.cc/0NH8mz6B/Green-Attacker.png</v>
      </c>
      <c r="K33" s="30" t="s">
        <v>104</v>
      </c>
      <c r="L33" s="30" t="str">
        <f>IFERROR(__xludf.DUMMYFUNCTION("""COMPUTED_VALUE"""),"4 Stars")</f>
        <v>4 Stars</v>
      </c>
      <c r="M33" s="31">
        <f>IFERROR(__xludf.DUMMYFUNCTION("""COMPUTED_VALUE"""),45743.0)</f>
        <v>45743</v>
      </c>
      <c r="N33" s="32"/>
    </row>
    <row r="34" ht="112.5" customHeight="1">
      <c r="A34" s="21">
        <f t="shared" si="1"/>
        <v>316</v>
      </c>
      <c r="B34" s="22" t="s">
        <v>75</v>
      </c>
      <c r="C34" s="23"/>
      <c r="D34" s="24"/>
      <c r="E34" s="25" t="s">
        <v>108</v>
      </c>
      <c r="F34" s="26" t="s">
        <v>21</v>
      </c>
      <c r="G34" s="27" t="s">
        <v>109</v>
      </c>
      <c r="H34" s="33"/>
      <c r="I34" s="29" t="s">
        <v>110</v>
      </c>
      <c r="J34" s="29" t="str">
        <f>IFERROR(__xludf.DUMMYFUNCTION("""COMPUTED_VALUE"""),"https://i.postimg.cc/P5XhRWY7/Red-Defender.png")</f>
        <v>https://i.postimg.cc/P5XhRWY7/Red-Defender.png</v>
      </c>
      <c r="K34" s="30" t="s">
        <v>75</v>
      </c>
      <c r="L34" s="30" t="str">
        <f>IFERROR(__xludf.DUMMYFUNCTION("""COMPUTED_VALUE"""),"4 Stars")</f>
        <v>4 Stars</v>
      </c>
      <c r="M34" s="31">
        <f>IFERROR(__xludf.DUMMYFUNCTION("""COMPUTED_VALUE"""),45743.0)</f>
        <v>45743</v>
      </c>
      <c r="N34" s="32"/>
    </row>
    <row r="35" ht="112.5" customHeight="1">
      <c r="A35" s="21">
        <f t="shared" si="1"/>
        <v>315</v>
      </c>
      <c r="B35" s="22" t="s">
        <v>86</v>
      </c>
      <c r="C35" s="23"/>
      <c r="D35" s="24"/>
      <c r="E35" s="25" t="s">
        <v>111</v>
      </c>
      <c r="F35" s="26" t="s">
        <v>21</v>
      </c>
      <c r="G35" s="27" t="s">
        <v>112</v>
      </c>
      <c r="H35" s="28">
        <v>45719.0</v>
      </c>
      <c r="I35" s="29" t="s">
        <v>113</v>
      </c>
      <c r="J35" s="29" t="str">
        <f>IFERROR(__xludf.DUMMYFUNCTION("""COMPUTED_VALUE"""),"https://i.postimg.cc/qRhpGpyM/Green-Defender.png")</f>
        <v>https://i.postimg.cc/qRhpGpyM/Green-Defender.png</v>
      </c>
      <c r="K35" s="30" t="s">
        <v>86</v>
      </c>
      <c r="L35" s="30" t="str">
        <f>IFERROR(__xludf.DUMMYFUNCTION("""COMPUTED_VALUE"""),"4 Stars")</f>
        <v>4 Stars</v>
      </c>
      <c r="M35" s="31">
        <f>IFERROR(__xludf.DUMMYFUNCTION("""COMPUTED_VALUE"""),45719.0)</f>
        <v>45719</v>
      </c>
      <c r="N35" s="32"/>
    </row>
    <row r="36" ht="112.5" customHeight="1">
      <c r="A36" s="21">
        <f t="shared" si="1"/>
        <v>314</v>
      </c>
      <c r="B36" s="22" t="s">
        <v>114</v>
      </c>
      <c r="C36" s="23"/>
      <c r="D36" s="24"/>
      <c r="E36" s="25" t="s">
        <v>115</v>
      </c>
      <c r="F36" s="26" t="s">
        <v>21</v>
      </c>
      <c r="G36" s="27" t="s">
        <v>112</v>
      </c>
      <c r="H36" s="33"/>
      <c r="I36" s="29" t="s">
        <v>116</v>
      </c>
      <c r="J36" s="29" t="str">
        <f>IFERROR(__xludf.DUMMYFUNCTION("""COMPUTED_VALUE"""),"https://i.postimg.cc/4NzNM4MY/Blue-Runner.png")</f>
        <v>https://i.postimg.cc/4NzNM4MY/Blue-Runner.png</v>
      </c>
      <c r="K36" s="30" t="s">
        <v>114</v>
      </c>
      <c r="L36" s="30" t="str">
        <f>IFERROR(__xludf.DUMMYFUNCTION("""COMPUTED_VALUE"""),"4 Stars")</f>
        <v>4 Stars</v>
      </c>
      <c r="M36" s="31">
        <f>IFERROR(__xludf.DUMMYFUNCTION("""COMPUTED_VALUE"""),45719.0)</f>
        <v>45719</v>
      </c>
      <c r="N36" s="32"/>
    </row>
    <row r="37" ht="112.5" customHeight="1">
      <c r="A37" s="21">
        <f t="shared" si="1"/>
        <v>313</v>
      </c>
      <c r="B37" s="22" t="s">
        <v>35</v>
      </c>
      <c r="C37" s="23"/>
      <c r="D37" s="24"/>
      <c r="E37" s="25" t="s">
        <v>117</v>
      </c>
      <c r="F37" s="26" t="s">
        <v>21</v>
      </c>
      <c r="G37" s="27" t="s">
        <v>118</v>
      </c>
      <c r="H37" s="33"/>
      <c r="I37" s="29" t="s">
        <v>119</v>
      </c>
      <c r="J37" s="29" t="str">
        <f>IFERROR(__xludf.DUMMYFUNCTION("""COMPUTED_VALUE"""),"https://i.postimg.cc/L6B2DCYf/Red-Attacker.png")</f>
        <v>https://i.postimg.cc/L6B2DCYf/Red-Attacker.png</v>
      </c>
      <c r="K37" s="30" t="s">
        <v>35</v>
      </c>
      <c r="L37" s="30" t="str">
        <f>IFERROR(__xludf.DUMMYFUNCTION("""COMPUTED_VALUE"""),"4 Stars")</f>
        <v>4 Stars</v>
      </c>
      <c r="M37" s="31">
        <f>IFERROR(__xludf.DUMMYFUNCTION("""COMPUTED_VALUE"""),45719.0)</f>
        <v>45719</v>
      </c>
      <c r="N37" s="32"/>
    </row>
    <row r="38" ht="112.5" customHeight="1">
      <c r="A38" s="21">
        <f t="shared" si="1"/>
        <v>312</v>
      </c>
      <c r="B38" s="22" t="s">
        <v>10</v>
      </c>
      <c r="C38" s="23"/>
      <c r="D38" s="24"/>
      <c r="E38" s="25" t="s">
        <v>120</v>
      </c>
      <c r="F38" s="26" t="s">
        <v>16</v>
      </c>
      <c r="G38" s="27" t="s">
        <v>121</v>
      </c>
      <c r="H38" s="28">
        <v>45699.0</v>
      </c>
      <c r="I38" s="29" t="s">
        <v>122</v>
      </c>
      <c r="J38" s="29" t="str">
        <f>IFERROR(__xludf.DUMMYFUNCTION("""COMPUTED_VALUE"""),"https://i.postimg.cc/PxgT30Qb/Green-Runner.png")</f>
        <v>https://i.postimg.cc/PxgT30Qb/Green-Runner.png</v>
      </c>
      <c r="K38" s="30" t="s">
        <v>10</v>
      </c>
      <c r="L38" s="30" t="str">
        <f>IFERROR(__xludf.DUMMYFUNCTION("""COMPUTED_VALUE"""),"4 Stars")</f>
        <v>4 Stars</v>
      </c>
      <c r="M38" s="31">
        <f>IFERROR(__xludf.DUMMYFUNCTION("""COMPUTED_VALUE"""),45699.0)</f>
        <v>45699</v>
      </c>
      <c r="N38" s="32"/>
    </row>
    <row r="39" ht="112.5" customHeight="1">
      <c r="A39" s="21">
        <f t="shared" si="1"/>
        <v>311</v>
      </c>
      <c r="B39" s="34" t="s">
        <v>123</v>
      </c>
      <c r="C39" s="23"/>
      <c r="D39" s="24"/>
      <c r="E39" s="25" t="s">
        <v>124</v>
      </c>
      <c r="F39" s="26" t="s">
        <v>7</v>
      </c>
      <c r="G39" s="27" t="s">
        <v>125</v>
      </c>
      <c r="H39" s="28">
        <v>45692.0</v>
      </c>
      <c r="I39" s="29" t="s">
        <v>126</v>
      </c>
      <c r="J39" s="29" t="str">
        <f>IFERROR(__xludf.DUMMYFUNCTION("""COMPUTED_VALUE"""),"https://i.postimg.cc/MZPzWmHq/Transforming-Class-Dark-Defender.png")</f>
        <v>https://i.postimg.cc/MZPzWmHq/Transforming-Class-Dark-Defender.png</v>
      </c>
      <c r="K39" s="30" t="s">
        <v>123</v>
      </c>
      <c r="L39" s="30" t="str">
        <f>IFERROR(__xludf.DUMMYFUNCTION("""COMPUTED_VALUE"""),"4 Stars")</f>
        <v>4 Stars</v>
      </c>
      <c r="M39" s="31">
        <f>IFERROR(__xludf.DUMMYFUNCTION("""COMPUTED_VALUE"""),45692.0)</f>
        <v>45692</v>
      </c>
      <c r="N39" s="32"/>
    </row>
    <row r="40" ht="112.5" customHeight="1">
      <c r="A40" s="21">
        <f t="shared" si="1"/>
        <v>310</v>
      </c>
      <c r="B40" s="34" t="s">
        <v>127</v>
      </c>
      <c r="C40" s="23"/>
      <c r="D40" s="24"/>
      <c r="E40" s="25" t="s">
        <v>128</v>
      </c>
      <c r="F40" s="26" t="s">
        <v>16</v>
      </c>
      <c r="G40" s="27" t="s">
        <v>129</v>
      </c>
      <c r="H40" s="28">
        <v>45685.0</v>
      </c>
      <c r="I40" s="29" t="s">
        <v>130</v>
      </c>
      <c r="J40" s="29" t="str">
        <f>IFERROR(__xludf.DUMMYFUNCTION("""COMPUTED_VALUE"""),"https://i.postimg.cc/vZ9ytRzZ/Transforming-Class-Green-Defender.png")</f>
        <v>https://i.postimg.cc/vZ9ytRzZ/Transforming-Class-Green-Defender.png</v>
      </c>
      <c r="K40" s="30" t="s">
        <v>127</v>
      </c>
      <c r="L40" s="30" t="str">
        <f>IFERROR(__xludf.DUMMYFUNCTION("""COMPUTED_VALUE"""),"4 Stars")</f>
        <v>4 Stars</v>
      </c>
      <c r="M40" s="31">
        <f>IFERROR(__xludf.DUMMYFUNCTION("""COMPUTED_VALUE"""),45685.0)</f>
        <v>45685</v>
      </c>
      <c r="N40" s="32"/>
    </row>
    <row r="41" ht="112.5" customHeight="1">
      <c r="A41" s="21">
        <f t="shared" si="1"/>
        <v>309</v>
      </c>
      <c r="B41" s="34" t="s">
        <v>43</v>
      </c>
      <c r="C41" s="23"/>
      <c r="D41" s="24"/>
      <c r="E41" s="25" t="s">
        <v>131</v>
      </c>
      <c r="F41" s="26" t="s">
        <v>21</v>
      </c>
      <c r="G41" s="27" t="s">
        <v>132</v>
      </c>
      <c r="H41" s="28">
        <v>45664.0</v>
      </c>
      <c r="I41" s="29" t="s">
        <v>133</v>
      </c>
      <c r="J41" s="29" t="str">
        <f>IFERROR(__xludf.DUMMYFUNCTION("""COMPUTED_VALUE"""),"https://i.postimg.cc/QdmN84js/Dark-Attacker.png")</f>
        <v>https://i.postimg.cc/QdmN84js/Dark-Attacker.png</v>
      </c>
      <c r="K41" s="30" t="s">
        <v>43</v>
      </c>
      <c r="L41" s="30" t="str">
        <f>IFERROR(__xludf.DUMMYFUNCTION("""COMPUTED_VALUE"""),"4 Stars")</f>
        <v>4 Stars</v>
      </c>
      <c r="M41" s="31">
        <f>IFERROR(__xludf.DUMMYFUNCTION("""COMPUTED_VALUE"""),45664.0)</f>
        <v>45664</v>
      </c>
      <c r="N41" s="32"/>
    </row>
    <row r="42" ht="112.5" customHeight="1">
      <c r="A42" s="21">
        <f t="shared" si="1"/>
        <v>308</v>
      </c>
      <c r="B42" s="34" t="s">
        <v>43</v>
      </c>
      <c r="C42" s="23"/>
      <c r="D42" s="24"/>
      <c r="E42" s="25" t="s">
        <v>134</v>
      </c>
      <c r="F42" s="26" t="s">
        <v>16</v>
      </c>
      <c r="G42" s="27" t="s">
        <v>135</v>
      </c>
      <c r="H42" s="28">
        <v>45649.0</v>
      </c>
      <c r="I42" s="29" t="s">
        <v>136</v>
      </c>
      <c r="J42" s="29" t="str">
        <f>IFERROR(__xludf.DUMMYFUNCTION("""COMPUTED_VALUE"""),"https://i.postimg.cc/QdmN84js/Dark-Attacker.png")</f>
        <v>https://i.postimg.cc/QdmN84js/Dark-Attacker.png</v>
      </c>
      <c r="K42" s="30" t="s">
        <v>43</v>
      </c>
      <c r="L42" s="30" t="str">
        <f>IFERROR(__xludf.DUMMYFUNCTION("""COMPUTED_VALUE"""),"4 Stars")</f>
        <v>4 Stars</v>
      </c>
      <c r="M42" s="31">
        <f>IFERROR(__xludf.DUMMYFUNCTION("""COMPUTED_VALUE"""),45649.0)</f>
        <v>45649</v>
      </c>
      <c r="N42" s="32"/>
    </row>
    <row r="43" ht="112.5" customHeight="1">
      <c r="A43" s="21">
        <f t="shared" si="1"/>
        <v>307</v>
      </c>
      <c r="B43" s="34" t="s">
        <v>62</v>
      </c>
      <c r="C43" s="23"/>
      <c r="D43" s="24"/>
      <c r="E43" s="25" t="s">
        <v>137</v>
      </c>
      <c r="F43" s="26" t="s">
        <v>7</v>
      </c>
      <c r="G43" s="27" t="s">
        <v>138</v>
      </c>
      <c r="H43" s="28">
        <v>45636.0</v>
      </c>
      <c r="I43" s="29" t="s">
        <v>139</v>
      </c>
      <c r="J43" s="29" t="str">
        <f>IFERROR(__xludf.DUMMYFUNCTION("""COMPUTED_VALUE"""),"https://i.postimg.cc/02q9pRQP/Light-Runner.png")</f>
        <v>https://i.postimg.cc/02q9pRQP/Light-Runner.png</v>
      </c>
      <c r="K43" s="30" t="s">
        <v>62</v>
      </c>
      <c r="L43" s="30" t="str">
        <f>IFERROR(__xludf.DUMMYFUNCTION("""COMPUTED_VALUE"""),"4 Stars")</f>
        <v>4 Stars</v>
      </c>
      <c r="M43" s="31">
        <f>IFERROR(__xludf.DUMMYFUNCTION("""COMPUTED_VALUE"""),45636.0)</f>
        <v>45636</v>
      </c>
      <c r="N43" s="32"/>
    </row>
    <row r="44" ht="112.5" customHeight="1">
      <c r="A44" s="21">
        <f t="shared" si="1"/>
        <v>306</v>
      </c>
      <c r="B44" s="34" t="s">
        <v>140</v>
      </c>
      <c r="C44" s="23"/>
      <c r="D44" s="24"/>
      <c r="E44" s="25" t="s">
        <v>141</v>
      </c>
      <c r="F44" s="26" t="s">
        <v>7</v>
      </c>
      <c r="G44" s="27" t="s">
        <v>142</v>
      </c>
      <c r="H44" s="35">
        <f>DATE(2024,12,2)</f>
        <v>45628</v>
      </c>
      <c r="I44" s="29" t="s">
        <v>143</v>
      </c>
      <c r="J44" s="29" t="str">
        <f>IFERROR(__xludf.DUMMYFUNCTION("""COMPUTED_VALUE"""),"https://i.postimg.cc/m2xg81dx/Blue-Defender.png")</f>
        <v>https://i.postimg.cc/m2xg81dx/Blue-Defender.png</v>
      </c>
      <c r="K44" s="30" t="s">
        <v>140</v>
      </c>
      <c r="L44" s="30" t="str">
        <f>IFERROR(__xludf.DUMMYFUNCTION("""COMPUTED_VALUE"""),"4 Stars")</f>
        <v>4 Stars</v>
      </c>
      <c r="M44" s="31">
        <f>IFERROR(__xludf.DUMMYFUNCTION("""COMPUTED_VALUE"""),45628.0)</f>
        <v>45628</v>
      </c>
      <c r="N44" s="32"/>
    </row>
    <row r="45" ht="112.5" customHeight="1">
      <c r="A45" s="21">
        <f t="shared" si="1"/>
        <v>305</v>
      </c>
      <c r="B45" s="34" t="s">
        <v>140</v>
      </c>
      <c r="C45" s="23"/>
      <c r="D45" s="24"/>
      <c r="E45" s="25" t="s">
        <v>144</v>
      </c>
      <c r="F45" s="26" t="s">
        <v>21</v>
      </c>
      <c r="G45" s="27" t="s">
        <v>145</v>
      </c>
      <c r="H45" s="35">
        <f>DATE(2024,11,26)</f>
        <v>45622</v>
      </c>
      <c r="I45" s="29" t="s">
        <v>146</v>
      </c>
      <c r="J45" s="29" t="str">
        <f>IFERROR(__xludf.DUMMYFUNCTION("""COMPUTED_VALUE"""),"https://i.postimg.cc/m2xg81dx/Blue-Defender.png")</f>
        <v>https://i.postimg.cc/m2xg81dx/Blue-Defender.png</v>
      </c>
      <c r="K45" s="30" t="s">
        <v>140</v>
      </c>
      <c r="L45" s="30" t="str">
        <f>IFERROR(__xludf.DUMMYFUNCTION("""COMPUTED_VALUE"""),"4 Stars")</f>
        <v>4 Stars</v>
      </c>
      <c r="M45" s="31">
        <f>IFERROR(__xludf.DUMMYFUNCTION("""COMPUTED_VALUE"""),45622.0)</f>
        <v>45622</v>
      </c>
      <c r="N45" s="32"/>
    </row>
    <row r="46" ht="112.5" customHeight="1">
      <c r="A46" s="21">
        <f t="shared" si="1"/>
        <v>304</v>
      </c>
      <c r="B46" s="34" t="s">
        <v>10</v>
      </c>
      <c r="C46" s="23"/>
      <c r="D46" s="24"/>
      <c r="E46" s="25" t="s">
        <v>147</v>
      </c>
      <c r="F46" s="26" t="s">
        <v>21</v>
      </c>
      <c r="G46" s="27" t="s">
        <v>148</v>
      </c>
      <c r="H46" s="33"/>
      <c r="I46" s="29" t="s">
        <v>149</v>
      </c>
      <c r="J46" s="29" t="str">
        <f>IFERROR(__xludf.DUMMYFUNCTION("""COMPUTED_VALUE"""),"https://i.postimg.cc/PxgT30Qb/Green-Runner.png")</f>
        <v>https://i.postimg.cc/PxgT30Qb/Green-Runner.png</v>
      </c>
      <c r="K46" s="30" t="s">
        <v>10</v>
      </c>
      <c r="L46" s="30" t="str">
        <f>IFERROR(__xludf.DUMMYFUNCTION("""COMPUTED_VALUE"""),"4 Stars")</f>
        <v>4 Stars</v>
      </c>
      <c r="M46" s="31">
        <f>IFERROR(__xludf.DUMMYFUNCTION("""COMPUTED_VALUE"""),45622.0)</f>
        <v>45622</v>
      </c>
      <c r="N46" s="32"/>
    </row>
    <row r="47" ht="112.5" customHeight="1">
      <c r="A47" s="21">
        <f t="shared" si="1"/>
        <v>303</v>
      </c>
      <c r="B47" s="34" t="s">
        <v>75</v>
      </c>
      <c r="C47" s="23"/>
      <c r="D47" s="24"/>
      <c r="E47" s="25" t="s">
        <v>150</v>
      </c>
      <c r="F47" s="26" t="s">
        <v>7</v>
      </c>
      <c r="G47" s="27" t="s">
        <v>151</v>
      </c>
      <c r="H47" s="35">
        <f>DATE(2024,11,19)</f>
        <v>45615</v>
      </c>
      <c r="I47" s="29" t="s">
        <v>152</v>
      </c>
      <c r="J47" s="29" t="str">
        <f>IFERROR(__xludf.DUMMYFUNCTION("""COMPUTED_VALUE"""),"https://i.postimg.cc/P5XhRWY7/Red-Defender.png")</f>
        <v>https://i.postimg.cc/P5XhRWY7/Red-Defender.png</v>
      </c>
      <c r="K47" s="30" t="s">
        <v>75</v>
      </c>
      <c r="L47" s="30" t="str">
        <f>IFERROR(__xludf.DUMMYFUNCTION("""COMPUTED_VALUE"""),"4 Stars")</f>
        <v>4 Stars</v>
      </c>
      <c r="M47" s="31">
        <f>IFERROR(__xludf.DUMMYFUNCTION("""COMPUTED_VALUE"""),45615.0)</f>
        <v>45615</v>
      </c>
      <c r="N47" s="32"/>
    </row>
    <row r="48" ht="112.5" customHeight="1">
      <c r="A48" s="21">
        <f t="shared" si="1"/>
        <v>302</v>
      </c>
      <c r="B48" s="34" t="s">
        <v>43</v>
      </c>
      <c r="C48" s="23"/>
      <c r="D48" s="24"/>
      <c r="E48" s="25" t="s">
        <v>153</v>
      </c>
      <c r="F48" s="26" t="s">
        <v>7</v>
      </c>
      <c r="G48" s="27" t="s">
        <v>135</v>
      </c>
      <c r="H48" s="35">
        <f>DATE(2024,11,12)</f>
        <v>45608</v>
      </c>
      <c r="I48" s="29" t="s">
        <v>154</v>
      </c>
      <c r="J48" s="29" t="str">
        <f>IFERROR(__xludf.DUMMYFUNCTION("""COMPUTED_VALUE"""),"https://i.postimg.cc/QdmN84js/Dark-Attacker.png")</f>
        <v>https://i.postimg.cc/QdmN84js/Dark-Attacker.png</v>
      </c>
      <c r="K48" s="30" t="s">
        <v>43</v>
      </c>
      <c r="L48" s="30" t="str">
        <f>IFERROR(__xludf.DUMMYFUNCTION("""COMPUTED_VALUE"""),"4 Stars")</f>
        <v>4 Stars</v>
      </c>
      <c r="M48" s="31">
        <f>IFERROR(__xludf.DUMMYFUNCTION("""COMPUTED_VALUE"""),45608.0)</f>
        <v>45608</v>
      </c>
      <c r="N48" s="32"/>
    </row>
    <row r="49" ht="112.5" customHeight="1">
      <c r="A49" s="21">
        <f t="shared" si="1"/>
        <v>301</v>
      </c>
      <c r="B49" s="34" t="s">
        <v>104</v>
      </c>
      <c r="C49" s="23"/>
      <c r="D49" s="24"/>
      <c r="E49" s="25" t="s">
        <v>155</v>
      </c>
      <c r="F49" s="26" t="s">
        <v>21</v>
      </c>
      <c r="G49" s="27" t="s">
        <v>156</v>
      </c>
      <c r="H49" s="35">
        <f>DATE(2024,10,29)</f>
        <v>45594</v>
      </c>
      <c r="I49" s="29" t="s">
        <v>157</v>
      </c>
      <c r="J49" s="29" t="str">
        <f>IFERROR(__xludf.DUMMYFUNCTION("""COMPUTED_VALUE"""),"https://i.postimg.cc/0NH8mz6B/Green-Attacker.png")</f>
        <v>https://i.postimg.cc/0NH8mz6B/Green-Attacker.png</v>
      </c>
      <c r="K49" s="30" t="s">
        <v>104</v>
      </c>
      <c r="L49" s="30" t="str">
        <f>IFERROR(__xludf.DUMMYFUNCTION("""COMPUTED_VALUE"""),"4 Stars")</f>
        <v>4 Stars</v>
      </c>
      <c r="M49" s="31">
        <f>IFERROR(__xludf.DUMMYFUNCTION("""COMPUTED_VALUE"""),45594.0)</f>
        <v>45594</v>
      </c>
      <c r="N49" s="32"/>
    </row>
    <row r="50" ht="112.5" customHeight="1">
      <c r="A50" s="21">
        <f t="shared" si="1"/>
        <v>300</v>
      </c>
      <c r="B50" s="34" t="s">
        <v>86</v>
      </c>
      <c r="C50" s="23"/>
      <c r="D50" s="24"/>
      <c r="E50" s="25" t="s">
        <v>158</v>
      </c>
      <c r="F50" s="26" t="s">
        <v>21</v>
      </c>
      <c r="G50" s="27" t="s">
        <v>151</v>
      </c>
      <c r="H50" s="35">
        <f>DATE(2024,10,15)</f>
        <v>45580</v>
      </c>
      <c r="I50" s="29" t="s">
        <v>159</v>
      </c>
      <c r="J50" s="29" t="str">
        <f>IFERROR(__xludf.DUMMYFUNCTION("""COMPUTED_VALUE"""),"https://i.postimg.cc/qRhpGpyM/Green-Defender.png")</f>
        <v>https://i.postimg.cc/qRhpGpyM/Green-Defender.png</v>
      </c>
      <c r="K50" s="30" t="s">
        <v>86</v>
      </c>
      <c r="L50" s="30" t="str">
        <f>IFERROR(__xludf.DUMMYFUNCTION("""COMPUTED_VALUE"""),"4 Stars")</f>
        <v>4 Stars</v>
      </c>
      <c r="M50" s="31">
        <f>IFERROR(__xludf.DUMMYFUNCTION("""COMPUTED_VALUE"""),45580.0)</f>
        <v>45580</v>
      </c>
      <c r="N50" s="32"/>
    </row>
    <row r="51" ht="112.5" customHeight="1">
      <c r="A51" s="21">
        <f t="shared" si="1"/>
        <v>299</v>
      </c>
      <c r="B51" s="34" t="s">
        <v>160</v>
      </c>
      <c r="C51" s="23"/>
      <c r="D51" s="24"/>
      <c r="E51" s="25" t="s">
        <v>161</v>
      </c>
      <c r="F51" s="26" t="s">
        <v>162</v>
      </c>
      <c r="G51" s="27" t="s">
        <v>163</v>
      </c>
      <c r="H51" s="35">
        <f>DATE(2024,10,1)</f>
        <v>45566</v>
      </c>
      <c r="I51" s="29" t="s">
        <v>164</v>
      </c>
      <c r="J51" s="29" t="str">
        <f>IFERROR(__xludf.DUMMYFUNCTION("""COMPUTED_VALUE"""),"https://i.postimg.cc/Kv1x433L/Transforming-Class-Dark-Runner.png")</f>
        <v>https://i.postimg.cc/Kv1x433L/Transforming-Class-Dark-Runner.png</v>
      </c>
      <c r="K51" s="30" t="s">
        <v>160</v>
      </c>
      <c r="L51" s="30" t="str">
        <f>IFERROR(__xludf.DUMMYFUNCTION("""COMPUTED_VALUE"""),"4 Stars")</f>
        <v>4 Stars</v>
      </c>
      <c r="M51" s="31">
        <f>IFERROR(__xludf.DUMMYFUNCTION("""COMPUTED_VALUE"""),45566.0)</f>
        <v>45566</v>
      </c>
      <c r="N51" s="32"/>
    </row>
    <row r="52" ht="112.5" customHeight="1">
      <c r="A52" s="21">
        <f t="shared" si="1"/>
        <v>298</v>
      </c>
      <c r="B52" s="34" t="s">
        <v>5</v>
      </c>
      <c r="C52" s="23"/>
      <c r="D52" s="24"/>
      <c r="E52" s="25" t="s">
        <v>165</v>
      </c>
      <c r="F52" s="26" t="s">
        <v>21</v>
      </c>
      <c r="G52" s="27" t="s">
        <v>166</v>
      </c>
      <c r="H52" s="35">
        <f>DATE(2024,9,26)</f>
        <v>45561</v>
      </c>
      <c r="I52" s="29" t="s">
        <v>167</v>
      </c>
      <c r="J52" s="29" t="str">
        <f>IFERROR(__xludf.DUMMYFUNCTION("""COMPUTED_VALUE"""),"https://i.postimg.cc/qv4MdVVj/Dark-Defender.png")</f>
        <v>https://i.postimg.cc/qv4MdVVj/Dark-Defender.png</v>
      </c>
      <c r="K52" s="30" t="s">
        <v>5</v>
      </c>
      <c r="L52" s="30" t="str">
        <f>IFERROR(__xludf.DUMMYFUNCTION("""COMPUTED_VALUE"""),"4 Stars")</f>
        <v>4 Stars</v>
      </c>
      <c r="M52" s="31">
        <f>IFERROR(__xludf.DUMMYFUNCTION("""COMPUTED_VALUE"""),45561.0)</f>
        <v>45561</v>
      </c>
      <c r="N52" s="32"/>
    </row>
    <row r="53" ht="112.5" customHeight="1">
      <c r="A53" s="21">
        <f t="shared" si="1"/>
        <v>297</v>
      </c>
      <c r="B53" s="34" t="s">
        <v>43</v>
      </c>
      <c r="C53" s="23"/>
      <c r="D53" s="24"/>
      <c r="E53" s="25" t="s">
        <v>168</v>
      </c>
      <c r="F53" s="26" t="s">
        <v>21</v>
      </c>
      <c r="G53" s="27" t="s">
        <v>169</v>
      </c>
      <c r="H53" s="33"/>
      <c r="I53" s="29" t="s">
        <v>170</v>
      </c>
      <c r="J53" s="29" t="str">
        <f>IFERROR(__xludf.DUMMYFUNCTION("""COMPUTED_VALUE"""),"https://i.postimg.cc/QdmN84js/Dark-Attacker.png")</f>
        <v>https://i.postimg.cc/QdmN84js/Dark-Attacker.png</v>
      </c>
      <c r="K53" s="30" t="s">
        <v>43</v>
      </c>
      <c r="L53" s="30" t="str">
        <f>IFERROR(__xludf.DUMMYFUNCTION("""COMPUTED_VALUE"""),"4 Stars")</f>
        <v>4 Stars</v>
      </c>
      <c r="M53" s="31">
        <f>IFERROR(__xludf.DUMMYFUNCTION("""COMPUTED_VALUE"""),45561.0)</f>
        <v>45561</v>
      </c>
      <c r="N53" s="32"/>
    </row>
    <row r="54" ht="112.5" customHeight="1">
      <c r="A54" s="21">
        <f t="shared" si="1"/>
        <v>296</v>
      </c>
      <c r="B54" s="34" t="s">
        <v>62</v>
      </c>
      <c r="C54" s="23"/>
      <c r="D54" s="24"/>
      <c r="E54" s="25" t="s">
        <v>171</v>
      </c>
      <c r="F54" s="26" t="s">
        <v>16</v>
      </c>
      <c r="G54" s="27" t="s">
        <v>172</v>
      </c>
      <c r="H54" s="35">
        <f>DATE(2024,8,21)</f>
        <v>45525</v>
      </c>
      <c r="I54" s="29" t="s">
        <v>173</v>
      </c>
      <c r="J54" s="29" t="str">
        <f>IFERROR(__xludf.DUMMYFUNCTION("""COMPUTED_VALUE"""),"https://i.postimg.cc/02q9pRQP/Light-Runner.png")</f>
        <v>https://i.postimg.cc/02q9pRQP/Light-Runner.png</v>
      </c>
      <c r="K54" s="30" t="s">
        <v>62</v>
      </c>
      <c r="L54" s="30" t="str">
        <f>IFERROR(__xludf.DUMMYFUNCTION("""COMPUTED_VALUE"""),"4 Stars")</f>
        <v>4 Stars</v>
      </c>
      <c r="M54" s="31">
        <f>IFERROR(__xludf.DUMMYFUNCTION("""COMPUTED_VALUE"""),45525.0)</f>
        <v>45525</v>
      </c>
      <c r="N54" s="32"/>
    </row>
    <row r="55" ht="112.5" customHeight="1">
      <c r="A55" s="21">
        <f t="shared" si="1"/>
        <v>295</v>
      </c>
      <c r="B55" s="34" t="s">
        <v>86</v>
      </c>
      <c r="C55" s="23"/>
      <c r="D55" s="24"/>
      <c r="E55" s="25" t="s">
        <v>174</v>
      </c>
      <c r="F55" s="26" t="s">
        <v>21</v>
      </c>
      <c r="G55" s="27" t="s">
        <v>175</v>
      </c>
      <c r="H55" s="35">
        <f>DATE(2024,8,13)</f>
        <v>45517</v>
      </c>
      <c r="I55" s="29" t="s">
        <v>176</v>
      </c>
      <c r="J55" s="29" t="str">
        <f>IFERROR(__xludf.DUMMYFUNCTION("""COMPUTED_VALUE"""),"https://i.postimg.cc/qRhpGpyM/Green-Defender.png")</f>
        <v>https://i.postimg.cc/qRhpGpyM/Green-Defender.png</v>
      </c>
      <c r="K55" s="30" t="s">
        <v>86</v>
      </c>
      <c r="L55" s="30" t="str">
        <f>IFERROR(__xludf.DUMMYFUNCTION("""COMPUTED_VALUE"""),"4 Stars")</f>
        <v>4 Stars</v>
      </c>
      <c r="M55" s="31">
        <f>IFERROR(__xludf.DUMMYFUNCTION("""COMPUTED_VALUE"""),45517.0)</f>
        <v>45517</v>
      </c>
      <c r="N55" s="32"/>
    </row>
    <row r="56" ht="112.5" customHeight="1">
      <c r="A56" s="21">
        <f t="shared" si="1"/>
        <v>294</v>
      </c>
      <c r="B56" s="34" t="s">
        <v>28</v>
      </c>
      <c r="C56" s="23"/>
      <c r="D56" s="24"/>
      <c r="E56" s="25" t="s">
        <v>177</v>
      </c>
      <c r="F56" s="26" t="s">
        <v>21</v>
      </c>
      <c r="G56" s="27" t="s">
        <v>178</v>
      </c>
      <c r="H56" s="35">
        <f>DATE(2024,7,30)</f>
        <v>45503</v>
      </c>
      <c r="I56" s="29" t="s">
        <v>179</v>
      </c>
      <c r="J56" s="29" t="str">
        <f>IFERROR(__xludf.DUMMYFUNCTION("""COMPUTED_VALUE"""),"https://i.postimg.cc/0j7xLZVT/Light-Defender.png")</f>
        <v>https://i.postimg.cc/0j7xLZVT/Light-Defender.png</v>
      </c>
      <c r="K56" s="30" t="s">
        <v>28</v>
      </c>
      <c r="L56" s="30" t="str">
        <f>IFERROR(__xludf.DUMMYFUNCTION("""COMPUTED_VALUE"""),"4 Stars")</f>
        <v>4 Stars</v>
      </c>
      <c r="M56" s="31">
        <f>IFERROR(__xludf.DUMMYFUNCTION("""COMPUTED_VALUE"""),45503.0)</f>
        <v>45503</v>
      </c>
      <c r="N56" s="32"/>
    </row>
    <row r="57" ht="112.5" customHeight="1">
      <c r="A57" s="21">
        <f t="shared" si="1"/>
        <v>293</v>
      </c>
      <c r="B57" s="34" t="s">
        <v>180</v>
      </c>
      <c r="C57" s="23"/>
      <c r="D57" s="24"/>
      <c r="E57" s="25" t="s">
        <v>181</v>
      </c>
      <c r="F57" s="26" t="s">
        <v>16</v>
      </c>
      <c r="G57" s="27" t="s">
        <v>182</v>
      </c>
      <c r="H57" s="33"/>
      <c r="I57" s="29" t="s">
        <v>183</v>
      </c>
      <c r="J57" s="29" t="str">
        <f>IFERROR(__xludf.DUMMYFUNCTION("""COMPUTED_VALUE"""),"https://i.postimg.cc/bN48nY15/Transforming-Class-Blue-Runner.png")</f>
        <v>https://i.postimg.cc/bN48nY15/Transforming-Class-Blue-Runner.png</v>
      </c>
      <c r="K57" s="30" t="s">
        <v>180</v>
      </c>
      <c r="L57" s="30" t="str">
        <f>IFERROR(__xludf.DUMMYFUNCTION("""COMPUTED_VALUE"""),"4 Stars")</f>
        <v>4 Stars</v>
      </c>
      <c r="M57" s="31">
        <f>IFERROR(__xludf.DUMMYFUNCTION("""COMPUTED_VALUE"""),45503.0)</f>
        <v>45503</v>
      </c>
      <c r="N57" s="32"/>
    </row>
    <row r="58" ht="112.5" customHeight="1">
      <c r="A58" s="21">
        <f t="shared" si="1"/>
        <v>292</v>
      </c>
      <c r="B58" s="34" t="s">
        <v>104</v>
      </c>
      <c r="C58" s="23"/>
      <c r="D58" s="24"/>
      <c r="E58" s="25" t="s">
        <v>184</v>
      </c>
      <c r="F58" s="26" t="s">
        <v>21</v>
      </c>
      <c r="G58" s="27" t="s">
        <v>185</v>
      </c>
      <c r="H58" s="35">
        <f>DATE(2024,6,27)</f>
        <v>45470</v>
      </c>
      <c r="I58" s="29" t="s">
        <v>186</v>
      </c>
      <c r="J58" s="29" t="str">
        <f>IFERROR(__xludf.DUMMYFUNCTION("""COMPUTED_VALUE"""),"https://i.postimg.cc/0NH8mz6B/Green-Attacker.png")</f>
        <v>https://i.postimg.cc/0NH8mz6B/Green-Attacker.png</v>
      </c>
      <c r="K58" s="30" t="s">
        <v>104</v>
      </c>
      <c r="L58" s="30" t="str">
        <f>IFERROR(__xludf.DUMMYFUNCTION("""COMPUTED_VALUE"""),"4 Stars")</f>
        <v>4 Stars</v>
      </c>
      <c r="M58" s="31">
        <f>IFERROR(__xludf.DUMMYFUNCTION("""COMPUTED_VALUE"""),45470.0)</f>
        <v>45470</v>
      </c>
      <c r="N58" s="32"/>
    </row>
    <row r="59" ht="112.5" customHeight="1">
      <c r="A59" s="21">
        <f t="shared" si="1"/>
        <v>291</v>
      </c>
      <c r="B59" s="34" t="s">
        <v>114</v>
      </c>
      <c r="C59" s="23"/>
      <c r="D59" s="24"/>
      <c r="E59" s="25" t="s">
        <v>187</v>
      </c>
      <c r="F59" s="26" t="s">
        <v>21</v>
      </c>
      <c r="G59" s="27" t="s">
        <v>188</v>
      </c>
      <c r="H59" s="33"/>
      <c r="I59" s="29" t="s">
        <v>189</v>
      </c>
      <c r="J59" s="29" t="str">
        <f>IFERROR(__xludf.DUMMYFUNCTION("""COMPUTED_VALUE"""),"https://i.postimg.cc/4NzNM4MY/Blue-Runner.png")</f>
        <v>https://i.postimg.cc/4NzNM4MY/Blue-Runner.png</v>
      </c>
      <c r="K59" s="30" t="s">
        <v>114</v>
      </c>
      <c r="L59" s="30" t="str">
        <f>IFERROR(__xludf.DUMMYFUNCTION("""COMPUTED_VALUE"""),"4 Stars")</f>
        <v>4 Stars</v>
      </c>
      <c r="M59" s="31">
        <f>IFERROR(__xludf.DUMMYFUNCTION("""COMPUTED_VALUE"""),45470.0)</f>
        <v>45470</v>
      </c>
      <c r="N59" s="32"/>
    </row>
    <row r="60" ht="112.5" customHeight="1">
      <c r="A60" s="21">
        <f t="shared" si="1"/>
        <v>290</v>
      </c>
      <c r="B60" s="34" t="s">
        <v>35</v>
      </c>
      <c r="C60" s="23"/>
      <c r="D60" s="24"/>
      <c r="E60" s="25" t="s">
        <v>190</v>
      </c>
      <c r="F60" s="26" t="s">
        <v>21</v>
      </c>
      <c r="G60" s="27" t="s">
        <v>156</v>
      </c>
      <c r="H60" s="35">
        <f>DATE(2024,5,28)</f>
        <v>45440</v>
      </c>
      <c r="I60" s="29" t="s">
        <v>191</v>
      </c>
      <c r="J60" s="29" t="str">
        <f>IFERROR(__xludf.DUMMYFUNCTION("""COMPUTED_VALUE"""),"https://i.postimg.cc/L6B2DCYf/Red-Attacker.png")</f>
        <v>https://i.postimg.cc/L6B2DCYf/Red-Attacker.png</v>
      </c>
      <c r="K60" s="30" t="s">
        <v>35</v>
      </c>
      <c r="L60" s="30" t="str">
        <f>IFERROR(__xludf.DUMMYFUNCTION("""COMPUTED_VALUE"""),"4 Stars")</f>
        <v>4 Stars</v>
      </c>
      <c r="M60" s="31">
        <f>IFERROR(__xludf.DUMMYFUNCTION("""COMPUTED_VALUE"""),45440.0)</f>
        <v>45440</v>
      </c>
      <c r="N60" s="32"/>
    </row>
    <row r="61" ht="112.5" customHeight="1">
      <c r="A61" s="21">
        <f t="shared" si="1"/>
        <v>289</v>
      </c>
      <c r="B61" s="34" t="s">
        <v>62</v>
      </c>
      <c r="C61" s="23"/>
      <c r="D61" s="24"/>
      <c r="E61" s="25" t="s">
        <v>192</v>
      </c>
      <c r="F61" s="26" t="s">
        <v>21</v>
      </c>
      <c r="G61" s="27" t="s">
        <v>193</v>
      </c>
      <c r="H61" s="33"/>
      <c r="I61" s="29" t="s">
        <v>194</v>
      </c>
      <c r="J61" s="29" t="str">
        <f>IFERROR(__xludf.DUMMYFUNCTION("""COMPUTED_VALUE"""),"https://i.postimg.cc/02q9pRQP/Light-Runner.png")</f>
        <v>https://i.postimg.cc/02q9pRQP/Light-Runner.png</v>
      </c>
      <c r="K61" s="30" t="s">
        <v>62</v>
      </c>
      <c r="L61" s="30" t="str">
        <f>IFERROR(__xludf.DUMMYFUNCTION("""COMPUTED_VALUE"""),"4 Stars")</f>
        <v>4 Stars</v>
      </c>
      <c r="M61" s="31">
        <f>IFERROR(__xludf.DUMMYFUNCTION("""COMPUTED_VALUE"""),45440.0)</f>
        <v>45440</v>
      </c>
      <c r="N61" s="32"/>
    </row>
    <row r="62" ht="112.5" customHeight="1">
      <c r="A62" s="21">
        <f t="shared" si="1"/>
        <v>288</v>
      </c>
      <c r="B62" s="34" t="s">
        <v>140</v>
      </c>
      <c r="C62" s="23"/>
      <c r="D62" s="24"/>
      <c r="E62" s="25" t="s">
        <v>195</v>
      </c>
      <c r="F62" s="26" t="s">
        <v>16</v>
      </c>
      <c r="G62" s="27" t="s">
        <v>196</v>
      </c>
      <c r="H62" s="36">
        <f>DATE(2024,5,21)</f>
        <v>45433</v>
      </c>
      <c r="I62" s="29" t="s">
        <v>197</v>
      </c>
      <c r="J62" s="29" t="str">
        <f>IFERROR(__xludf.DUMMYFUNCTION("""COMPUTED_VALUE"""),"https://i.postimg.cc/m2xg81dx/Blue-Defender.png")</f>
        <v>https://i.postimg.cc/m2xg81dx/Blue-Defender.png</v>
      </c>
      <c r="K62" s="30" t="s">
        <v>140</v>
      </c>
      <c r="L62" s="30" t="str">
        <f>IFERROR(__xludf.DUMMYFUNCTION("""COMPUTED_VALUE"""),"4 Stars")</f>
        <v>4 Stars</v>
      </c>
      <c r="M62" s="31">
        <f>IFERROR(__xludf.DUMMYFUNCTION("""COMPUTED_VALUE"""),45433.0)</f>
        <v>45433</v>
      </c>
      <c r="N62" s="32"/>
    </row>
    <row r="63" ht="112.5" customHeight="1">
      <c r="A63" s="21">
        <f t="shared" si="1"/>
        <v>287</v>
      </c>
      <c r="B63" s="34" t="s">
        <v>24</v>
      </c>
      <c r="C63" s="23"/>
      <c r="D63" s="24"/>
      <c r="E63" s="25" t="s">
        <v>198</v>
      </c>
      <c r="F63" s="26" t="s">
        <v>21</v>
      </c>
      <c r="G63" s="27" t="s">
        <v>64</v>
      </c>
      <c r="H63" s="36">
        <f>DATE(2024,5,5)</f>
        <v>45417</v>
      </c>
      <c r="I63" s="29" t="s">
        <v>199</v>
      </c>
      <c r="J63" s="29" t="str">
        <f>IFERROR(__xludf.DUMMYFUNCTION("""COMPUTED_VALUE"""),"https://i.postimg.cc/Hk6HDrtk/Red-Runner.png")</f>
        <v>https://i.postimg.cc/Hk6HDrtk/Red-Runner.png</v>
      </c>
      <c r="K63" s="30" t="s">
        <v>24</v>
      </c>
      <c r="L63" s="30" t="str">
        <f>IFERROR(__xludf.DUMMYFUNCTION("""COMPUTED_VALUE"""),"4 Stars")</f>
        <v>4 Stars</v>
      </c>
      <c r="M63" s="31">
        <f>IFERROR(__xludf.DUMMYFUNCTION("""COMPUTED_VALUE"""),45417.0)</f>
        <v>45417</v>
      </c>
      <c r="N63" s="32"/>
    </row>
    <row r="64" ht="112.5" customHeight="1">
      <c r="A64" s="21">
        <f t="shared" si="1"/>
        <v>286</v>
      </c>
      <c r="B64" s="34" t="s">
        <v>43</v>
      </c>
      <c r="C64" s="23"/>
      <c r="D64" s="24"/>
      <c r="E64" s="25" t="s">
        <v>200</v>
      </c>
      <c r="F64" s="26" t="s">
        <v>21</v>
      </c>
      <c r="G64" s="27" t="s">
        <v>135</v>
      </c>
      <c r="H64" s="35">
        <f>DATE(2024,4,23)</f>
        <v>45405</v>
      </c>
      <c r="I64" s="29" t="s">
        <v>201</v>
      </c>
      <c r="J64" s="29" t="str">
        <f>IFERROR(__xludf.DUMMYFUNCTION("""COMPUTED_VALUE"""),"https://i.postimg.cc/QdmN84js/Dark-Attacker.png")</f>
        <v>https://i.postimg.cc/QdmN84js/Dark-Attacker.png</v>
      </c>
      <c r="K64" s="30" t="s">
        <v>43</v>
      </c>
      <c r="L64" s="30" t="str">
        <f>IFERROR(__xludf.DUMMYFUNCTION("""COMPUTED_VALUE"""),"4 Stars")</f>
        <v>4 Stars</v>
      </c>
      <c r="M64" s="31">
        <f>IFERROR(__xludf.DUMMYFUNCTION("""COMPUTED_VALUE"""),45405.0)</f>
        <v>45405</v>
      </c>
      <c r="N64" s="32"/>
    </row>
    <row r="65" ht="112.5" customHeight="1">
      <c r="A65" s="21">
        <f t="shared" si="1"/>
        <v>285</v>
      </c>
      <c r="B65" s="34" t="s">
        <v>75</v>
      </c>
      <c r="C65" s="23"/>
      <c r="D65" s="24"/>
      <c r="E65" s="25" t="s">
        <v>202</v>
      </c>
      <c r="F65" s="26" t="s">
        <v>21</v>
      </c>
      <c r="G65" s="27" t="s">
        <v>203</v>
      </c>
      <c r="H65" s="37"/>
      <c r="I65" s="29" t="s">
        <v>204</v>
      </c>
      <c r="J65" s="29" t="str">
        <f>IFERROR(__xludf.DUMMYFUNCTION("""COMPUTED_VALUE"""),"https://i.postimg.cc/P5XhRWY7/Red-Defender.png")</f>
        <v>https://i.postimg.cc/P5XhRWY7/Red-Defender.png</v>
      </c>
      <c r="K65" s="30" t="s">
        <v>75</v>
      </c>
      <c r="L65" s="30" t="str">
        <f>IFERROR(__xludf.DUMMYFUNCTION("""COMPUTED_VALUE"""),"4 Stars")</f>
        <v>4 Stars</v>
      </c>
      <c r="M65" s="31">
        <f>IFERROR(__xludf.DUMMYFUNCTION("""COMPUTED_VALUE"""),45405.0)</f>
        <v>45405</v>
      </c>
      <c r="N65" s="32"/>
    </row>
    <row r="66" ht="112.5" customHeight="1">
      <c r="A66" s="21">
        <f t="shared" si="1"/>
        <v>284</v>
      </c>
      <c r="B66" s="34" t="s">
        <v>28</v>
      </c>
      <c r="C66" s="23"/>
      <c r="D66" s="24"/>
      <c r="E66" s="25" t="s">
        <v>205</v>
      </c>
      <c r="F66" s="26" t="s">
        <v>206</v>
      </c>
      <c r="G66" s="27" t="s">
        <v>207</v>
      </c>
      <c r="H66" s="36">
        <f>DATE(2024,4,1)</f>
        <v>45383</v>
      </c>
      <c r="I66" s="29" t="s">
        <v>208</v>
      </c>
      <c r="J66" s="29" t="str">
        <f>IFERROR(__xludf.DUMMYFUNCTION("""COMPUTED_VALUE"""),"https://i.postimg.cc/0j7xLZVT/Light-Defender.png")</f>
        <v>https://i.postimg.cc/0j7xLZVT/Light-Defender.png</v>
      </c>
      <c r="K66" s="30" t="s">
        <v>28</v>
      </c>
      <c r="L66" s="30" t="str">
        <f>IFERROR(__xludf.DUMMYFUNCTION("""COMPUTED_VALUE"""),"3 Stars")</f>
        <v>3 Stars</v>
      </c>
      <c r="M66" s="31">
        <f>IFERROR(__xludf.DUMMYFUNCTION("""COMPUTED_VALUE"""),45383.0)</f>
        <v>45383</v>
      </c>
      <c r="N66" s="32"/>
    </row>
    <row r="67" ht="112.5" customHeight="1">
      <c r="A67" s="21">
        <f t="shared" si="1"/>
        <v>283</v>
      </c>
      <c r="B67" s="34" t="s">
        <v>140</v>
      </c>
      <c r="C67" s="23"/>
      <c r="D67" s="24"/>
      <c r="E67" s="25" t="s">
        <v>209</v>
      </c>
      <c r="F67" s="26" t="s">
        <v>21</v>
      </c>
      <c r="G67" s="27" t="s">
        <v>210</v>
      </c>
      <c r="H67" s="35">
        <f>DATE(2024,3,28)</f>
        <v>45379</v>
      </c>
      <c r="I67" s="29" t="s">
        <v>211</v>
      </c>
      <c r="J67" s="29" t="str">
        <f>IFERROR(__xludf.DUMMYFUNCTION("""COMPUTED_VALUE"""),"https://i.postimg.cc/m2xg81dx/Blue-Defender.png")</f>
        <v>https://i.postimg.cc/m2xg81dx/Blue-Defender.png</v>
      </c>
      <c r="K67" s="30" t="s">
        <v>140</v>
      </c>
      <c r="L67" s="30" t="str">
        <f>IFERROR(__xludf.DUMMYFUNCTION("""COMPUTED_VALUE"""),"4 Stars")</f>
        <v>4 Stars</v>
      </c>
      <c r="M67" s="31">
        <f>IFERROR(__xludf.DUMMYFUNCTION("""COMPUTED_VALUE"""),45379.0)</f>
        <v>45379</v>
      </c>
      <c r="N67" s="32"/>
    </row>
    <row r="68" ht="112.5" customHeight="1">
      <c r="A68" s="21">
        <f t="shared" si="1"/>
        <v>282</v>
      </c>
      <c r="B68" s="34" t="s">
        <v>212</v>
      </c>
      <c r="C68" s="23"/>
      <c r="D68" s="24"/>
      <c r="E68" s="25" t="s">
        <v>213</v>
      </c>
      <c r="F68" s="26" t="s">
        <v>21</v>
      </c>
      <c r="G68" s="27" t="s">
        <v>214</v>
      </c>
      <c r="H68" s="37"/>
      <c r="I68" s="29" t="s">
        <v>215</v>
      </c>
      <c r="J68" s="29" t="str">
        <f>IFERROR(__xludf.DUMMYFUNCTION("""COMPUTED_VALUE"""),"https://i.postimg.cc/1zRtDxvf/Blue-Attacker.png")</f>
        <v>https://i.postimg.cc/1zRtDxvf/Blue-Attacker.png</v>
      </c>
      <c r="K68" s="30" t="s">
        <v>212</v>
      </c>
      <c r="L68" s="30" t="str">
        <f>IFERROR(__xludf.DUMMYFUNCTION("""COMPUTED_VALUE"""),"4 Stars")</f>
        <v>4 Stars</v>
      </c>
      <c r="M68" s="31">
        <f>IFERROR(__xludf.DUMMYFUNCTION("""COMPUTED_VALUE"""),45379.0)</f>
        <v>45379</v>
      </c>
      <c r="N68" s="32"/>
    </row>
    <row r="69" ht="112.5" customHeight="1">
      <c r="A69" s="21">
        <f t="shared" si="1"/>
        <v>281</v>
      </c>
      <c r="B69" s="34" t="s">
        <v>5</v>
      </c>
      <c r="C69" s="23"/>
      <c r="D69" s="24"/>
      <c r="E69" s="25" t="s">
        <v>216</v>
      </c>
      <c r="F69" s="26" t="s">
        <v>7</v>
      </c>
      <c r="G69" s="27" t="s">
        <v>210</v>
      </c>
      <c r="H69" s="36">
        <f>DATE(2024,3,5)</f>
        <v>45356</v>
      </c>
      <c r="I69" s="29" t="s">
        <v>217</v>
      </c>
      <c r="J69" s="29" t="str">
        <f>IFERROR(__xludf.DUMMYFUNCTION("""COMPUTED_VALUE"""),"https://i.postimg.cc/qv4MdVVj/Dark-Defender.png")</f>
        <v>https://i.postimg.cc/qv4MdVVj/Dark-Defender.png</v>
      </c>
      <c r="K69" s="30" t="s">
        <v>5</v>
      </c>
      <c r="L69" s="30" t="str">
        <f>IFERROR(__xludf.DUMMYFUNCTION("""COMPUTED_VALUE"""),"4 Stars")</f>
        <v>4 Stars</v>
      </c>
      <c r="M69" s="31">
        <f>IFERROR(__xludf.DUMMYFUNCTION("""COMPUTED_VALUE"""),45356.0)</f>
        <v>45356</v>
      </c>
      <c r="N69" s="32"/>
    </row>
    <row r="70" ht="112.5" customHeight="1">
      <c r="A70" s="21">
        <f t="shared" si="1"/>
        <v>280</v>
      </c>
      <c r="B70" s="34" t="s">
        <v>5</v>
      </c>
      <c r="C70" s="23"/>
      <c r="D70" s="24"/>
      <c r="E70" s="25" t="s">
        <v>218</v>
      </c>
      <c r="F70" s="26" t="s">
        <v>21</v>
      </c>
      <c r="G70" s="27" t="s">
        <v>219</v>
      </c>
      <c r="H70" s="35">
        <f>DATE(2024,2,14)</f>
        <v>45336</v>
      </c>
      <c r="I70" s="29" t="s">
        <v>220</v>
      </c>
      <c r="J70" s="29" t="str">
        <f>IFERROR(__xludf.DUMMYFUNCTION("""COMPUTED_VALUE"""),"https://i.postimg.cc/qv4MdVVj/Dark-Defender.png")</f>
        <v>https://i.postimg.cc/qv4MdVVj/Dark-Defender.png</v>
      </c>
      <c r="K70" s="30" t="s">
        <v>5</v>
      </c>
      <c r="L70" s="30" t="str">
        <f>IFERROR(__xludf.DUMMYFUNCTION("""COMPUTED_VALUE"""),"4 Stars")</f>
        <v>4 Stars</v>
      </c>
      <c r="M70" s="31">
        <f>IFERROR(__xludf.DUMMYFUNCTION("""COMPUTED_VALUE"""),45336.0)</f>
        <v>45336</v>
      </c>
      <c r="N70" s="32"/>
    </row>
    <row r="71" ht="112.5" customHeight="1">
      <c r="A71" s="21">
        <f t="shared" si="1"/>
        <v>279</v>
      </c>
      <c r="B71" s="34" t="s">
        <v>39</v>
      </c>
      <c r="C71" s="23"/>
      <c r="D71" s="24"/>
      <c r="E71" s="25" t="s">
        <v>221</v>
      </c>
      <c r="F71" s="26" t="s">
        <v>16</v>
      </c>
      <c r="G71" s="27" t="s">
        <v>222</v>
      </c>
      <c r="H71" s="37"/>
      <c r="I71" s="29" t="s">
        <v>223</v>
      </c>
      <c r="J71" s="29" t="str">
        <f>IFERROR(__xludf.DUMMYFUNCTION("""COMPUTED_VALUE"""),"https://i.postimg.cc/rppVK1p4/Dark-Runner.png")</f>
        <v>https://i.postimg.cc/rppVK1p4/Dark-Runner.png</v>
      </c>
      <c r="K71" s="30" t="s">
        <v>39</v>
      </c>
      <c r="L71" s="30" t="str">
        <f>IFERROR(__xludf.DUMMYFUNCTION("""COMPUTED_VALUE"""),"4 Stars")</f>
        <v>4 Stars</v>
      </c>
      <c r="M71" s="31">
        <f>IFERROR(__xludf.DUMMYFUNCTION("""COMPUTED_VALUE"""),45336.0)</f>
        <v>45336</v>
      </c>
      <c r="N71" s="32"/>
    </row>
    <row r="72" ht="112.5" customHeight="1">
      <c r="A72" s="21">
        <f t="shared" si="1"/>
        <v>278</v>
      </c>
      <c r="B72" s="34" t="s">
        <v>93</v>
      </c>
      <c r="C72" s="23"/>
      <c r="D72" s="24"/>
      <c r="E72" s="25" t="s">
        <v>224</v>
      </c>
      <c r="F72" s="26" t="s">
        <v>7</v>
      </c>
      <c r="G72" s="27" t="s">
        <v>225</v>
      </c>
      <c r="H72" s="36">
        <f>DATE(2024,2,7)</f>
        <v>45329</v>
      </c>
      <c r="I72" s="29" t="s">
        <v>226</v>
      </c>
      <c r="J72" s="29" t="str">
        <f>IFERROR(__xludf.DUMMYFUNCTION("""COMPUTED_VALUE"""),"https://i.postimg.cc/NGXg9fQd/Light-Attacker.png")</f>
        <v>https://i.postimg.cc/NGXg9fQd/Light-Attacker.png</v>
      </c>
      <c r="K72" s="30" t="s">
        <v>93</v>
      </c>
      <c r="L72" s="30" t="str">
        <f>IFERROR(__xludf.DUMMYFUNCTION("""COMPUTED_VALUE"""),"4 Stars")</f>
        <v>4 Stars</v>
      </c>
      <c r="M72" s="31">
        <f>IFERROR(__xludf.DUMMYFUNCTION("""COMPUTED_VALUE"""),45329.0)</f>
        <v>45329</v>
      </c>
      <c r="N72" s="32"/>
    </row>
    <row r="73" ht="112.5" customHeight="1">
      <c r="A73" s="21">
        <f t="shared" si="1"/>
        <v>277</v>
      </c>
      <c r="B73" s="34" t="s">
        <v>93</v>
      </c>
      <c r="C73" s="23"/>
      <c r="D73" s="24"/>
      <c r="E73" s="25" t="s">
        <v>227</v>
      </c>
      <c r="F73" s="26" t="s">
        <v>21</v>
      </c>
      <c r="G73" s="27" t="s">
        <v>228</v>
      </c>
      <c r="H73" s="36">
        <f>DATE(2024,1,31)</f>
        <v>45322</v>
      </c>
      <c r="I73" s="29" t="s">
        <v>229</v>
      </c>
      <c r="J73" s="29" t="str">
        <f>IFERROR(__xludf.DUMMYFUNCTION("""COMPUTED_VALUE"""),"https://i.postimg.cc/NGXg9fQd/Light-Attacker.png")</f>
        <v>https://i.postimg.cc/NGXg9fQd/Light-Attacker.png</v>
      </c>
      <c r="K73" s="30" t="s">
        <v>93</v>
      </c>
      <c r="L73" s="30" t="str">
        <f>IFERROR(__xludf.DUMMYFUNCTION("""COMPUTED_VALUE"""),"4 Stars")</f>
        <v>4 Stars</v>
      </c>
      <c r="M73" s="31">
        <f>IFERROR(__xludf.DUMMYFUNCTION("""COMPUTED_VALUE"""),45322.0)</f>
        <v>45322</v>
      </c>
      <c r="N73" s="32"/>
    </row>
    <row r="74" ht="112.5" customHeight="1">
      <c r="A74" s="21">
        <f t="shared" si="1"/>
        <v>276</v>
      </c>
      <c r="B74" s="34" t="s">
        <v>28</v>
      </c>
      <c r="C74" s="23"/>
      <c r="D74" s="24"/>
      <c r="E74" s="25" t="s">
        <v>230</v>
      </c>
      <c r="F74" s="26" t="s">
        <v>16</v>
      </c>
      <c r="G74" s="27" t="s">
        <v>231</v>
      </c>
      <c r="H74" s="36">
        <f>DATE(2024,1,24)</f>
        <v>45315</v>
      </c>
      <c r="I74" s="29" t="s">
        <v>232</v>
      </c>
      <c r="J74" s="29" t="str">
        <f>IFERROR(__xludf.DUMMYFUNCTION("""COMPUTED_VALUE"""),"https://i.postimg.cc/0j7xLZVT/Light-Defender.png")</f>
        <v>https://i.postimg.cc/0j7xLZVT/Light-Defender.png</v>
      </c>
      <c r="K74" s="30" t="s">
        <v>28</v>
      </c>
      <c r="L74" s="30" t="str">
        <f>IFERROR(__xludf.DUMMYFUNCTION("""COMPUTED_VALUE"""),"4 Stars")</f>
        <v>4 Stars</v>
      </c>
      <c r="M74" s="31">
        <f>IFERROR(__xludf.DUMMYFUNCTION("""COMPUTED_VALUE"""),45315.0)</f>
        <v>45315</v>
      </c>
      <c r="N74" s="32"/>
    </row>
    <row r="75" ht="112.5" customHeight="1">
      <c r="A75" s="21">
        <f t="shared" si="1"/>
        <v>275</v>
      </c>
      <c r="B75" s="34" t="s">
        <v>35</v>
      </c>
      <c r="C75" s="23"/>
      <c r="D75" s="24"/>
      <c r="E75" s="25" t="s">
        <v>233</v>
      </c>
      <c r="F75" s="26" t="s">
        <v>16</v>
      </c>
      <c r="G75" s="27" t="s">
        <v>234</v>
      </c>
      <c r="H75" s="36">
        <f>DATE(2024,1,1)</f>
        <v>45292</v>
      </c>
      <c r="I75" s="29" t="s">
        <v>235</v>
      </c>
      <c r="J75" s="29" t="str">
        <f>IFERROR(__xludf.DUMMYFUNCTION("""COMPUTED_VALUE"""),"https://i.postimg.cc/L6B2DCYf/Red-Attacker.png")</f>
        <v>https://i.postimg.cc/L6B2DCYf/Red-Attacker.png</v>
      </c>
      <c r="K75" s="30" t="s">
        <v>35</v>
      </c>
      <c r="L75" s="30" t="str">
        <f>IFERROR(__xludf.DUMMYFUNCTION("""COMPUTED_VALUE"""),"4 Stars")</f>
        <v>4 Stars</v>
      </c>
      <c r="M75" s="31">
        <f>IFERROR(__xludf.DUMMYFUNCTION("""COMPUTED_VALUE"""),45292.0)</f>
        <v>45292</v>
      </c>
      <c r="N75" s="32"/>
    </row>
    <row r="76" ht="112.5" customHeight="1">
      <c r="A76" s="21">
        <f t="shared" si="1"/>
        <v>274</v>
      </c>
      <c r="B76" s="34" t="s">
        <v>75</v>
      </c>
      <c r="C76" s="23"/>
      <c r="D76" s="24"/>
      <c r="E76" s="25" t="s">
        <v>236</v>
      </c>
      <c r="F76" s="26" t="s">
        <v>21</v>
      </c>
      <c r="G76" s="27" t="s">
        <v>237</v>
      </c>
      <c r="H76" s="35">
        <f>DATE(2023,12,20)</f>
        <v>45280</v>
      </c>
      <c r="I76" s="29" t="s">
        <v>238</v>
      </c>
      <c r="J76" s="29" t="str">
        <f>IFERROR(__xludf.DUMMYFUNCTION("""COMPUTED_VALUE"""),"https://i.postimg.cc/P5XhRWY7/Red-Defender.png")</f>
        <v>https://i.postimg.cc/P5XhRWY7/Red-Defender.png</v>
      </c>
      <c r="K76" s="30" t="s">
        <v>75</v>
      </c>
      <c r="L76" s="30" t="str">
        <f>IFERROR(__xludf.DUMMYFUNCTION("""COMPUTED_VALUE"""),"4 Stars")</f>
        <v>4 Stars</v>
      </c>
      <c r="M76" s="31">
        <f>IFERROR(__xludf.DUMMYFUNCTION("""COMPUTED_VALUE"""),45280.0)</f>
        <v>45280</v>
      </c>
      <c r="N76" s="32"/>
    </row>
    <row r="77" ht="112.5" customHeight="1">
      <c r="A77" s="21">
        <f t="shared" si="1"/>
        <v>273</v>
      </c>
      <c r="B77" s="34" t="s">
        <v>10</v>
      </c>
      <c r="C77" s="23"/>
      <c r="D77" s="24"/>
      <c r="E77" s="25" t="s">
        <v>239</v>
      </c>
      <c r="F77" s="26" t="s">
        <v>21</v>
      </c>
      <c r="G77" s="27" t="s">
        <v>240</v>
      </c>
      <c r="H77" s="37"/>
      <c r="I77" s="29" t="s">
        <v>241</v>
      </c>
      <c r="J77" s="29" t="str">
        <f>IFERROR(__xludf.DUMMYFUNCTION("""COMPUTED_VALUE"""),"https://i.postimg.cc/PxgT30Qb/Green-Runner.png")</f>
        <v>https://i.postimg.cc/PxgT30Qb/Green-Runner.png</v>
      </c>
      <c r="K77" s="30" t="s">
        <v>10</v>
      </c>
      <c r="L77" s="30" t="str">
        <f>IFERROR(__xludf.DUMMYFUNCTION("""COMPUTED_VALUE"""),"4 Stars")</f>
        <v>4 Stars</v>
      </c>
      <c r="M77" s="31">
        <f>IFERROR(__xludf.DUMMYFUNCTION("""COMPUTED_VALUE"""),45280.0)</f>
        <v>45280</v>
      </c>
      <c r="N77" s="32"/>
    </row>
    <row r="78" ht="112.5" customHeight="1">
      <c r="A78" s="21">
        <f t="shared" si="1"/>
        <v>272</v>
      </c>
      <c r="B78" s="34" t="s">
        <v>114</v>
      </c>
      <c r="C78" s="23"/>
      <c r="D78" s="24"/>
      <c r="E78" s="25" t="s">
        <v>242</v>
      </c>
      <c r="F78" s="26" t="s">
        <v>7</v>
      </c>
      <c r="G78" s="27" t="s">
        <v>163</v>
      </c>
      <c r="H78" s="36">
        <f>DATE(2023,12,12)</f>
        <v>45272</v>
      </c>
      <c r="I78" s="29" t="s">
        <v>243</v>
      </c>
      <c r="J78" s="29" t="str">
        <f>IFERROR(__xludf.DUMMYFUNCTION("""COMPUTED_VALUE"""),"https://i.postimg.cc/4NzNM4MY/Blue-Runner.png")</f>
        <v>https://i.postimg.cc/4NzNM4MY/Blue-Runner.png</v>
      </c>
      <c r="K78" s="30" t="s">
        <v>114</v>
      </c>
      <c r="L78" s="30" t="str">
        <f>IFERROR(__xludf.DUMMYFUNCTION("""COMPUTED_VALUE"""),"4 Stars")</f>
        <v>4 Stars</v>
      </c>
      <c r="M78" s="31">
        <f>IFERROR(__xludf.DUMMYFUNCTION("""COMPUTED_VALUE"""),45272.0)</f>
        <v>45272</v>
      </c>
      <c r="N78" s="32"/>
    </row>
    <row r="79" ht="112.5" customHeight="1">
      <c r="A79" s="21">
        <f t="shared" si="1"/>
        <v>271</v>
      </c>
      <c r="B79" s="34" t="s">
        <v>24</v>
      </c>
      <c r="C79" s="23"/>
      <c r="D79" s="24"/>
      <c r="E79" s="25" t="s">
        <v>244</v>
      </c>
      <c r="F79" s="26" t="s">
        <v>21</v>
      </c>
      <c r="G79" s="27" t="s">
        <v>70</v>
      </c>
      <c r="H79" s="35">
        <f>DATE(2023,11,28)</f>
        <v>45258</v>
      </c>
      <c r="I79" s="29" t="s">
        <v>245</v>
      </c>
      <c r="J79" s="29" t="str">
        <f>IFERROR(__xludf.DUMMYFUNCTION("""COMPUTED_VALUE"""),"https://i.postimg.cc/Hk6HDrtk/Red-Runner.png")</f>
        <v>https://i.postimg.cc/Hk6HDrtk/Red-Runner.png</v>
      </c>
      <c r="K79" s="30" t="s">
        <v>24</v>
      </c>
      <c r="L79" s="30" t="str">
        <f>IFERROR(__xludf.DUMMYFUNCTION("""COMPUTED_VALUE"""),"4 Stars")</f>
        <v>4 Stars</v>
      </c>
      <c r="M79" s="31">
        <f>IFERROR(__xludf.DUMMYFUNCTION("""COMPUTED_VALUE"""),45258.0)</f>
        <v>45258</v>
      </c>
      <c r="N79" s="32"/>
    </row>
    <row r="80" ht="112.5" customHeight="1">
      <c r="A80" s="21">
        <f t="shared" si="1"/>
        <v>270</v>
      </c>
      <c r="B80" s="34" t="s">
        <v>104</v>
      </c>
      <c r="C80" s="23"/>
      <c r="D80" s="24"/>
      <c r="E80" s="25" t="s">
        <v>246</v>
      </c>
      <c r="F80" s="26" t="s">
        <v>21</v>
      </c>
      <c r="G80" s="27" t="s">
        <v>56</v>
      </c>
      <c r="H80" s="37"/>
      <c r="I80" s="29" t="s">
        <v>247</v>
      </c>
      <c r="J80" s="29" t="str">
        <f>IFERROR(__xludf.DUMMYFUNCTION("""COMPUTED_VALUE"""),"https://i.postimg.cc/0NH8mz6B/Green-Attacker.png")</f>
        <v>https://i.postimg.cc/0NH8mz6B/Green-Attacker.png</v>
      </c>
      <c r="K80" s="30" t="s">
        <v>104</v>
      </c>
      <c r="L80" s="30" t="str">
        <f>IFERROR(__xludf.DUMMYFUNCTION("""COMPUTED_VALUE"""),"4 Stars")</f>
        <v>4 Stars</v>
      </c>
      <c r="M80" s="31">
        <f>IFERROR(__xludf.DUMMYFUNCTION("""COMPUTED_VALUE"""),45258.0)</f>
        <v>45258</v>
      </c>
      <c r="N80" s="32"/>
    </row>
    <row r="81" ht="112.5" customHeight="1">
      <c r="A81" s="21">
        <f t="shared" si="1"/>
        <v>269</v>
      </c>
      <c r="B81" s="34" t="s">
        <v>86</v>
      </c>
      <c r="C81" s="23"/>
      <c r="D81" s="24"/>
      <c r="E81" s="25" t="s">
        <v>248</v>
      </c>
      <c r="F81" s="26" t="s">
        <v>7</v>
      </c>
      <c r="G81" s="27" t="s">
        <v>249</v>
      </c>
      <c r="H81" s="36">
        <f>DATE(2023,11,14)</f>
        <v>45244</v>
      </c>
      <c r="I81" s="29" t="s">
        <v>250</v>
      </c>
      <c r="J81" s="29" t="str">
        <f>IFERROR(__xludf.DUMMYFUNCTION("""COMPUTED_VALUE"""),"https://i.postimg.cc/qRhpGpyM/Green-Defender.png")</f>
        <v>https://i.postimg.cc/qRhpGpyM/Green-Defender.png</v>
      </c>
      <c r="K81" s="30" t="s">
        <v>86</v>
      </c>
      <c r="L81" s="30" t="str">
        <f>IFERROR(__xludf.DUMMYFUNCTION("""COMPUTED_VALUE"""),"4 Stars")</f>
        <v>4 Stars</v>
      </c>
      <c r="M81" s="31">
        <f>IFERROR(__xludf.DUMMYFUNCTION("""COMPUTED_VALUE"""),45244.0)</f>
        <v>45244</v>
      </c>
      <c r="N81" s="32"/>
    </row>
    <row r="82" ht="112.5" customHeight="1">
      <c r="A82" s="21">
        <f t="shared" si="1"/>
        <v>268</v>
      </c>
      <c r="B82" s="34" t="s">
        <v>75</v>
      </c>
      <c r="C82" s="23"/>
      <c r="D82" s="24"/>
      <c r="E82" s="25" t="s">
        <v>251</v>
      </c>
      <c r="F82" s="26" t="s">
        <v>21</v>
      </c>
      <c r="G82" s="27" t="s">
        <v>252</v>
      </c>
      <c r="H82" s="35">
        <f>DATE(2023,10,26)</f>
        <v>45225</v>
      </c>
      <c r="I82" s="29" t="s">
        <v>253</v>
      </c>
      <c r="J82" s="29" t="str">
        <f>IFERROR(__xludf.DUMMYFUNCTION("""COMPUTED_VALUE"""),"https://i.postimg.cc/P5XhRWY7/Red-Defender.png")</f>
        <v>https://i.postimg.cc/P5XhRWY7/Red-Defender.png</v>
      </c>
      <c r="K82" s="30" t="s">
        <v>75</v>
      </c>
      <c r="L82" s="30" t="str">
        <f>IFERROR(__xludf.DUMMYFUNCTION("""COMPUTED_VALUE"""),"4 Stars")</f>
        <v>4 Stars</v>
      </c>
      <c r="M82" s="31">
        <f>IFERROR(__xludf.DUMMYFUNCTION("""COMPUTED_VALUE"""),45225.0)</f>
        <v>45225</v>
      </c>
      <c r="N82" s="32"/>
    </row>
    <row r="83" ht="112.5" customHeight="1">
      <c r="A83" s="21">
        <f t="shared" si="1"/>
        <v>267</v>
      </c>
      <c r="B83" s="34" t="s">
        <v>10</v>
      </c>
      <c r="C83" s="23"/>
      <c r="D83" s="24"/>
      <c r="E83" s="25" t="s">
        <v>254</v>
      </c>
      <c r="F83" s="26" t="s">
        <v>21</v>
      </c>
      <c r="G83" s="27" t="s">
        <v>255</v>
      </c>
      <c r="H83" s="37"/>
      <c r="I83" s="29" t="s">
        <v>256</v>
      </c>
      <c r="J83" s="29" t="str">
        <f>IFERROR(__xludf.DUMMYFUNCTION("""COMPUTED_VALUE"""),"https://i.postimg.cc/PxgT30Qb/Green-Runner.png")</f>
        <v>https://i.postimg.cc/PxgT30Qb/Green-Runner.png</v>
      </c>
      <c r="K83" s="30" t="s">
        <v>10</v>
      </c>
      <c r="L83" s="30" t="str">
        <f>IFERROR(__xludf.DUMMYFUNCTION("""COMPUTED_VALUE"""),"4 Stars")</f>
        <v>4 Stars</v>
      </c>
      <c r="M83" s="31">
        <f>IFERROR(__xludf.DUMMYFUNCTION("""COMPUTED_VALUE"""),45225.0)</f>
        <v>45225</v>
      </c>
      <c r="N83" s="32"/>
    </row>
    <row r="84" ht="112.5" customHeight="1">
      <c r="A84" s="21">
        <f t="shared" si="1"/>
        <v>266</v>
      </c>
      <c r="B84" s="34" t="s">
        <v>140</v>
      </c>
      <c r="C84" s="23"/>
      <c r="D84" s="24"/>
      <c r="E84" s="25" t="s">
        <v>257</v>
      </c>
      <c r="F84" s="26" t="s">
        <v>7</v>
      </c>
      <c r="G84" s="27" t="s">
        <v>258</v>
      </c>
      <c r="H84" s="36">
        <f>DATE(2023,10,12)</f>
        <v>45211</v>
      </c>
      <c r="I84" s="29" t="s">
        <v>259</v>
      </c>
      <c r="J84" s="29" t="str">
        <f>IFERROR(__xludf.DUMMYFUNCTION("""COMPUTED_VALUE"""),"https://i.postimg.cc/m2xg81dx/Blue-Defender.png")</f>
        <v>https://i.postimg.cc/m2xg81dx/Blue-Defender.png</v>
      </c>
      <c r="K84" s="30" t="s">
        <v>140</v>
      </c>
      <c r="L84" s="30" t="str">
        <f>IFERROR(__xludf.DUMMYFUNCTION("""COMPUTED_VALUE"""),"4 Stars")</f>
        <v>4 Stars</v>
      </c>
      <c r="M84" s="31">
        <f>IFERROR(__xludf.DUMMYFUNCTION("""COMPUTED_VALUE"""),45211.0)</f>
        <v>45211</v>
      </c>
      <c r="N84" s="32"/>
    </row>
    <row r="85" ht="112.5" customHeight="1">
      <c r="A85" s="21">
        <f t="shared" si="1"/>
        <v>265</v>
      </c>
      <c r="B85" s="34" t="s">
        <v>212</v>
      </c>
      <c r="C85" s="23"/>
      <c r="D85" s="24"/>
      <c r="E85" s="25" t="s">
        <v>260</v>
      </c>
      <c r="F85" s="26" t="s">
        <v>7</v>
      </c>
      <c r="G85" s="27" t="s">
        <v>261</v>
      </c>
      <c r="H85" s="36">
        <f>DATE(2023,10,3)</f>
        <v>45202</v>
      </c>
      <c r="I85" s="29" t="s">
        <v>262</v>
      </c>
      <c r="J85" s="29" t="str">
        <f>IFERROR(__xludf.DUMMYFUNCTION("""COMPUTED_VALUE"""),"https://i.postimg.cc/1zRtDxvf/Blue-Attacker.png")</f>
        <v>https://i.postimg.cc/1zRtDxvf/Blue-Attacker.png</v>
      </c>
      <c r="K85" s="30" t="s">
        <v>212</v>
      </c>
      <c r="L85" s="30" t="str">
        <f>IFERROR(__xludf.DUMMYFUNCTION("""COMPUTED_VALUE"""),"4 Stars")</f>
        <v>4 Stars</v>
      </c>
      <c r="M85" s="31">
        <f>IFERROR(__xludf.DUMMYFUNCTION("""COMPUTED_VALUE"""),45202.0)</f>
        <v>45202</v>
      </c>
      <c r="N85" s="32"/>
    </row>
    <row r="86" ht="112.5" customHeight="1">
      <c r="A86" s="21">
        <f t="shared" si="1"/>
        <v>264</v>
      </c>
      <c r="B86" s="34" t="s">
        <v>24</v>
      </c>
      <c r="C86" s="23"/>
      <c r="D86" s="24"/>
      <c r="E86" s="25" t="s">
        <v>263</v>
      </c>
      <c r="F86" s="26" t="s">
        <v>21</v>
      </c>
      <c r="G86" s="27" t="s">
        <v>264</v>
      </c>
      <c r="H86" s="35">
        <f>DATE(2023,9,26)</f>
        <v>45195</v>
      </c>
      <c r="I86" s="29" t="s">
        <v>265</v>
      </c>
      <c r="J86" s="29" t="str">
        <f>IFERROR(__xludf.DUMMYFUNCTION("""COMPUTED_VALUE"""),"https://i.postimg.cc/Hk6HDrtk/Red-Runner.png")</f>
        <v>https://i.postimg.cc/Hk6HDrtk/Red-Runner.png</v>
      </c>
      <c r="K86" s="30" t="s">
        <v>24</v>
      </c>
      <c r="L86" s="30" t="str">
        <f>IFERROR(__xludf.DUMMYFUNCTION("""COMPUTED_VALUE"""),"4 Stars")</f>
        <v>4 Stars</v>
      </c>
      <c r="M86" s="31">
        <f>IFERROR(__xludf.DUMMYFUNCTION("""COMPUTED_VALUE"""),45195.0)</f>
        <v>45195</v>
      </c>
      <c r="N86" s="32"/>
    </row>
    <row r="87" ht="112.5" customHeight="1">
      <c r="A87" s="21">
        <f t="shared" si="1"/>
        <v>263</v>
      </c>
      <c r="B87" s="34" t="s">
        <v>35</v>
      </c>
      <c r="C87" s="23"/>
      <c r="D87" s="24"/>
      <c r="E87" s="25" t="s">
        <v>266</v>
      </c>
      <c r="F87" s="26" t="s">
        <v>21</v>
      </c>
      <c r="G87" s="27" t="s">
        <v>267</v>
      </c>
      <c r="H87" s="37"/>
      <c r="I87" s="29" t="s">
        <v>268</v>
      </c>
      <c r="J87" s="29" t="str">
        <f>IFERROR(__xludf.DUMMYFUNCTION("""COMPUTED_VALUE"""),"https://i.postimg.cc/L6B2DCYf/Red-Attacker.png")</f>
        <v>https://i.postimg.cc/L6B2DCYf/Red-Attacker.png</v>
      </c>
      <c r="K87" s="30" t="s">
        <v>35</v>
      </c>
      <c r="L87" s="30" t="str">
        <f>IFERROR(__xludf.DUMMYFUNCTION("""COMPUTED_VALUE"""),"4 Stars")</f>
        <v>4 Stars</v>
      </c>
      <c r="M87" s="31">
        <f>IFERROR(__xludf.DUMMYFUNCTION("""COMPUTED_VALUE"""),45195.0)</f>
        <v>45195</v>
      </c>
      <c r="N87" s="32"/>
    </row>
    <row r="88" ht="112.5" customHeight="1">
      <c r="A88" s="21">
        <f t="shared" si="1"/>
        <v>262</v>
      </c>
      <c r="B88" s="34" t="s">
        <v>10</v>
      </c>
      <c r="C88" s="23"/>
      <c r="D88" s="24"/>
      <c r="E88" s="25" t="s">
        <v>269</v>
      </c>
      <c r="F88" s="26" t="s">
        <v>7</v>
      </c>
      <c r="G88" s="27" t="s">
        <v>270</v>
      </c>
      <c r="H88" s="36">
        <f>DATE(2023,9,19)</f>
        <v>45188</v>
      </c>
      <c r="I88" s="29" t="s">
        <v>271</v>
      </c>
      <c r="J88" s="29" t="str">
        <f>IFERROR(__xludf.DUMMYFUNCTION("""COMPUTED_VALUE"""),"https://i.postimg.cc/PxgT30Qb/Green-Runner.png")</f>
        <v>https://i.postimg.cc/PxgT30Qb/Green-Runner.png</v>
      </c>
      <c r="K88" s="30" t="s">
        <v>10</v>
      </c>
      <c r="L88" s="30" t="str">
        <f>IFERROR(__xludf.DUMMYFUNCTION("""COMPUTED_VALUE"""),"4 Stars")</f>
        <v>4 Stars</v>
      </c>
      <c r="M88" s="31">
        <f>IFERROR(__xludf.DUMMYFUNCTION("""COMPUTED_VALUE"""),45188.0)</f>
        <v>45188</v>
      </c>
      <c r="N88" s="32"/>
    </row>
    <row r="89" ht="112.5" customHeight="1">
      <c r="A89" s="21">
        <f t="shared" si="1"/>
        <v>261</v>
      </c>
      <c r="B89" s="22" t="s">
        <v>272</v>
      </c>
      <c r="C89" s="23"/>
      <c r="D89" s="24"/>
      <c r="E89" s="25" t="s">
        <v>273</v>
      </c>
      <c r="F89" s="26" t="s">
        <v>21</v>
      </c>
      <c r="G89" s="27" t="s">
        <v>274</v>
      </c>
      <c r="H89" s="36">
        <f>DATE(2023,8,29)</f>
        <v>45167</v>
      </c>
      <c r="I89" s="29" t="s">
        <v>275</v>
      </c>
      <c r="J89" s="29" t="str">
        <f>IFERROR(__xludf.DUMMYFUNCTION("""COMPUTED_VALUE"""),"https://i.postimg.cc/bJqqv61N/Transforming-Element-Green-Attacker.png")</f>
        <v>https://i.postimg.cc/bJqqv61N/Transforming-Element-Green-Attacker.png</v>
      </c>
      <c r="K89" s="30" t="s">
        <v>272</v>
      </c>
      <c r="L89" s="30" t="str">
        <f>IFERROR(__xludf.DUMMYFUNCTION("""COMPUTED_VALUE"""),"4 Stars")</f>
        <v>4 Stars</v>
      </c>
      <c r="M89" s="31">
        <f>IFERROR(__xludf.DUMMYFUNCTION("""COMPUTED_VALUE"""),45167.0)</f>
        <v>45167</v>
      </c>
      <c r="N89" s="32"/>
    </row>
    <row r="90" ht="112.5" customHeight="1">
      <c r="A90" s="21">
        <f t="shared" si="1"/>
        <v>260</v>
      </c>
      <c r="B90" s="34" t="s">
        <v>276</v>
      </c>
      <c r="C90" s="23"/>
      <c r="D90" s="24"/>
      <c r="E90" s="25" t="s">
        <v>277</v>
      </c>
      <c r="F90" s="26" t="s">
        <v>16</v>
      </c>
      <c r="G90" s="27" t="s">
        <v>278</v>
      </c>
      <c r="H90" s="36">
        <f>DATE(2023,8,23)</f>
        <v>45161</v>
      </c>
      <c r="I90" s="29" t="s">
        <v>279</v>
      </c>
      <c r="J90" s="29" t="str">
        <f>IFERROR(__xludf.DUMMYFUNCTION("""COMPUTED_VALUE"""),"https://i.postimg.cc/vZ9ytRzZ/Transforming-Class-Green-Defender.png")</f>
        <v>https://i.postimg.cc/vZ9ytRzZ/Transforming-Class-Green-Defender.png</v>
      </c>
      <c r="K90" s="30" t="s">
        <v>276</v>
      </c>
      <c r="L90" s="30" t="str">
        <f>IFERROR(__xludf.DUMMYFUNCTION("""COMPUTED_VALUE"""),"4 Stars")</f>
        <v>4 Stars</v>
      </c>
      <c r="M90" s="31">
        <f>IFERROR(__xludf.DUMMYFUNCTION("""COMPUTED_VALUE"""),45161.0)</f>
        <v>45161</v>
      </c>
      <c r="N90" s="32"/>
    </row>
    <row r="91" ht="112.5" customHeight="1">
      <c r="A91" s="21">
        <f t="shared" si="1"/>
        <v>259</v>
      </c>
      <c r="B91" s="34" t="s">
        <v>140</v>
      </c>
      <c r="C91" s="23"/>
      <c r="D91" s="24"/>
      <c r="E91" s="25" t="s">
        <v>280</v>
      </c>
      <c r="F91" s="26" t="s">
        <v>162</v>
      </c>
      <c r="G91" s="27" t="s">
        <v>281</v>
      </c>
      <c r="H91" s="36">
        <f>DATE(2023,8,6)</f>
        <v>45144</v>
      </c>
      <c r="I91" s="29" t="s">
        <v>282</v>
      </c>
      <c r="J91" s="29" t="str">
        <f>IFERROR(__xludf.DUMMYFUNCTION("""COMPUTED_VALUE"""),"https://i.postimg.cc/m2xg81dx/Blue-Defender.png")</f>
        <v>https://i.postimg.cc/m2xg81dx/Blue-Defender.png</v>
      </c>
      <c r="K91" s="30" t="s">
        <v>140</v>
      </c>
      <c r="L91" s="30" t="str">
        <f>IFERROR(__xludf.DUMMYFUNCTION("""COMPUTED_VALUE"""),"4 Stars")</f>
        <v>4 Stars</v>
      </c>
      <c r="M91" s="31">
        <f>IFERROR(__xludf.DUMMYFUNCTION("""COMPUTED_VALUE"""),45144.0)</f>
        <v>45144</v>
      </c>
      <c r="N91" s="32"/>
    </row>
    <row r="92" ht="112.5" customHeight="1">
      <c r="A92" s="21">
        <f t="shared" si="1"/>
        <v>258</v>
      </c>
      <c r="B92" s="34" t="s">
        <v>212</v>
      </c>
      <c r="C92" s="23"/>
      <c r="D92" s="24"/>
      <c r="E92" s="25" t="s">
        <v>283</v>
      </c>
      <c r="F92" s="26" t="s">
        <v>21</v>
      </c>
      <c r="G92" s="27" t="s">
        <v>284</v>
      </c>
      <c r="H92" s="35">
        <f>DATE(2023,7,26)</f>
        <v>45133</v>
      </c>
      <c r="I92" s="29" t="s">
        <v>285</v>
      </c>
      <c r="J92" s="29" t="str">
        <f>IFERROR(__xludf.DUMMYFUNCTION("""COMPUTED_VALUE"""),"https://i.postimg.cc/1zRtDxvf/Blue-Attacker.png")</f>
        <v>https://i.postimg.cc/1zRtDxvf/Blue-Attacker.png</v>
      </c>
      <c r="K92" s="30" t="s">
        <v>212</v>
      </c>
      <c r="L92" s="30" t="str">
        <f>IFERROR(__xludf.DUMMYFUNCTION("""COMPUTED_VALUE"""),"4 Stars")</f>
        <v>4 Stars</v>
      </c>
      <c r="M92" s="31">
        <f>IFERROR(__xludf.DUMMYFUNCTION("""COMPUTED_VALUE"""),45133.0)</f>
        <v>45133</v>
      </c>
      <c r="N92" s="32"/>
    </row>
    <row r="93" ht="112.5" customHeight="1">
      <c r="A93" s="21">
        <f t="shared" si="1"/>
        <v>257</v>
      </c>
      <c r="B93" s="34" t="s">
        <v>114</v>
      </c>
      <c r="C93" s="23"/>
      <c r="D93" s="24"/>
      <c r="E93" s="25" t="s">
        <v>286</v>
      </c>
      <c r="F93" s="26" t="s">
        <v>16</v>
      </c>
      <c r="G93" s="27" t="s">
        <v>287</v>
      </c>
      <c r="H93" s="37"/>
      <c r="I93" s="29" t="s">
        <v>288</v>
      </c>
      <c r="J93" s="29" t="str">
        <f>IFERROR(__xludf.DUMMYFUNCTION("""COMPUTED_VALUE"""),"https://i.postimg.cc/4NzNM4MY/Blue-Runner.png")</f>
        <v>https://i.postimg.cc/4NzNM4MY/Blue-Runner.png</v>
      </c>
      <c r="K93" s="30" t="s">
        <v>114</v>
      </c>
      <c r="L93" s="30" t="str">
        <f>IFERROR(__xludf.DUMMYFUNCTION("""COMPUTED_VALUE"""),"4 Stars")</f>
        <v>4 Stars</v>
      </c>
      <c r="M93" s="31">
        <f>IFERROR(__xludf.DUMMYFUNCTION("""COMPUTED_VALUE"""),45133.0)</f>
        <v>45133</v>
      </c>
      <c r="N93" s="32"/>
    </row>
    <row r="94" ht="112.5" customHeight="1">
      <c r="A94" s="21">
        <f t="shared" si="1"/>
        <v>256</v>
      </c>
      <c r="B94" s="34" t="s">
        <v>10</v>
      </c>
      <c r="C94" s="23"/>
      <c r="D94" s="24"/>
      <c r="E94" s="25" t="s">
        <v>289</v>
      </c>
      <c r="F94" s="26" t="s">
        <v>21</v>
      </c>
      <c r="G94" s="27" t="s">
        <v>290</v>
      </c>
      <c r="H94" s="36">
        <f t="shared" ref="H94:H95" si="2">DATE(2023,6,29)</f>
        <v>45106</v>
      </c>
      <c r="I94" s="29" t="s">
        <v>291</v>
      </c>
      <c r="J94" s="29" t="str">
        <f>IFERROR(__xludf.DUMMYFUNCTION("""COMPUTED_VALUE"""),"https://i.postimg.cc/PxgT30Qb/Green-Runner.png")</f>
        <v>https://i.postimg.cc/PxgT30Qb/Green-Runner.png</v>
      </c>
      <c r="K94" s="30" t="s">
        <v>10</v>
      </c>
      <c r="L94" s="30" t="str">
        <f>IFERROR(__xludf.DUMMYFUNCTION("""COMPUTED_VALUE"""),"4 Stars")</f>
        <v>4 Stars</v>
      </c>
      <c r="M94" s="31">
        <f>IFERROR(__xludf.DUMMYFUNCTION("""COMPUTED_VALUE"""),45106.0)</f>
        <v>45106</v>
      </c>
      <c r="N94" s="32"/>
    </row>
    <row r="95" ht="112.5" customHeight="1">
      <c r="A95" s="21">
        <f t="shared" si="1"/>
        <v>255</v>
      </c>
      <c r="B95" s="34" t="s">
        <v>86</v>
      </c>
      <c r="C95" s="23"/>
      <c r="D95" s="24"/>
      <c r="E95" s="25" t="s">
        <v>292</v>
      </c>
      <c r="F95" s="26" t="s">
        <v>21</v>
      </c>
      <c r="G95" s="27" t="s">
        <v>293</v>
      </c>
      <c r="H95" s="36">
        <f t="shared" si="2"/>
        <v>45106</v>
      </c>
      <c r="I95" s="29" t="s">
        <v>294</v>
      </c>
      <c r="J95" s="29" t="str">
        <f>IFERROR(__xludf.DUMMYFUNCTION("""COMPUTED_VALUE"""),"https://i.postimg.cc/qRhpGpyM/Green-Defender.png")</f>
        <v>https://i.postimg.cc/qRhpGpyM/Green-Defender.png</v>
      </c>
      <c r="K95" s="30" t="s">
        <v>86</v>
      </c>
      <c r="L95" s="30" t="str">
        <f>IFERROR(__xludf.DUMMYFUNCTION("""COMPUTED_VALUE"""),"4 Stars")</f>
        <v>4 Stars</v>
      </c>
      <c r="M95" s="31">
        <f>IFERROR(__xludf.DUMMYFUNCTION("""COMPUTED_VALUE"""),45106.0)</f>
        <v>45106</v>
      </c>
      <c r="N95" s="32"/>
    </row>
    <row r="96" ht="112.5" customHeight="1">
      <c r="A96" s="21">
        <f t="shared" si="1"/>
        <v>254</v>
      </c>
      <c r="B96" s="34" t="s">
        <v>75</v>
      </c>
      <c r="C96" s="23"/>
      <c r="D96" s="24"/>
      <c r="E96" s="25" t="s">
        <v>295</v>
      </c>
      <c r="F96" s="26" t="s">
        <v>7</v>
      </c>
      <c r="G96" s="27" t="s">
        <v>296</v>
      </c>
      <c r="H96" s="36">
        <f>DATE(2023,6,22)</f>
        <v>45099</v>
      </c>
      <c r="I96" s="29" t="s">
        <v>297</v>
      </c>
      <c r="J96" s="29" t="str">
        <f>IFERROR(__xludf.DUMMYFUNCTION("""COMPUTED_VALUE"""),"https://i.postimg.cc/P5XhRWY7/Red-Defender.png")</f>
        <v>https://i.postimg.cc/P5XhRWY7/Red-Defender.png</v>
      </c>
      <c r="K96" s="30" t="s">
        <v>75</v>
      </c>
      <c r="L96" s="30" t="str">
        <f>IFERROR(__xludf.DUMMYFUNCTION("""COMPUTED_VALUE"""),"4 Stars")</f>
        <v>4 Stars</v>
      </c>
      <c r="M96" s="31">
        <f>IFERROR(__xludf.DUMMYFUNCTION("""COMPUTED_VALUE"""),45099.0)</f>
        <v>45099</v>
      </c>
      <c r="N96" s="32"/>
    </row>
    <row r="97" ht="112.5" customHeight="1">
      <c r="A97" s="21">
        <f t="shared" si="1"/>
        <v>253</v>
      </c>
      <c r="B97" s="34" t="s">
        <v>212</v>
      </c>
      <c r="C97" s="23"/>
      <c r="D97" s="24"/>
      <c r="E97" s="25" t="s">
        <v>298</v>
      </c>
      <c r="F97" s="26" t="s">
        <v>7</v>
      </c>
      <c r="G97" s="27" t="s">
        <v>299</v>
      </c>
      <c r="H97" s="36">
        <f>DATE(2023,6,13)</f>
        <v>45090</v>
      </c>
      <c r="I97" s="29" t="s">
        <v>300</v>
      </c>
      <c r="J97" s="29" t="str">
        <f>IFERROR(__xludf.DUMMYFUNCTION("""COMPUTED_VALUE"""),"https://i.postimg.cc/1zRtDxvf/Blue-Attacker.png")</f>
        <v>https://i.postimg.cc/1zRtDxvf/Blue-Attacker.png</v>
      </c>
      <c r="K97" s="30" t="s">
        <v>212</v>
      </c>
      <c r="L97" s="30" t="str">
        <f>IFERROR(__xludf.DUMMYFUNCTION("""COMPUTED_VALUE"""),"4 Stars")</f>
        <v>4 Stars</v>
      </c>
      <c r="M97" s="31">
        <f>IFERROR(__xludf.DUMMYFUNCTION("""COMPUTED_VALUE"""),45090.0)</f>
        <v>45090</v>
      </c>
      <c r="N97" s="32"/>
    </row>
    <row r="98" ht="112.5" customHeight="1">
      <c r="A98" s="21">
        <f t="shared" si="1"/>
        <v>252</v>
      </c>
      <c r="B98" s="34" t="s">
        <v>114</v>
      </c>
      <c r="C98" s="23"/>
      <c r="D98" s="24"/>
      <c r="E98" s="25" t="s">
        <v>301</v>
      </c>
      <c r="F98" s="26" t="s">
        <v>21</v>
      </c>
      <c r="G98" s="27" t="s">
        <v>302</v>
      </c>
      <c r="H98" s="35">
        <f>DATE(2023,5,30)</f>
        <v>45076</v>
      </c>
      <c r="I98" s="29" t="s">
        <v>303</v>
      </c>
      <c r="J98" s="29" t="str">
        <f>IFERROR(__xludf.DUMMYFUNCTION("""COMPUTED_VALUE"""),"https://i.postimg.cc/4NzNM4MY/Blue-Runner.png")</f>
        <v>https://i.postimg.cc/4NzNM4MY/Blue-Runner.png</v>
      </c>
      <c r="K98" s="30" t="s">
        <v>114</v>
      </c>
      <c r="L98" s="30" t="str">
        <f>IFERROR(__xludf.DUMMYFUNCTION("""COMPUTED_VALUE"""),"4 Stars")</f>
        <v>4 Stars</v>
      </c>
      <c r="M98" s="31">
        <f>IFERROR(__xludf.DUMMYFUNCTION("""COMPUTED_VALUE"""),45076.0)</f>
        <v>45076</v>
      </c>
      <c r="N98" s="32"/>
    </row>
    <row r="99" ht="112.5" customHeight="1">
      <c r="A99" s="21">
        <f t="shared" si="1"/>
        <v>251</v>
      </c>
      <c r="B99" s="34" t="s">
        <v>35</v>
      </c>
      <c r="C99" s="23"/>
      <c r="D99" s="24"/>
      <c r="E99" s="25" t="s">
        <v>304</v>
      </c>
      <c r="F99" s="26" t="s">
        <v>21</v>
      </c>
      <c r="G99" s="27" t="s">
        <v>45</v>
      </c>
      <c r="H99" s="37"/>
      <c r="I99" s="29" t="s">
        <v>305</v>
      </c>
      <c r="J99" s="29" t="str">
        <f>IFERROR(__xludf.DUMMYFUNCTION("""COMPUTED_VALUE"""),"https://i.postimg.cc/L6B2DCYf/Red-Attacker.png")</f>
        <v>https://i.postimg.cc/L6B2DCYf/Red-Attacker.png</v>
      </c>
      <c r="K99" s="30" t="s">
        <v>35</v>
      </c>
      <c r="L99" s="30" t="str">
        <f>IFERROR(__xludf.DUMMYFUNCTION("""COMPUTED_VALUE"""),"4 Stars")</f>
        <v>4 Stars</v>
      </c>
      <c r="M99" s="31">
        <f>IFERROR(__xludf.DUMMYFUNCTION("""COMPUTED_VALUE"""),45076.0)</f>
        <v>45076</v>
      </c>
      <c r="N99" s="32"/>
    </row>
    <row r="100" ht="112.5" customHeight="1">
      <c r="A100" s="21">
        <f t="shared" si="1"/>
        <v>250</v>
      </c>
      <c r="B100" s="34" t="s">
        <v>212</v>
      </c>
      <c r="C100" s="23"/>
      <c r="D100" s="24"/>
      <c r="E100" s="25" t="s">
        <v>306</v>
      </c>
      <c r="F100" s="26" t="s">
        <v>16</v>
      </c>
      <c r="G100" s="27" t="s">
        <v>307</v>
      </c>
      <c r="H100" s="36">
        <f>DATE(2023,5,17)</f>
        <v>45063</v>
      </c>
      <c r="I100" s="29" t="s">
        <v>308</v>
      </c>
      <c r="J100" s="29" t="str">
        <f>IFERROR(__xludf.DUMMYFUNCTION("""COMPUTED_VALUE"""),"https://i.postimg.cc/1zRtDxvf/Blue-Attacker.png")</f>
        <v>https://i.postimg.cc/1zRtDxvf/Blue-Attacker.png</v>
      </c>
      <c r="K100" s="30" t="s">
        <v>212</v>
      </c>
      <c r="L100" s="30" t="str">
        <f>IFERROR(__xludf.DUMMYFUNCTION("""COMPUTED_VALUE"""),"4 Stars")</f>
        <v>4 Stars</v>
      </c>
      <c r="M100" s="31">
        <f>IFERROR(__xludf.DUMMYFUNCTION("""COMPUTED_VALUE"""),45063.0)</f>
        <v>45063</v>
      </c>
      <c r="N100" s="32"/>
    </row>
    <row r="101" ht="112.5" customHeight="1">
      <c r="A101" s="21">
        <f t="shared" si="1"/>
        <v>249</v>
      </c>
      <c r="B101" s="34" t="s">
        <v>75</v>
      </c>
      <c r="C101" s="23"/>
      <c r="D101" s="24"/>
      <c r="E101" s="25" t="s">
        <v>309</v>
      </c>
      <c r="F101" s="26" t="s">
        <v>21</v>
      </c>
      <c r="G101" s="27" t="s">
        <v>52</v>
      </c>
      <c r="H101" s="35">
        <f>DATE(2023,4,27)</f>
        <v>45043</v>
      </c>
      <c r="I101" s="29" t="s">
        <v>310</v>
      </c>
      <c r="J101" s="29" t="str">
        <f>IFERROR(__xludf.DUMMYFUNCTION("""COMPUTED_VALUE"""),"https://i.postimg.cc/P5XhRWY7/Red-Defender.png")</f>
        <v>https://i.postimg.cc/P5XhRWY7/Red-Defender.png</v>
      </c>
      <c r="K101" s="30" t="s">
        <v>75</v>
      </c>
      <c r="L101" s="30" t="str">
        <f>IFERROR(__xludf.DUMMYFUNCTION("""COMPUTED_VALUE"""),"4 Stars")</f>
        <v>4 Stars</v>
      </c>
      <c r="M101" s="31">
        <f>IFERROR(__xludf.DUMMYFUNCTION("""COMPUTED_VALUE"""),45043.0)</f>
        <v>45043</v>
      </c>
      <c r="N101" s="32"/>
    </row>
    <row r="102" ht="112.5" customHeight="1">
      <c r="A102" s="21">
        <f t="shared" si="1"/>
        <v>248</v>
      </c>
      <c r="B102" s="34" t="s">
        <v>212</v>
      </c>
      <c r="C102" s="23"/>
      <c r="D102" s="24"/>
      <c r="E102" s="25" t="s">
        <v>311</v>
      </c>
      <c r="F102" s="26" t="s">
        <v>21</v>
      </c>
      <c r="G102" s="27" t="s">
        <v>60</v>
      </c>
      <c r="H102" s="37"/>
      <c r="I102" s="29" t="s">
        <v>312</v>
      </c>
      <c r="J102" s="29" t="str">
        <f>IFERROR(__xludf.DUMMYFUNCTION("""COMPUTED_VALUE"""),"https://i.postimg.cc/1zRtDxvf/Blue-Attacker.png")</f>
        <v>https://i.postimg.cc/1zRtDxvf/Blue-Attacker.png</v>
      </c>
      <c r="K102" s="30" t="s">
        <v>212</v>
      </c>
      <c r="L102" s="30" t="str">
        <f>IFERROR(__xludf.DUMMYFUNCTION("""COMPUTED_VALUE"""),"4 Stars")</f>
        <v>4 Stars</v>
      </c>
      <c r="M102" s="31">
        <f>IFERROR(__xludf.DUMMYFUNCTION("""COMPUTED_VALUE"""),45043.0)</f>
        <v>45043</v>
      </c>
      <c r="N102" s="32"/>
    </row>
    <row r="103" ht="112.5" customHeight="1">
      <c r="A103" s="21">
        <f t="shared" si="1"/>
        <v>247</v>
      </c>
      <c r="B103" s="34" t="s">
        <v>24</v>
      </c>
      <c r="C103" s="23"/>
      <c r="D103" s="24"/>
      <c r="E103" s="25" t="s">
        <v>313</v>
      </c>
      <c r="F103" s="26" t="s">
        <v>7</v>
      </c>
      <c r="G103" s="27" t="s">
        <v>314</v>
      </c>
      <c r="H103" s="36">
        <f>DATE(2023,4,13)</f>
        <v>45029</v>
      </c>
      <c r="I103" s="29" t="s">
        <v>315</v>
      </c>
      <c r="J103" s="29" t="str">
        <f>IFERROR(__xludf.DUMMYFUNCTION("""COMPUTED_VALUE"""),"https://i.postimg.cc/Hk6HDrtk/Red-Runner.png")</f>
        <v>https://i.postimg.cc/Hk6HDrtk/Red-Runner.png</v>
      </c>
      <c r="K103" s="30" t="s">
        <v>24</v>
      </c>
      <c r="L103" s="30" t="str">
        <f>IFERROR(__xludf.DUMMYFUNCTION("""COMPUTED_VALUE"""),"4 Stars")</f>
        <v>4 Stars</v>
      </c>
      <c r="M103" s="31">
        <f>IFERROR(__xludf.DUMMYFUNCTION("""COMPUTED_VALUE"""),45029.0)</f>
        <v>45029</v>
      </c>
      <c r="N103" s="32"/>
    </row>
    <row r="104" ht="112.5" customHeight="1">
      <c r="A104" s="21">
        <f t="shared" si="1"/>
        <v>246</v>
      </c>
      <c r="B104" s="34" t="s">
        <v>35</v>
      </c>
      <c r="C104" s="23"/>
      <c r="D104" s="24"/>
      <c r="E104" s="25" t="s">
        <v>316</v>
      </c>
      <c r="F104" s="26" t="s">
        <v>7</v>
      </c>
      <c r="G104" s="27" t="s">
        <v>317</v>
      </c>
      <c r="H104" s="36">
        <f>DATE(2023,4,6)</f>
        <v>45022</v>
      </c>
      <c r="I104" s="29" t="s">
        <v>318</v>
      </c>
      <c r="J104" s="29" t="str">
        <f>IFERROR(__xludf.DUMMYFUNCTION("""COMPUTED_VALUE"""),"https://i.postimg.cc/L6B2DCYf/Red-Attacker.png")</f>
        <v>https://i.postimg.cc/L6B2DCYf/Red-Attacker.png</v>
      </c>
      <c r="K104" s="30" t="s">
        <v>35</v>
      </c>
      <c r="L104" s="30" t="str">
        <f>IFERROR(__xludf.DUMMYFUNCTION("""COMPUTED_VALUE"""),"4 Stars")</f>
        <v>4 Stars</v>
      </c>
      <c r="M104" s="31">
        <f>IFERROR(__xludf.DUMMYFUNCTION("""COMPUTED_VALUE"""),45022.0)</f>
        <v>45022</v>
      </c>
      <c r="N104" s="32"/>
    </row>
    <row r="105" ht="112.5" customHeight="1">
      <c r="A105" s="21">
        <f t="shared" si="1"/>
        <v>245</v>
      </c>
      <c r="B105" s="22" t="s">
        <v>272</v>
      </c>
      <c r="C105" s="23"/>
      <c r="D105" s="24"/>
      <c r="E105" s="25" t="s">
        <v>319</v>
      </c>
      <c r="F105" s="26" t="s">
        <v>206</v>
      </c>
      <c r="G105" s="27" t="s">
        <v>214</v>
      </c>
      <c r="H105" s="36">
        <f>DATE(2023,4,1)</f>
        <v>45017</v>
      </c>
      <c r="I105" s="29" t="s">
        <v>320</v>
      </c>
      <c r="J105" s="29" t="str">
        <f>IFERROR(__xludf.DUMMYFUNCTION("""COMPUTED_VALUE"""),"https://i.postimg.cc/bJqqv61N/Transforming-Element-Green-Attacker.png")</f>
        <v>https://i.postimg.cc/bJqqv61N/Transforming-Element-Green-Attacker.png</v>
      </c>
      <c r="K105" s="30" t="s">
        <v>272</v>
      </c>
      <c r="L105" s="30" t="str">
        <f>IFERROR(__xludf.DUMMYFUNCTION("""COMPUTED_VALUE"""),"3 Stars")</f>
        <v>3 Stars</v>
      </c>
      <c r="M105" s="31">
        <f>IFERROR(__xludf.DUMMYFUNCTION("""COMPUTED_VALUE"""),45017.0)</f>
        <v>45017</v>
      </c>
      <c r="N105" s="32"/>
    </row>
    <row r="106" ht="112.5" customHeight="1">
      <c r="A106" s="21">
        <f t="shared" si="1"/>
        <v>244</v>
      </c>
      <c r="B106" s="34" t="s">
        <v>114</v>
      </c>
      <c r="C106" s="23"/>
      <c r="D106" s="24"/>
      <c r="E106" s="25" t="s">
        <v>321</v>
      </c>
      <c r="F106" s="26" t="s">
        <v>21</v>
      </c>
      <c r="G106" s="27" t="s">
        <v>322</v>
      </c>
      <c r="H106" s="35">
        <f>DATE(2023,3,30)</f>
        <v>45015</v>
      </c>
      <c r="I106" s="29" t="s">
        <v>323</v>
      </c>
      <c r="J106" s="29" t="str">
        <f>IFERROR(__xludf.DUMMYFUNCTION("""COMPUTED_VALUE"""),"https://i.postimg.cc/4NzNM4MY/Blue-Runner.png")</f>
        <v>https://i.postimg.cc/4NzNM4MY/Blue-Runner.png</v>
      </c>
      <c r="K106" s="30" t="s">
        <v>114</v>
      </c>
      <c r="L106" s="30" t="str">
        <f>IFERROR(__xludf.DUMMYFUNCTION("""COMPUTED_VALUE"""),"4 Stars")</f>
        <v>4 Stars</v>
      </c>
      <c r="M106" s="31">
        <f>IFERROR(__xludf.DUMMYFUNCTION("""COMPUTED_VALUE"""),45015.0)</f>
        <v>45015</v>
      </c>
      <c r="N106" s="32"/>
    </row>
    <row r="107" ht="112.5" customHeight="1">
      <c r="A107" s="21">
        <f t="shared" si="1"/>
        <v>243</v>
      </c>
      <c r="B107" s="34" t="s">
        <v>140</v>
      </c>
      <c r="C107" s="23"/>
      <c r="D107" s="24"/>
      <c r="E107" s="25" t="s">
        <v>324</v>
      </c>
      <c r="F107" s="26" t="s">
        <v>21</v>
      </c>
      <c r="G107" s="27" t="s">
        <v>175</v>
      </c>
      <c r="H107" s="37"/>
      <c r="I107" s="29" t="s">
        <v>325</v>
      </c>
      <c r="J107" s="29" t="str">
        <f>IFERROR(__xludf.DUMMYFUNCTION("""COMPUTED_VALUE"""),"https://i.postimg.cc/m2xg81dx/Blue-Defender.png")</f>
        <v>https://i.postimg.cc/m2xg81dx/Blue-Defender.png</v>
      </c>
      <c r="K107" s="30" t="s">
        <v>140</v>
      </c>
      <c r="L107" s="30" t="str">
        <f>IFERROR(__xludf.DUMMYFUNCTION("""COMPUTED_VALUE"""),"4 Stars")</f>
        <v>4 Stars</v>
      </c>
      <c r="M107" s="31">
        <f>IFERROR(__xludf.DUMMYFUNCTION("""COMPUTED_VALUE"""),45015.0)</f>
        <v>45015</v>
      </c>
      <c r="N107" s="32"/>
    </row>
    <row r="108" ht="112.5" customHeight="1">
      <c r="A108" s="21">
        <f t="shared" si="1"/>
        <v>242</v>
      </c>
      <c r="B108" s="34" t="s">
        <v>75</v>
      </c>
      <c r="C108" s="23"/>
      <c r="D108" s="24"/>
      <c r="E108" s="25" t="s">
        <v>326</v>
      </c>
      <c r="F108" s="26" t="s">
        <v>7</v>
      </c>
      <c r="G108" s="27" t="s">
        <v>327</v>
      </c>
      <c r="H108" s="36">
        <f>DATE(2023,3,20)</f>
        <v>45005</v>
      </c>
      <c r="I108" s="29" t="s">
        <v>328</v>
      </c>
      <c r="J108" s="29" t="str">
        <f>IFERROR(__xludf.DUMMYFUNCTION("""COMPUTED_VALUE"""),"https://i.postimg.cc/P5XhRWY7/Red-Defender.png")</f>
        <v>https://i.postimg.cc/P5XhRWY7/Red-Defender.png</v>
      </c>
      <c r="K108" s="30" t="s">
        <v>75</v>
      </c>
      <c r="L108" s="30" t="str">
        <f>IFERROR(__xludf.DUMMYFUNCTION("""COMPUTED_VALUE"""),"4 Stars")</f>
        <v>4 Stars</v>
      </c>
      <c r="M108" s="31">
        <f>IFERROR(__xludf.DUMMYFUNCTION("""COMPUTED_VALUE"""),45005.0)</f>
        <v>45005</v>
      </c>
      <c r="N108" s="32"/>
    </row>
    <row r="109" ht="112.5" customHeight="1">
      <c r="A109" s="21">
        <f t="shared" si="1"/>
        <v>241</v>
      </c>
      <c r="B109" s="38" t="s">
        <v>104</v>
      </c>
      <c r="C109" s="23"/>
      <c r="D109" s="24"/>
      <c r="E109" s="25" t="s">
        <v>329</v>
      </c>
      <c r="F109" s="26" t="s">
        <v>7</v>
      </c>
      <c r="G109" s="27" t="s">
        <v>225</v>
      </c>
      <c r="H109" s="36">
        <f>DATE(2023,3,16)</f>
        <v>45001</v>
      </c>
      <c r="I109" s="29" t="s">
        <v>330</v>
      </c>
      <c r="J109" s="29" t="str">
        <f>IFERROR(__xludf.DUMMYFUNCTION("""COMPUTED_VALUE"""),"https://i.postimg.cc/0NH8mz6B/Green-Attacker.png")</f>
        <v>https://i.postimg.cc/0NH8mz6B/Green-Attacker.png</v>
      </c>
      <c r="K109" s="30" t="s">
        <v>104</v>
      </c>
      <c r="L109" s="30" t="str">
        <f>IFERROR(__xludf.DUMMYFUNCTION("""COMPUTED_VALUE"""),"4 Stars")</f>
        <v>4 Stars</v>
      </c>
      <c r="M109" s="31">
        <f>IFERROR(__xludf.DUMMYFUNCTION("""COMPUTED_VALUE"""),45001.0)</f>
        <v>45001</v>
      </c>
      <c r="N109" s="32"/>
    </row>
    <row r="110" ht="112.5" customHeight="1">
      <c r="A110" s="21">
        <f t="shared" si="1"/>
        <v>240</v>
      </c>
      <c r="B110" s="34" t="s">
        <v>75</v>
      </c>
      <c r="C110" s="23"/>
      <c r="D110" s="24"/>
      <c r="E110" s="25" t="s">
        <v>331</v>
      </c>
      <c r="F110" s="26" t="s">
        <v>21</v>
      </c>
      <c r="G110" s="27" t="s">
        <v>327</v>
      </c>
      <c r="H110" s="35">
        <f>DATE(2023,2,28)</f>
        <v>44985</v>
      </c>
      <c r="I110" s="29" t="s">
        <v>332</v>
      </c>
      <c r="J110" s="29" t="str">
        <f>IFERROR(__xludf.DUMMYFUNCTION("""COMPUTED_VALUE"""),"https://i.postimg.cc/P5XhRWY7/Red-Defender.png")</f>
        <v>https://i.postimg.cc/P5XhRWY7/Red-Defender.png</v>
      </c>
      <c r="K110" s="30" t="s">
        <v>75</v>
      </c>
      <c r="L110" s="30" t="str">
        <f>IFERROR(__xludf.DUMMYFUNCTION("""COMPUTED_VALUE"""),"4 Stars")</f>
        <v>4 Stars</v>
      </c>
      <c r="M110" s="31">
        <f>IFERROR(__xludf.DUMMYFUNCTION("""COMPUTED_VALUE"""),44985.0)</f>
        <v>44985</v>
      </c>
      <c r="N110" s="32"/>
    </row>
    <row r="111" ht="112.5" customHeight="1">
      <c r="A111" s="21">
        <f t="shared" si="1"/>
        <v>239</v>
      </c>
      <c r="B111" s="34" t="s">
        <v>212</v>
      </c>
      <c r="C111" s="23"/>
      <c r="D111" s="24"/>
      <c r="E111" s="25" t="s">
        <v>333</v>
      </c>
      <c r="F111" s="26" t="s">
        <v>21</v>
      </c>
      <c r="G111" s="27" t="s">
        <v>334</v>
      </c>
      <c r="H111" s="37"/>
      <c r="I111" s="29" t="s">
        <v>335</v>
      </c>
      <c r="J111" s="29" t="str">
        <f>IFERROR(__xludf.DUMMYFUNCTION("""COMPUTED_VALUE"""),"https://i.postimg.cc/1zRtDxvf/Blue-Attacker.png")</f>
        <v>https://i.postimg.cc/1zRtDxvf/Blue-Attacker.png</v>
      </c>
      <c r="K111" s="30" t="s">
        <v>212</v>
      </c>
      <c r="L111" s="30" t="str">
        <f>IFERROR(__xludf.DUMMYFUNCTION("""COMPUTED_VALUE"""),"4 Stars")</f>
        <v>4 Stars</v>
      </c>
      <c r="M111" s="31">
        <f>IFERROR(__xludf.DUMMYFUNCTION("""COMPUTED_VALUE"""),44985.0)</f>
        <v>44985</v>
      </c>
      <c r="N111" s="32"/>
    </row>
    <row r="112" ht="112.5" customHeight="1">
      <c r="A112" s="21">
        <f t="shared" si="1"/>
        <v>238</v>
      </c>
      <c r="B112" s="34" t="s">
        <v>86</v>
      </c>
      <c r="C112" s="23"/>
      <c r="D112" s="24"/>
      <c r="E112" s="25" t="s">
        <v>336</v>
      </c>
      <c r="F112" s="26" t="s">
        <v>7</v>
      </c>
      <c r="G112" s="27" t="s">
        <v>327</v>
      </c>
      <c r="H112" s="36">
        <f>DATE(2023,2,9)</f>
        <v>44966</v>
      </c>
      <c r="I112" s="29" t="s">
        <v>337</v>
      </c>
      <c r="J112" s="29" t="str">
        <f>IFERROR(__xludf.DUMMYFUNCTION("""COMPUTED_VALUE"""),"https://i.postimg.cc/qRhpGpyM/Green-Defender.png")</f>
        <v>https://i.postimg.cc/qRhpGpyM/Green-Defender.png</v>
      </c>
      <c r="K112" s="30" t="s">
        <v>86</v>
      </c>
      <c r="L112" s="30" t="str">
        <f>IFERROR(__xludf.DUMMYFUNCTION("""COMPUTED_VALUE"""),"4 Stars")</f>
        <v>4 Stars</v>
      </c>
      <c r="M112" s="31">
        <f>IFERROR(__xludf.DUMMYFUNCTION("""COMPUTED_VALUE"""),44966.0)</f>
        <v>44966</v>
      </c>
      <c r="N112" s="32"/>
    </row>
    <row r="113" ht="112.5" customHeight="1">
      <c r="A113" s="21">
        <f t="shared" si="1"/>
        <v>237</v>
      </c>
      <c r="B113" s="34" t="s">
        <v>104</v>
      </c>
      <c r="C113" s="23"/>
      <c r="D113" s="24"/>
      <c r="E113" s="25" t="s">
        <v>338</v>
      </c>
      <c r="F113" s="26" t="s">
        <v>21</v>
      </c>
      <c r="G113" s="27" t="s">
        <v>267</v>
      </c>
      <c r="H113" s="35">
        <f>DATE(2023,2,2)</f>
        <v>44959</v>
      </c>
      <c r="I113" s="29" t="s">
        <v>339</v>
      </c>
      <c r="J113" s="29" t="str">
        <f>IFERROR(__xludf.DUMMYFUNCTION("""COMPUTED_VALUE"""),"https://i.postimg.cc/0NH8mz6B/Green-Attacker.png")</f>
        <v>https://i.postimg.cc/0NH8mz6B/Green-Attacker.png</v>
      </c>
      <c r="K113" s="30" t="s">
        <v>104</v>
      </c>
      <c r="L113" s="30" t="str">
        <f>IFERROR(__xludf.DUMMYFUNCTION("""COMPUTED_VALUE"""),"4 Stars")</f>
        <v>4 Stars</v>
      </c>
      <c r="M113" s="31">
        <f>IFERROR(__xludf.DUMMYFUNCTION("""COMPUTED_VALUE"""),44959.0)</f>
        <v>44959</v>
      </c>
      <c r="N113" s="32"/>
    </row>
    <row r="114" ht="112.5" customHeight="1">
      <c r="A114" s="21">
        <f t="shared" si="1"/>
        <v>236</v>
      </c>
      <c r="B114" s="34" t="s">
        <v>140</v>
      </c>
      <c r="C114" s="23"/>
      <c r="D114" s="24"/>
      <c r="E114" s="25" t="s">
        <v>340</v>
      </c>
      <c r="F114" s="26" t="s">
        <v>21</v>
      </c>
      <c r="G114" s="27" t="s">
        <v>341</v>
      </c>
      <c r="H114" s="37"/>
      <c r="I114" s="29" t="s">
        <v>342</v>
      </c>
      <c r="J114" s="29" t="str">
        <f>IFERROR(__xludf.DUMMYFUNCTION("""COMPUTED_VALUE"""),"https://i.postimg.cc/m2xg81dx/Blue-Defender.png")</f>
        <v>https://i.postimg.cc/m2xg81dx/Blue-Defender.png</v>
      </c>
      <c r="K114" s="30" t="s">
        <v>140</v>
      </c>
      <c r="L114" s="30" t="str">
        <f>IFERROR(__xludf.DUMMYFUNCTION("""COMPUTED_VALUE"""),"4 Stars")</f>
        <v>4 Stars</v>
      </c>
      <c r="M114" s="31">
        <f>IFERROR(__xludf.DUMMYFUNCTION("""COMPUTED_VALUE"""),44959.0)</f>
        <v>44959</v>
      </c>
      <c r="N114" s="32"/>
    </row>
    <row r="115" ht="112.5" customHeight="1">
      <c r="A115" s="21">
        <f t="shared" si="1"/>
        <v>235</v>
      </c>
      <c r="B115" s="22" t="s">
        <v>79</v>
      </c>
      <c r="C115" s="23"/>
      <c r="D115" s="24"/>
      <c r="E115" s="25" t="s">
        <v>343</v>
      </c>
      <c r="F115" s="26" t="s">
        <v>16</v>
      </c>
      <c r="G115" s="27" t="s">
        <v>169</v>
      </c>
      <c r="H115" s="36">
        <f>DATE(2023,1,26)</f>
        <v>44952</v>
      </c>
      <c r="I115" s="29" t="s">
        <v>344</v>
      </c>
      <c r="J115" s="29" t="str">
        <f>IFERROR(__xludf.DUMMYFUNCTION("""COMPUTED_VALUE"""),"https://i.postimg.cc/KjHbJxwR/Transforming-Element-Red-Attacker.png")</f>
        <v>https://i.postimg.cc/KjHbJxwR/Transforming-Element-Red-Attacker.png</v>
      </c>
      <c r="K115" s="30" t="s">
        <v>79</v>
      </c>
      <c r="L115" s="30" t="str">
        <f>IFERROR(__xludf.DUMMYFUNCTION("""COMPUTED_VALUE"""),"4 Stars")</f>
        <v>4 Stars</v>
      </c>
      <c r="M115" s="31">
        <f>IFERROR(__xludf.DUMMYFUNCTION("""COMPUTED_VALUE"""),44952.0)</f>
        <v>44952</v>
      </c>
      <c r="N115" s="32"/>
    </row>
    <row r="116" ht="112.5" customHeight="1">
      <c r="A116" s="21">
        <f t="shared" si="1"/>
        <v>234</v>
      </c>
      <c r="B116" s="34" t="s">
        <v>10</v>
      </c>
      <c r="C116" s="23"/>
      <c r="D116" s="24"/>
      <c r="E116" s="25" t="s">
        <v>345</v>
      </c>
      <c r="F116" s="26" t="s">
        <v>16</v>
      </c>
      <c r="G116" s="27" t="s">
        <v>346</v>
      </c>
      <c r="H116" s="36">
        <f>DATE(2023,1,10)</f>
        <v>44936</v>
      </c>
      <c r="I116" s="29" t="s">
        <v>347</v>
      </c>
      <c r="J116" s="29" t="str">
        <f>IFERROR(__xludf.DUMMYFUNCTION("""COMPUTED_VALUE"""),"https://i.postimg.cc/PxgT30Qb/Green-Runner.png")</f>
        <v>https://i.postimg.cc/PxgT30Qb/Green-Runner.png</v>
      </c>
      <c r="K116" s="30" t="s">
        <v>10</v>
      </c>
      <c r="L116" s="30" t="str">
        <f>IFERROR(__xludf.DUMMYFUNCTION("""COMPUTED_VALUE"""),"4 Stars")</f>
        <v>4 Stars</v>
      </c>
      <c r="M116" s="31">
        <f>IFERROR(__xludf.DUMMYFUNCTION("""COMPUTED_VALUE"""),44936.0)</f>
        <v>44936</v>
      </c>
      <c r="N116" s="32"/>
    </row>
    <row r="117" ht="112.5" customHeight="1">
      <c r="A117" s="21">
        <f t="shared" si="1"/>
        <v>233</v>
      </c>
      <c r="B117" s="34" t="s">
        <v>348</v>
      </c>
      <c r="C117" s="23"/>
      <c r="D117" s="24"/>
      <c r="E117" s="25" t="s">
        <v>349</v>
      </c>
      <c r="F117" s="26" t="s">
        <v>16</v>
      </c>
      <c r="G117" s="27" t="s">
        <v>350</v>
      </c>
      <c r="H117" s="36">
        <f>DATE(2023,1,1)</f>
        <v>44927</v>
      </c>
      <c r="I117" s="29" t="s">
        <v>351</v>
      </c>
      <c r="J117" s="29" t="str">
        <f>IFERROR(__xludf.DUMMYFUNCTION("""COMPUTED_VALUE"""),"https://i.postimg.cc/k4wqRxyN/Transforming-Class-Red-Defender.png")</f>
        <v>https://i.postimg.cc/k4wqRxyN/Transforming-Class-Red-Defender.png</v>
      </c>
      <c r="K117" s="30" t="s">
        <v>348</v>
      </c>
      <c r="L117" s="30" t="str">
        <f>IFERROR(__xludf.DUMMYFUNCTION("""COMPUTED_VALUE"""),"4 Stars")</f>
        <v>4 Stars</v>
      </c>
      <c r="M117" s="31">
        <f>IFERROR(__xludf.DUMMYFUNCTION("""COMPUTED_VALUE"""),44927.0)</f>
        <v>44927</v>
      </c>
      <c r="N117" s="32"/>
    </row>
    <row r="118" ht="112.5" customHeight="1">
      <c r="A118" s="21">
        <f t="shared" si="1"/>
        <v>232</v>
      </c>
      <c r="B118" s="34" t="s">
        <v>212</v>
      </c>
      <c r="C118" s="23"/>
      <c r="D118" s="24"/>
      <c r="E118" s="39" t="s">
        <v>352</v>
      </c>
      <c r="F118" s="26" t="s">
        <v>353</v>
      </c>
      <c r="G118" s="27" t="s">
        <v>354</v>
      </c>
      <c r="H118" s="35">
        <f>DATE(2022,12,19)</f>
        <v>44914</v>
      </c>
      <c r="I118" s="29" t="s">
        <v>355</v>
      </c>
      <c r="J118" s="29" t="str">
        <f>IFERROR(__xludf.DUMMYFUNCTION("""COMPUTED_VALUE"""),"https://i.postimg.cc/1zRtDxvf/Blue-Attacker.png")</f>
        <v>https://i.postimg.cc/1zRtDxvf/Blue-Attacker.png</v>
      </c>
      <c r="K118" s="30" t="s">
        <v>212</v>
      </c>
      <c r="L118" s="30" t="str">
        <f>IFERROR(__xludf.DUMMYFUNCTION("""COMPUTED_VALUE"""),"4 Stars")</f>
        <v>4 Stars</v>
      </c>
      <c r="M118" s="31">
        <f>IFERROR(__xludf.DUMMYFUNCTION("""COMPUTED_VALUE"""),44914.0)</f>
        <v>44914</v>
      </c>
      <c r="N118" s="32"/>
    </row>
    <row r="119" ht="112.5" customHeight="1">
      <c r="A119" s="21">
        <f t="shared" si="1"/>
        <v>231</v>
      </c>
      <c r="B119" s="34" t="s">
        <v>24</v>
      </c>
      <c r="C119" s="23"/>
      <c r="D119" s="24"/>
      <c r="E119" s="25" t="s">
        <v>356</v>
      </c>
      <c r="F119" s="26" t="s">
        <v>21</v>
      </c>
      <c r="G119" s="27" t="s">
        <v>264</v>
      </c>
      <c r="H119" s="37"/>
      <c r="I119" s="29" t="s">
        <v>357</v>
      </c>
      <c r="J119" s="29" t="str">
        <f>IFERROR(__xludf.DUMMYFUNCTION("""COMPUTED_VALUE"""),"https://i.postimg.cc/Hk6HDrtk/Red-Runner.png")</f>
        <v>https://i.postimg.cc/Hk6HDrtk/Red-Runner.png</v>
      </c>
      <c r="K119" s="30" t="s">
        <v>24</v>
      </c>
      <c r="L119" s="30" t="str">
        <f>IFERROR(__xludf.DUMMYFUNCTION("""COMPUTED_VALUE"""),"4 Stars")</f>
        <v>4 Stars</v>
      </c>
      <c r="M119" s="31">
        <f>IFERROR(__xludf.DUMMYFUNCTION("""COMPUTED_VALUE"""),44914.0)</f>
        <v>44914</v>
      </c>
      <c r="N119" s="32"/>
    </row>
    <row r="120" ht="112.5" customHeight="1">
      <c r="A120" s="21">
        <f t="shared" si="1"/>
        <v>230</v>
      </c>
      <c r="B120" s="34" t="s">
        <v>212</v>
      </c>
      <c r="C120" s="23"/>
      <c r="D120" s="24"/>
      <c r="E120" s="25" t="s">
        <v>358</v>
      </c>
      <c r="F120" s="26" t="s">
        <v>7</v>
      </c>
      <c r="G120" s="27" t="s">
        <v>359</v>
      </c>
      <c r="H120" s="36">
        <f>DATE(2022,12,13)</f>
        <v>44908</v>
      </c>
      <c r="I120" s="29" t="s">
        <v>360</v>
      </c>
      <c r="J120" s="29" t="str">
        <f>IFERROR(__xludf.DUMMYFUNCTION("""COMPUTED_VALUE"""),"https://i.postimg.cc/1zRtDxvf/Blue-Attacker.png")</f>
        <v>https://i.postimg.cc/1zRtDxvf/Blue-Attacker.png</v>
      </c>
      <c r="K120" s="30" t="s">
        <v>212</v>
      </c>
      <c r="L120" s="30" t="str">
        <f>IFERROR(__xludf.DUMMYFUNCTION("""COMPUTED_VALUE"""),"4 Stars")</f>
        <v>4 Stars</v>
      </c>
      <c r="M120" s="31">
        <f>IFERROR(__xludf.DUMMYFUNCTION("""COMPUTED_VALUE"""),44908.0)</f>
        <v>44908</v>
      </c>
      <c r="N120" s="32"/>
    </row>
    <row r="121" ht="112.5" customHeight="1">
      <c r="A121" s="21">
        <f t="shared" si="1"/>
        <v>229</v>
      </c>
      <c r="B121" s="34" t="s">
        <v>140</v>
      </c>
      <c r="C121" s="23"/>
      <c r="D121" s="24"/>
      <c r="E121" s="25" t="s">
        <v>361</v>
      </c>
      <c r="F121" s="26" t="s">
        <v>7</v>
      </c>
      <c r="G121" s="27" t="s">
        <v>175</v>
      </c>
      <c r="H121" s="36">
        <f>DATE(2022,12,6)</f>
        <v>44901</v>
      </c>
      <c r="I121" s="29" t="s">
        <v>362</v>
      </c>
      <c r="J121" s="29" t="str">
        <f>IFERROR(__xludf.DUMMYFUNCTION("""COMPUTED_VALUE"""),"https://i.postimg.cc/m2xg81dx/Blue-Defender.png")</f>
        <v>https://i.postimg.cc/m2xg81dx/Blue-Defender.png</v>
      </c>
      <c r="K121" s="30" t="s">
        <v>140</v>
      </c>
      <c r="L121" s="30" t="str">
        <f>IFERROR(__xludf.DUMMYFUNCTION("""COMPUTED_VALUE"""),"4 Stars")</f>
        <v>4 Stars</v>
      </c>
      <c r="M121" s="31">
        <f>IFERROR(__xludf.DUMMYFUNCTION("""COMPUTED_VALUE"""),44901.0)</f>
        <v>44901</v>
      </c>
      <c r="N121" s="32"/>
    </row>
    <row r="122" ht="112.5" customHeight="1">
      <c r="A122" s="21">
        <f t="shared" si="1"/>
        <v>228</v>
      </c>
      <c r="B122" s="34" t="s">
        <v>35</v>
      </c>
      <c r="C122" s="23"/>
      <c r="D122" s="24"/>
      <c r="E122" s="25" t="s">
        <v>363</v>
      </c>
      <c r="F122" s="26" t="s">
        <v>7</v>
      </c>
      <c r="G122" s="27" t="s">
        <v>364</v>
      </c>
      <c r="H122" s="36">
        <f>DATE(2022,11,17)</f>
        <v>44882</v>
      </c>
      <c r="I122" s="29" t="s">
        <v>365</v>
      </c>
      <c r="J122" s="29" t="str">
        <f>IFERROR(__xludf.DUMMYFUNCTION("""COMPUTED_VALUE"""),"https://i.postimg.cc/L6B2DCYf/Red-Attacker.png")</f>
        <v>https://i.postimg.cc/L6B2DCYf/Red-Attacker.png</v>
      </c>
      <c r="K122" s="30" t="s">
        <v>35</v>
      </c>
      <c r="L122" s="30" t="str">
        <f>IFERROR(__xludf.DUMMYFUNCTION("""COMPUTED_VALUE"""),"4 Stars")</f>
        <v>4 Stars</v>
      </c>
      <c r="M122" s="31">
        <f>IFERROR(__xludf.DUMMYFUNCTION("""COMPUTED_VALUE"""),44882.0)</f>
        <v>44882</v>
      </c>
      <c r="N122" s="32"/>
    </row>
    <row r="123" ht="112.5" customHeight="1">
      <c r="A123" s="21">
        <f t="shared" si="1"/>
        <v>227</v>
      </c>
      <c r="B123" s="34" t="s">
        <v>114</v>
      </c>
      <c r="C123" s="23"/>
      <c r="D123" s="24"/>
      <c r="E123" s="25" t="s">
        <v>366</v>
      </c>
      <c r="F123" s="26" t="s">
        <v>7</v>
      </c>
      <c r="G123" s="27" t="s">
        <v>367</v>
      </c>
      <c r="H123" s="36">
        <f>DATE(2022,11,10)</f>
        <v>44875</v>
      </c>
      <c r="I123" s="29" t="s">
        <v>368</v>
      </c>
      <c r="J123" s="29" t="str">
        <f>IFERROR(__xludf.DUMMYFUNCTION("""COMPUTED_VALUE"""),"https://i.postimg.cc/4NzNM4MY/Blue-Runner.png")</f>
        <v>https://i.postimg.cc/4NzNM4MY/Blue-Runner.png</v>
      </c>
      <c r="K123" s="30" t="s">
        <v>114</v>
      </c>
      <c r="L123" s="30" t="str">
        <f>IFERROR(__xludf.DUMMYFUNCTION("""COMPUTED_VALUE"""),"4 Stars")</f>
        <v>4 Stars</v>
      </c>
      <c r="M123" s="31">
        <f>IFERROR(__xludf.DUMMYFUNCTION("""COMPUTED_VALUE"""),44875.0)</f>
        <v>44875</v>
      </c>
      <c r="N123" s="32"/>
    </row>
    <row r="124" ht="112.5" customHeight="1">
      <c r="A124" s="21">
        <f t="shared" si="1"/>
        <v>226</v>
      </c>
      <c r="B124" s="34" t="s">
        <v>86</v>
      </c>
      <c r="C124" s="23"/>
      <c r="D124" s="24"/>
      <c r="E124" s="25" t="s">
        <v>369</v>
      </c>
      <c r="F124" s="26" t="s">
        <v>21</v>
      </c>
      <c r="G124" s="27" t="s">
        <v>370</v>
      </c>
      <c r="H124" s="35">
        <f>DATE(2022,10,27)</f>
        <v>44861</v>
      </c>
      <c r="I124" s="29" t="s">
        <v>371</v>
      </c>
      <c r="J124" s="29" t="str">
        <f>IFERROR(__xludf.DUMMYFUNCTION("""COMPUTED_VALUE"""),"https://i.postimg.cc/qRhpGpyM/Green-Defender.png")</f>
        <v>https://i.postimg.cc/qRhpGpyM/Green-Defender.png</v>
      </c>
      <c r="K124" s="30" t="s">
        <v>86</v>
      </c>
      <c r="L124" s="30" t="str">
        <f>IFERROR(__xludf.DUMMYFUNCTION("""COMPUTED_VALUE"""),"4 Stars")</f>
        <v>4 Stars</v>
      </c>
      <c r="M124" s="31">
        <f>IFERROR(__xludf.DUMMYFUNCTION("""COMPUTED_VALUE"""),44861.0)</f>
        <v>44861</v>
      </c>
      <c r="N124" s="32"/>
    </row>
    <row r="125" ht="112.5" customHeight="1">
      <c r="A125" s="21">
        <f t="shared" si="1"/>
        <v>225</v>
      </c>
      <c r="B125" s="34" t="s">
        <v>104</v>
      </c>
      <c r="C125" s="23"/>
      <c r="D125" s="24"/>
      <c r="E125" s="25" t="s">
        <v>372</v>
      </c>
      <c r="F125" s="26" t="s">
        <v>21</v>
      </c>
      <c r="G125" s="27" t="s">
        <v>373</v>
      </c>
      <c r="H125" s="37"/>
      <c r="I125" s="29" t="s">
        <v>374</v>
      </c>
      <c r="J125" s="29" t="str">
        <f>IFERROR(__xludf.DUMMYFUNCTION("""COMPUTED_VALUE"""),"https://i.postimg.cc/0NH8mz6B/Green-Attacker.png")</f>
        <v>https://i.postimg.cc/0NH8mz6B/Green-Attacker.png</v>
      </c>
      <c r="K125" s="30" t="s">
        <v>104</v>
      </c>
      <c r="L125" s="30" t="str">
        <f>IFERROR(__xludf.DUMMYFUNCTION("""COMPUTED_VALUE"""),"4 Stars")</f>
        <v>4 Stars</v>
      </c>
      <c r="M125" s="31">
        <f>IFERROR(__xludf.DUMMYFUNCTION("""COMPUTED_VALUE"""),44861.0)</f>
        <v>44861</v>
      </c>
      <c r="N125" s="32"/>
    </row>
    <row r="126" ht="112.5" customHeight="1">
      <c r="A126" s="21">
        <f t="shared" si="1"/>
        <v>224</v>
      </c>
      <c r="B126" s="34" t="s">
        <v>10</v>
      </c>
      <c r="C126" s="23"/>
      <c r="D126" s="24"/>
      <c r="E126" s="25" t="s">
        <v>375</v>
      </c>
      <c r="F126" s="26" t="s">
        <v>7</v>
      </c>
      <c r="G126" s="27" t="s">
        <v>163</v>
      </c>
      <c r="H126" s="36">
        <f>DATE(2022,10,13)</f>
        <v>44847</v>
      </c>
      <c r="I126" s="29" t="s">
        <v>376</v>
      </c>
      <c r="J126" s="29" t="str">
        <f>IFERROR(__xludf.DUMMYFUNCTION("""COMPUTED_VALUE"""),"https://i.postimg.cc/PxgT30Qb/Green-Runner.png")</f>
        <v>https://i.postimg.cc/PxgT30Qb/Green-Runner.png</v>
      </c>
      <c r="K126" s="30" t="s">
        <v>10</v>
      </c>
      <c r="L126" s="30" t="str">
        <f>IFERROR(__xludf.DUMMYFUNCTION("""COMPUTED_VALUE"""),"4 Stars")</f>
        <v>4 Stars</v>
      </c>
      <c r="M126" s="31">
        <f>IFERROR(__xludf.DUMMYFUNCTION("""COMPUTED_VALUE"""),44847.0)</f>
        <v>44847</v>
      </c>
      <c r="N126" s="32"/>
    </row>
    <row r="127" ht="112.5" customHeight="1">
      <c r="A127" s="21">
        <f t="shared" si="1"/>
        <v>223</v>
      </c>
      <c r="B127" s="34" t="s">
        <v>35</v>
      </c>
      <c r="C127" s="23"/>
      <c r="D127" s="24"/>
      <c r="E127" s="25" t="s">
        <v>377</v>
      </c>
      <c r="F127" s="26" t="s">
        <v>162</v>
      </c>
      <c r="G127" s="27" t="s">
        <v>378</v>
      </c>
      <c r="H127" s="35">
        <f>DATE(2022,9,29)</f>
        <v>44833</v>
      </c>
      <c r="I127" s="29" t="s">
        <v>379</v>
      </c>
      <c r="J127" s="29" t="str">
        <f>IFERROR(__xludf.DUMMYFUNCTION("""COMPUTED_VALUE"""),"https://i.postimg.cc/L6B2DCYf/Red-Attacker.png")</f>
        <v>https://i.postimg.cc/L6B2DCYf/Red-Attacker.png</v>
      </c>
      <c r="K127" s="30" t="s">
        <v>35</v>
      </c>
      <c r="L127" s="30" t="str">
        <f>IFERROR(__xludf.DUMMYFUNCTION("""COMPUTED_VALUE"""),"4 Stars")</f>
        <v>4 Stars</v>
      </c>
      <c r="M127" s="31">
        <f>IFERROR(__xludf.DUMMYFUNCTION("""COMPUTED_VALUE"""),44833.0)</f>
        <v>44833</v>
      </c>
      <c r="N127" s="32"/>
    </row>
    <row r="128" ht="112.5" customHeight="1">
      <c r="A128" s="21">
        <f t="shared" si="1"/>
        <v>222</v>
      </c>
      <c r="B128" s="34" t="s">
        <v>75</v>
      </c>
      <c r="C128" s="23"/>
      <c r="D128" s="24"/>
      <c r="E128" s="25" t="s">
        <v>380</v>
      </c>
      <c r="F128" s="26" t="s">
        <v>162</v>
      </c>
      <c r="G128" s="27" t="s">
        <v>381</v>
      </c>
      <c r="H128" s="37"/>
      <c r="I128" s="29" t="s">
        <v>382</v>
      </c>
      <c r="J128" s="29" t="str">
        <f>IFERROR(__xludf.DUMMYFUNCTION("""COMPUTED_VALUE"""),"https://i.postimg.cc/P5XhRWY7/Red-Defender.png")</f>
        <v>https://i.postimg.cc/P5XhRWY7/Red-Defender.png</v>
      </c>
      <c r="K128" s="30" t="s">
        <v>75</v>
      </c>
      <c r="L128" s="30" t="str">
        <f>IFERROR(__xludf.DUMMYFUNCTION("""COMPUTED_VALUE"""),"4 Stars")</f>
        <v>4 Stars</v>
      </c>
      <c r="M128" s="31">
        <f>IFERROR(__xludf.DUMMYFUNCTION("""COMPUTED_VALUE"""),44833.0)</f>
        <v>44833</v>
      </c>
      <c r="N128" s="32"/>
    </row>
    <row r="129" ht="112.5" customHeight="1">
      <c r="A129" s="21">
        <f t="shared" si="1"/>
        <v>221</v>
      </c>
      <c r="B129" s="34" t="s">
        <v>86</v>
      </c>
      <c r="C129" s="23"/>
      <c r="D129" s="24"/>
      <c r="E129" s="25" t="s">
        <v>383</v>
      </c>
      <c r="F129" s="26" t="s">
        <v>384</v>
      </c>
      <c r="G129" s="27" t="s">
        <v>385</v>
      </c>
      <c r="H129" s="36">
        <f>DATE(2022,9,15)</f>
        <v>44819</v>
      </c>
      <c r="I129" s="29" t="s">
        <v>386</v>
      </c>
      <c r="J129" s="29" t="str">
        <f>IFERROR(__xludf.DUMMYFUNCTION("""COMPUTED_VALUE"""),"https://i.postimg.cc/qRhpGpyM/Green-Defender.png")</f>
        <v>https://i.postimg.cc/qRhpGpyM/Green-Defender.png</v>
      </c>
      <c r="K129" s="30" t="s">
        <v>86</v>
      </c>
      <c r="L129" s="30" t="str">
        <f>IFERROR(__xludf.DUMMYFUNCTION("""COMPUTED_VALUE"""),"4 Stars")</f>
        <v>4 Stars</v>
      </c>
      <c r="M129" s="31">
        <f>IFERROR(__xludf.DUMMYFUNCTION("""COMPUTED_VALUE"""),44819.0)</f>
        <v>44819</v>
      </c>
      <c r="N129" s="32"/>
    </row>
    <row r="130" ht="112.5" customHeight="1">
      <c r="A130" s="21">
        <f t="shared" si="1"/>
        <v>220</v>
      </c>
      <c r="B130" s="34" t="s">
        <v>114</v>
      </c>
      <c r="C130" s="23"/>
      <c r="D130" s="24"/>
      <c r="E130" s="25" t="s">
        <v>387</v>
      </c>
      <c r="F130" s="26" t="s">
        <v>384</v>
      </c>
      <c r="G130" s="27" t="s">
        <v>302</v>
      </c>
      <c r="H130" s="36">
        <f>DATE(2022,9,8)</f>
        <v>44812</v>
      </c>
      <c r="I130" s="29" t="s">
        <v>388</v>
      </c>
      <c r="J130" s="29" t="str">
        <f>IFERROR(__xludf.DUMMYFUNCTION("""COMPUTED_VALUE"""),"https://i.postimg.cc/4NzNM4MY/Blue-Runner.png")</f>
        <v>https://i.postimg.cc/4NzNM4MY/Blue-Runner.png</v>
      </c>
      <c r="K130" s="30" t="s">
        <v>114</v>
      </c>
      <c r="L130" s="30" t="str">
        <f>IFERROR(__xludf.DUMMYFUNCTION("""COMPUTED_VALUE"""),"4 Stars")</f>
        <v>4 Stars</v>
      </c>
      <c r="M130" s="31">
        <f>IFERROR(__xludf.DUMMYFUNCTION("""COMPUTED_VALUE"""),44812.0)</f>
        <v>44812</v>
      </c>
      <c r="N130" s="32"/>
    </row>
    <row r="131" ht="112.5" customHeight="1">
      <c r="A131" s="21">
        <f t="shared" si="1"/>
        <v>219</v>
      </c>
      <c r="B131" s="34" t="s">
        <v>140</v>
      </c>
      <c r="C131" s="23"/>
      <c r="D131" s="24"/>
      <c r="E131" s="25" t="s">
        <v>389</v>
      </c>
      <c r="F131" s="26" t="s">
        <v>162</v>
      </c>
      <c r="G131" s="27" t="s">
        <v>390</v>
      </c>
      <c r="H131" s="35">
        <f>DATE(2022,8,25)</f>
        <v>44798</v>
      </c>
      <c r="I131" s="29" t="s">
        <v>391</v>
      </c>
      <c r="J131" s="29" t="str">
        <f>IFERROR(__xludf.DUMMYFUNCTION("""COMPUTED_VALUE"""),"https://i.postimg.cc/m2xg81dx/Blue-Defender.png")</f>
        <v>https://i.postimg.cc/m2xg81dx/Blue-Defender.png</v>
      </c>
      <c r="K131" s="30" t="s">
        <v>140</v>
      </c>
      <c r="L131" s="30" t="str">
        <f>IFERROR(__xludf.DUMMYFUNCTION("""COMPUTED_VALUE"""),"4 Stars")</f>
        <v>4 Stars</v>
      </c>
      <c r="M131" s="31">
        <f>IFERROR(__xludf.DUMMYFUNCTION("""COMPUTED_VALUE"""),44798.0)</f>
        <v>44798</v>
      </c>
      <c r="N131" s="32"/>
    </row>
    <row r="132" ht="112.5" customHeight="1">
      <c r="A132" s="21">
        <f t="shared" si="1"/>
        <v>218</v>
      </c>
      <c r="B132" s="34" t="s">
        <v>104</v>
      </c>
      <c r="C132" s="23"/>
      <c r="D132" s="24"/>
      <c r="E132" s="25" t="s">
        <v>392</v>
      </c>
      <c r="F132" s="26" t="s">
        <v>16</v>
      </c>
      <c r="G132" s="27" t="s">
        <v>393</v>
      </c>
      <c r="H132" s="37"/>
      <c r="I132" s="29" t="s">
        <v>394</v>
      </c>
      <c r="J132" s="29" t="str">
        <f>IFERROR(__xludf.DUMMYFUNCTION("""COMPUTED_VALUE"""),"https://i.postimg.cc/0NH8mz6B/Green-Attacker.png")</f>
        <v>https://i.postimg.cc/0NH8mz6B/Green-Attacker.png</v>
      </c>
      <c r="K132" s="30" t="s">
        <v>104</v>
      </c>
      <c r="L132" s="30" t="str">
        <f>IFERROR(__xludf.DUMMYFUNCTION("""COMPUTED_VALUE"""),"4 Stars")</f>
        <v>4 Stars</v>
      </c>
      <c r="M132" s="31">
        <f>IFERROR(__xludf.DUMMYFUNCTION("""COMPUTED_VALUE"""),44798.0)</f>
        <v>44798</v>
      </c>
      <c r="N132" s="32"/>
    </row>
    <row r="133" ht="112.5" customHeight="1">
      <c r="A133" s="21">
        <f t="shared" si="1"/>
        <v>217</v>
      </c>
      <c r="B133" s="34" t="s">
        <v>35</v>
      </c>
      <c r="C133" s="23"/>
      <c r="D133" s="24"/>
      <c r="E133" s="40" t="s">
        <v>395</v>
      </c>
      <c r="F133" s="26" t="s">
        <v>396</v>
      </c>
      <c r="G133" s="27" t="s">
        <v>397</v>
      </c>
      <c r="H133" s="35">
        <f>DATE(2022,8,4)</f>
        <v>44777</v>
      </c>
      <c r="I133" s="29" t="s">
        <v>398</v>
      </c>
      <c r="J133" s="29" t="str">
        <f>IFERROR(__xludf.DUMMYFUNCTION("""COMPUTED_VALUE"""),"https://i.postimg.cc/L6B2DCYf/Red-Attacker.png")</f>
        <v>https://i.postimg.cc/L6B2DCYf/Red-Attacker.png</v>
      </c>
      <c r="K133" s="30" t="s">
        <v>35</v>
      </c>
      <c r="L133" s="30" t="str">
        <f>IFERROR(__xludf.DUMMYFUNCTION("""COMPUTED_VALUE"""),"3 Stars")</f>
        <v>3 Stars</v>
      </c>
      <c r="M133" s="31">
        <f>IFERROR(__xludf.DUMMYFUNCTION("""COMPUTED_VALUE"""),44777.0)</f>
        <v>44777</v>
      </c>
      <c r="N133" s="32"/>
    </row>
    <row r="134" ht="112.5" customHeight="1">
      <c r="A134" s="21">
        <f t="shared" si="1"/>
        <v>216</v>
      </c>
      <c r="B134" s="34" t="s">
        <v>35</v>
      </c>
      <c r="C134" s="23"/>
      <c r="D134" s="24"/>
      <c r="E134" s="25" t="s">
        <v>399</v>
      </c>
      <c r="F134" s="26" t="s">
        <v>162</v>
      </c>
      <c r="G134" s="27" t="s">
        <v>400</v>
      </c>
      <c r="H134" s="37"/>
      <c r="I134" s="29" t="s">
        <v>401</v>
      </c>
      <c r="J134" s="29" t="str">
        <f>IFERROR(__xludf.DUMMYFUNCTION("""COMPUTED_VALUE"""),"https://i.postimg.cc/L6B2DCYf/Red-Attacker.png")</f>
        <v>https://i.postimg.cc/L6B2DCYf/Red-Attacker.png</v>
      </c>
      <c r="K134" s="30" t="s">
        <v>35</v>
      </c>
      <c r="L134" s="30" t="str">
        <f>IFERROR(__xludf.DUMMYFUNCTION("""COMPUTED_VALUE"""),"4 Stars")</f>
        <v>4 Stars</v>
      </c>
      <c r="M134" s="31">
        <f>IFERROR(__xludf.DUMMYFUNCTION("""COMPUTED_VALUE"""),44777.0)</f>
        <v>44777</v>
      </c>
      <c r="N134" s="32"/>
    </row>
    <row r="135" ht="112.5" customHeight="1">
      <c r="A135" s="21">
        <f t="shared" si="1"/>
        <v>215</v>
      </c>
      <c r="B135" s="34" t="s">
        <v>86</v>
      </c>
      <c r="C135" s="23"/>
      <c r="D135" s="24"/>
      <c r="E135" s="25" t="s">
        <v>402</v>
      </c>
      <c r="F135" s="26" t="s">
        <v>16</v>
      </c>
      <c r="G135" s="27" t="s">
        <v>403</v>
      </c>
      <c r="H135" s="36">
        <f>DATE(2022,7,25)</f>
        <v>44767</v>
      </c>
      <c r="I135" s="29" t="s">
        <v>404</v>
      </c>
      <c r="J135" s="29" t="str">
        <f>IFERROR(__xludf.DUMMYFUNCTION("""COMPUTED_VALUE"""),"https://i.postimg.cc/qRhpGpyM/Green-Defender.png")</f>
        <v>https://i.postimg.cc/qRhpGpyM/Green-Defender.png</v>
      </c>
      <c r="K135" s="30" t="s">
        <v>86</v>
      </c>
      <c r="L135" s="30" t="str">
        <f>IFERROR(__xludf.DUMMYFUNCTION("""COMPUTED_VALUE"""),"4 Stars")</f>
        <v>4 Stars</v>
      </c>
      <c r="M135" s="31">
        <f>IFERROR(__xludf.DUMMYFUNCTION("""COMPUTED_VALUE"""),44767.0)</f>
        <v>44767</v>
      </c>
      <c r="N135" s="32"/>
    </row>
    <row r="136" ht="112.5" customHeight="1">
      <c r="A136" s="21">
        <f t="shared" si="1"/>
        <v>214</v>
      </c>
      <c r="B136" s="34" t="s">
        <v>212</v>
      </c>
      <c r="C136" s="23"/>
      <c r="D136" s="24"/>
      <c r="E136" s="25" t="s">
        <v>405</v>
      </c>
      <c r="F136" s="26" t="s">
        <v>162</v>
      </c>
      <c r="G136" s="27" t="s">
        <v>406</v>
      </c>
      <c r="H136" s="36">
        <f>DATE(2022,7,12)</f>
        <v>44754</v>
      </c>
      <c r="I136" s="29" t="s">
        <v>407</v>
      </c>
      <c r="J136" s="29" t="str">
        <f>IFERROR(__xludf.DUMMYFUNCTION("""COMPUTED_VALUE"""),"https://i.postimg.cc/1zRtDxvf/Blue-Attacker.png")</f>
        <v>https://i.postimg.cc/1zRtDxvf/Blue-Attacker.png</v>
      </c>
      <c r="K136" s="30" t="s">
        <v>212</v>
      </c>
      <c r="L136" s="30" t="str">
        <f>IFERROR(__xludf.DUMMYFUNCTION("""COMPUTED_VALUE"""),"4 Stars")</f>
        <v>4 Stars</v>
      </c>
      <c r="M136" s="31">
        <f>IFERROR(__xludf.DUMMYFUNCTION("""COMPUTED_VALUE"""),44754.0)</f>
        <v>44754</v>
      </c>
      <c r="N136" s="32"/>
    </row>
    <row r="137" ht="112.5" customHeight="1">
      <c r="A137" s="21">
        <f t="shared" si="1"/>
        <v>213</v>
      </c>
      <c r="B137" s="34" t="s">
        <v>24</v>
      </c>
      <c r="C137" s="23"/>
      <c r="D137" s="24"/>
      <c r="E137" s="25" t="s">
        <v>408</v>
      </c>
      <c r="F137" s="26" t="s">
        <v>162</v>
      </c>
      <c r="G137" s="27" t="s">
        <v>409</v>
      </c>
      <c r="H137" s="36">
        <f>DATE(2022,7,5)</f>
        <v>44747</v>
      </c>
      <c r="I137" s="29" t="s">
        <v>410</v>
      </c>
      <c r="J137" s="29" t="str">
        <f>IFERROR(__xludf.DUMMYFUNCTION("""COMPUTED_VALUE"""),"https://i.postimg.cc/Hk6HDrtk/Red-Runner.png")</f>
        <v>https://i.postimg.cc/Hk6HDrtk/Red-Runner.png</v>
      </c>
      <c r="K137" s="30" t="s">
        <v>24</v>
      </c>
      <c r="L137" s="30" t="str">
        <f>IFERROR(__xludf.DUMMYFUNCTION("""COMPUTED_VALUE"""),"4 Stars")</f>
        <v>4 Stars</v>
      </c>
      <c r="M137" s="31">
        <f>IFERROR(__xludf.DUMMYFUNCTION("""COMPUTED_VALUE"""),44747.0)</f>
        <v>44747</v>
      </c>
      <c r="N137" s="32"/>
    </row>
    <row r="138" ht="112.5" customHeight="1">
      <c r="A138" s="21">
        <f t="shared" si="1"/>
        <v>212</v>
      </c>
      <c r="B138" s="34" t="s">
        <v>114</v>
      </c>
      <c r="C138" s="23"/>
      <c r="D138" s="24"/>
      <c r="E138" s="25" t="s">
        <v>411</v>
      </c>
      <c r="F138" s="26" t="s">
        <v>162</v>
      </c>
      <c r="G138" s="27" t="s">
        <v>412</v>
      </c>
      <c r="H138" s="36">
        <f>DATE(2022,6,28)</f>
        <v>44740</v>
      </c>
      <c r="I138" s="29" t="s">
        <v>413</v>
      </c>
      <c r="J138" s="29" t="str">
        <f>IFERROR(__xludf.DUMMYFUNCTION("""COMPUTED_VALUE"""),"https://i.postimg.cc/4NzNM4MY/Blue-Runner.png")</f>
        <v>https://i.postimg.cc/4NzNM4MY/Blue-Runner.png</v>
      </c>
      <c r="K138" s="30" t="s">
        <v>114</v>
      </c>
      <c r="L138" s="30" t="str">
        <f>IFERROR(__xludf.DUMMYFUNCTION("""COMPUTED_VALUE"""),"4 Stars")</f>
        <v>4 Stars</v>
      </c>
      <c r="M138" s="31">
        <f>IFERROR(__xludf.DUMMYFUNCTION("""COMPUTED_VALUE"""),44740.0)</f>
        <v>44740</v>
      </c>
      <c r="N138" s="32"/>
    </row>
    <row r="139" ht="112.5" customHeight="1">
      <c r="A139" s="21">
        <f t="shared" si="1"/>
        <v>211</v>
      </c>
      <c r="B139" s="34" t="s">
        <v>10</v>
      </c>
      <c r="C139" s="23"/>
      <c r="D139" s="24"/>
      <c r="E139" s="25" t="s">
        <v>414</v>
      </c>
      <c r="F139" s="26" t="s">
        <v>21</v>
      </c>
      <c r="G139" s="27" t="s">
        <v>415</v>
      </c>
      <c r="H139" s="35">
        <f>DATE(2022,5,26)</f>
        <v>44707</v>
      </c>
      <c r="I139" s="29" t="s">
        <v>416</v>
      </c>
      <c r="J139" s="29" t="str">
        <f>IFERROR(__xludf.DUMMYFUNCTION("""COMPUTED_VALUE"""),"https://i.postimg.cc/PxgT30Qb/Green-Runner.png")</f>
        <v>https://i.postimg.cc/PxgT30Qb/Green-Runner.png</v>
      </c>
      <c r="K139" s="30" t="s">
        <v>10</v>
      </c>
      <c r="L139" s="30" t="str">
        <f>IFERROR(__xludf.DUMMYFUNCTION("""COMPUTED_VALUE"""),"4 Stars")</f>
        <v>4 Stars</v>
      </c>
      <c r="M139" s="31">
        <f>IFERROR(__xludf.DUMMYFUNCTION("""COMPUTED_VALUE"""),44707.0)</f>
        <v>44707</v>
      </c>
      <c r="N139" s="32"/>
    </row>
    <row r="140" ht="112.5" customHeight="1">
      <c r="A140" s="21">
        <f t="shared" si="1"/>
        <v>210</v>
      </c>
      <c r="B140" s="34" t="s">
        <v>104</v>
      </c>
      <c r="C140" s="23"/>
      <c r="D140" s="24"/>
      <c r="E140" s="25" t="s">
        <v>417</v>
      </c>
      <c r="F140" s="26" t="s">
        <v>21</v>
      </c>
      <c r="G140" s="27" t="s">
        <v>334</v>
      </c>
      <c r="H140" s="37"/>
      <c r="I140" s="29" t="s">
        <v>418</v>
      </c>
      <c r="J140" s="29" t="str">
        <f>IFERROR(__xludf.DUMMYFUNCTION("""COMPUTED_VALUE"""),"https://i.postimg.cc/0NH8mz6B/Green-Attacker.png")</f>
        <v>https://i.postimg.cc/0NH8mz6B/Green-Attacker.png</v>
      </c>
      <c r="K140" s="30" t="s">
        <v>104</v>
      </c>
      <c r="L140" s="30" t="str">
        <f>IFERROR(__xludf.DUMMYFUNCTION("""COMPUTED_VALUE"""),"4 Stars")</f>
        <v>4 Stars</v>
      </c>
      <c r="M140" s="31">
        <f>IFERROR(__xludf.DUMMYFUNCTION("""COMPUTED_VALUE"""),44707.0)</f>
        <v>44707</v>
      </c>
      <c r="N140" s="32"/>
    </row>
    <row r="141" ht="112.5" customHeight="1">
      <c r="A141" s="21">
        <f t="shared" si="1"/>
        <v>209</v>
      </c>
      <c r="B141" s="34" t="s">
        <v>212</v>
      </c>
      <c r="C141" s="23"/>
      <c r="D141" s="24"/>
      <c r="E141" s="25" t="s">
        <v>419</v>
      </c>
      <c r="F141" s="26" t="s">
        <v>21</v>
      </c>
      <c r="G141" s="27" t="s">
        <v>267</v>
      </c>
      <c r="H141" s="35">
        <f>DATE(2022,5,12)</f>
        <v>44693</v>
      </c>
      <c r="I141" s="29" t="s">
        <v>420</v>
      </c>
      <c r="J141" s="29" t="str">
        <f>IFERROR(__xludf.DUMMYFUNCTION("""COMPUTED_VALUE"""),"https://i.postimg.cc/1zRtDxvf/Blue-Attacker.png")</f>
        <v>https://i.postimg.cc/1zRtDxvf/Blue-Attacker.png</v>
      </c>
      <c r="K141" s="30" t="s">
        <v>212</v>
      </c>
      <c r="L141" s="30" t="str">
        <f>IFERROR(__xludf.DUMMYFUNCTION("""COMPUTED_VALUE"""),"4 Stars")</f>
        <v>4 Stars</v>
      </c>
      <c r="M141" s="31">
        <f>IFERROR(__xludf.DUMMYFUNCTION("""COMPUTED_VALUE"""),44693.0)</f>
        <v>44693</v>
      </c>
      <c r="N141" s="32"/>
    </row>
    <row r="142" ht="112.5" customHeight="1">
      <c r="A142" s="21">
        <f t="shared" si="1"/>
        <v>208</v>
      </c>
      <c r="B142" s="34" t="s">
        <v>75</v>
      </c>
      <c r="C142" s="23"/>
      <c r="D142" s="24"/>
      <c r="E142" s="25" t="s">
        <v>421</v>
      </c>
      <c r="F142" s="26" t="s">
        <v>21</v>
      </c>
      <c r="G142" s="27" t="s">
        <v>249</v>
      </c>
      <c r="H142" s="37"/>
      <c r="I142" s="29" t="s">
        <v>422</v>
      </c>
      <c r="J142" s="29" t="str">
        <f>IFERROR(__xludf.DUMMYFUNCTION("""COMPUTED_VALUE"""),"https://i.postimg.cc/P5XhRWY7/Red-Defender.png")</f>
        <v>https://i.postimg.cc/P5XhRWY7/Red-Defender.png</v>
      </c>
      <c r="K142" s="30" t="s">
        <v>75</v>
      </c>
      <c r="L142" s="30" t="str">
        <f>IFERROR(__xludf.DUMMYFUNCTION("""COMPUTED_VALUE"""),"4 Stars")</f>
        <v>4 Stars</v>
      </c>
      <c r="M142" s="31">
        <f>IFERROR(__xludf.DUMMYFUNCTION("""COMPUTED_VALUE"""),44693.0)</f>
        <v>44693</v>
      </c>
      <c r="N142" s="32"/>
    </row>
    <row r="143" ht="112.5" customHeight="1">
      <c r="A143" s="21">
        <f t="shared" si="1"/>
        <v>207</v>
      </c>
      <c r="B143" s="34" t="s">
        <v>24</v>
      </c>
      <c r="C143" s="23"/>
      <c r="D143" s="24"/>
      <c r="E143" s="25" t="s">
        <v>423</v>
      </c>
      <c r="F143" s="26" t="s">
        <v>206</v>
      </c>
      <c r="G143" s="27" t="s">
        <v>424</v>
      </c>
      <c r="H143" s="36">
        <f>DATE(2022,4,26)</f>
        <v>44677</v>
      </c>
      <c r="I143" s="29" t="s">
        <v>425</v>
      </c>
      <c r="J143" s="29" t="str">
        <f>IFERROR(__xludf.DUMMYFUNCTION("""COMPUTED_VALUE"""),"https://i.postimg.cc/Hk6HDrtk/Red-Runner.png")</f>
        <v>https://i.postimg.cc/Hk6HDrtk/Red-Runner.png</v>
      </c>
      <c r="K143" s="30" t="s">
        <v>24</v>
      </c>
      <c r="L143" s="30" t="str">
        <f>IFERROR(__xludf.DUMMYFUNCTION("""COMPUTED_VALUE"""),"3 Stars")</f>
        <v>3 Stars</v>
      </c>
      <c r="M143" s="31">
        <f>IFERROR(__xludf.DUMMYFUNCTION("""COMPUTED_VALUE"""),44677.0)</f>
        <v>44677</v>
      </c>
      <c r="N143" s="32"/>
    </row>
    <row r="144" ht="112.5" customHeight="1">
      <c r="A144" s="21">
        <f t="shared" si="1"/>
        <v>206</v>
      </c>
      <c r="B144" s="34" t="s">
        <v>212</v>
      </c>
      <c r="C144" s="23"/>
      <c r="D144" s="24"/>
      <c r="E144" s="25" t="s">
        <v>426</v>
      </c>
      <c r="F144" s="26" t="s">
        <v>7</v>
      </c>
      <c r="G144" s="27" t="s">
        <v>45</v>
      </c>
      <c r="H144" s="36">
        <f>DATE(2022,4,14)</f>
        <v>44665</v>
      </c>
      <c r="I144" s="29" t="s">
        <v>427</v>
      </c>
      <c r="J144" s="29" t="str">
        <f>IFERROR(__xludf.DUMMYFUNCTION("""COMPUTED_VALUE"""),"https://i.postimg.cc/1zRtDxvf/Blue-Attacker.png")</f>
        <v>https://i.postimg.cc/1zRtDxvf/Blue-Attacker.png</v>
      </c>
      <c r="K144" s="30" t="s">
        <v>212</v>
      </c>
      <c r="L144" s="30" t="str">
        <f>IFERROR(__xludf.DUMMYFUNCTION("""COMPUTED_VALUE"""),"4 Stars")</f>
        <v>4 Stars</v>
      </c>
      <c r="M144" s="31">
        <f>IFERROR(__xludf.DUMMYFUNCTION("""COMPUTED_VALUE"""),44665.0)</f>
        <v>44665</v>
      </c>
      <c r="N144" s="32"/>
    </row>
    <row r="145" ht="112.5" customHeight="1">
      <c r="A145" s="21">
        <f t="shared" si="1"/>
        <v>205</v>
      </c>
      <c r="B145" s="34" t="s">
        <v>75</v>
      </c>
      <c r="C145" s="23"/>
      <c r="D145" s="24"/>
      <c r="E145" s="25" t="s">
        <v>428</v>
      </c>
      <c r="F145" s="26" t="s">
        <v>7</v>
      </c>
      <c r="G145" s="27" t="s">
        <v>67</v>
      </c>
      <c r="H145" s="36">
        <f>DATE(2022,4,7)</f>
        <v>44658</v>
      </c>
      <c r="I145" s="29" t="s">
        <v>429</v>
      </c>
      <c r="J145" s="29" t="str">
        <f>IFERROR(__xludf.DUMMYFUNCTION("""COMPUTED_VALUE"""),"https://i.postimg.cc/P5XhRWY7/Red-Defender.png")</f>
        <v>https://i.postimg.cc/P5XhRWY7/Red-Defender.png</v>
      </c>
      <c r="K145" s="30" t="s">
        <v>75</v>
      </c>
      <c r="L145" s="30" t="str">
        <f>IFERROR(__xludf.DUMMYFUNCTION("""COMPUTED_VALUE"""),"4 Stars")</f>
        <v>4 Stars</v>
      </c>
      <c r="M145" s="31">
        <f>IFERROR(__xludf.DUMMYFUNCTION("""COMPUTED_VALUE"""),44658.0)</f>
        <v>44658</v>
      </c>
      <c r="N145" s="32"/>
    </row>
    <row r="146" ht="112.5" customHeight="1">
      <c r="A146" s="21">
        <f t="shared" si="1"/>
        <v>204</v>
      </c>
      <c r="B146" s="34" t="s">
        <v>35</v>
      </c>
      <c r="C146" s="23"/>
      <c r="D146" s="24"/>
      <c r="E146" s="25" t="s">
        <v>430</v>
      </c>
      <c r="F146" s="26" t="s">
        <v>21</v>
      </c>
      <c r="G146" s="27" t="s">
        <v>431</v>
      </c>
      <c r="H146" s="35">
        <f>DATE(2022,3,31)</f>
        <v>44651</v>
      </c>
      <c r="I146" s="29" t="s">
        <v>432</v>
      </c>
      <c r="J146" s="29" t="str">
        <f>IFERROR(__xludf.DUMMYFUNCTION("""COMPUTED_VALUE"""),"https://i.postimg.cc/L6B2DCYf/Red-Attacker.png")</f>
        <v>https://i.postimg.cc/L6B2DCYf/Red-Attacker.png</v>
      </c>
      <c r="K146" s="30" t="s">
        <v>35</v>
      </c>
      <c r="L146" s="30" t="str">
        <f>IFERROR(__xludf.DUMMYFUNCTION("""COMPUTED_VALUE"""),"4 Stars")</f>
        <v>4 Stars</v>
      </c>
      <c r="M146" s="31">
        <f>IFERROR(__xludf.DUMMYFUNCTION("""COMPUTED_VALUE"""),44651.0)</f>
        <v>44651</v>
      </c>
      <c r="N146" s="32"/>
    </row>
    <row r="147" ht="112.5" customHeight="1">
      <c r="A147" s="21">
        <f t="shared" si="1"/>
        <v>203</v>
      </c>
      <c r="B147" s="34" t="s">
        <v>140</v>
      </c>
      <c r="C147" s="23"/>
      <c r="D147" s="24"/>
      <c r="E147" s="25" t="s">
        <v>433</v>
      </c>
      <c r="F147" s="26" t="s">
        <v>21</v>
      </c>
      <c r="G147" s="27" t="s">
        <v>434</v>
      </c>
      <c r="H147" s="37"/>
      <c r="I147" s="29" t="s">
        <v>435</v>
      </c>
      <c r="J147" s="29" t="str">
        <f>IFERROR(__xludf.DUMMYFUNCTION("""COMPUTED_VALUE"""),"https://i.postimg.cc/m2xg81dx/Blue-Defender.png")</f>
        <v>https://i.postimg.cc/m2xg81dx/Blue-Defender.png</v>
      </c>
      <c r="K147" s="30" t="s">
        <v>140</v>
      </c>
      <c r="L147" s="30" t="str">
        <f>IFERROR(__xludf.DUMMYFUNCTION("""COMPUTED_VALUE"""),"4 Stars")</f>
        <v>4 Stars</v>
      </c>
      <c r="M147" s="31">
        <f>IFERROR(__xludf.DUMMYFUNCTION("""COMPUTED_VALUE"""),44651.0)</f>
        <v>44651</v>
      </c>
      <c r="N147" s="32"/>
    </row>
    <row r="148" ht="112.5" customHeight="1">
      <c r="A148" s="21">
        <f t="shared" si="1"/>
        <v>202</v>
      </c>
      <c r="B148" s="34" t="s">
        <v>114</v>
      </c>
      <c r="C148" s="23"/>
      <c r="D148" s="24"/>
      <c r="E148" s="25" t="s">
        <v>436</v>
      </c>
      <c r="F148" s="26" t="s">
        <v>7</v>
      </c>
      <c r="G148" s="27" t="s">
        <v>437</v>
      </c>
      <c r="H148" s="36">
        <f>DATE(2022,3,17)</f>
        <v>44637</v>
      </c>
      <c r="I148" s="29" t="s">
        <v>438</v>
      </c>
      <c r="J148" s="29" t="str">
        <f>IFERROR(__xludf.DUMMYFUNCTION("""COMPUTED_VALUE"""),"https://i.postimg.cc/4NzNM4MY/Blue-Runner.png")</f>
        <v>https://i.postimg.cc/4NzNM4MY/Blue-Runner.png</v>
      </c>
      <c r="K148" s="30" t="s">
        <v>114</v>
      </c>
      <c r="L148" s="30" t="str">
        <f>IFERROR(__xludf.DUMMYFUNCTION("""COMPUTED_VALUE"""),"4 Stars")</f>
        <v>4 Stars</v>
      </c>
      <c r="M148" s="31">
        <f>IFERROR(__xludf.DUMMYFUNCTION("""COMPUTED_VALUE"""),44637.0)</f>
        <v>44637</v>
      </c>
      <c r="N148" s="32"/>
    </row>
    <row r="149" ht="112.5" customHeight="1">
      <c r="A149" s="21">
        <f t="shared" si="1"/>
        <v>201</v>
      </c>
      <c r="B149" s="34" t="s">
        <v>104</v>
      </c>
      <c r="C149" s="23"/>
      <c r="D149" s="24"/>
      <c r="E149" s="25" t="s">
        <v>439</v>
      </c>
      <c r="F149" s="26" t="s">
        <v>7</v>
      </c>
      <c r="G149" s="27" t="s">
        <v>431</v>
      </c>
      <c r="H149" s="36">
        <f>DATE(2022,3,7)</f>
        <v>44627</v>
      </c>
      <c r="I149" s="29" t="s">
        <v>440</v>
      </c>
      <c r="J149" s="29" t="str">
        <f>IFERROR(__xludf.DUMMYFUNCTION("""COMPUTED_VALUE"""),"https://i.postimg.cc/0NH8mz6B/Green-Attacker.png")</f>
        <v>https://i.postimg.cc/0NH8mz6B/Green-Attacker.png</v>
      </c>
      <c r="K149" s="30" t="s">
        <v>104</v>
      </c>
      <c r="L149" s="30" t="str">
        <f>IFERROR(__xludf.DUMMYFUNCTION("""COMPUTED_VALUE"""),"4 Stars")</f>
        <v>4 Stars</v>
      </c>
      <c r="M149" s="31">
        <f>IFERROR(__xludf.DUMMYFUNCTION("""COMPUTED_VALUE"""),44627.0)</f>
        <v>44627</v>
      </c>
      <c r="N149" s="32"/>
    </row>
    <row r="150" ht="112.5" customHeight="1">
      <c r="A150" s="21">
        <f t="shared" si="1"/>
        <v>200</v>
      </c>
      <c r="B150" s="34" t="s">
        <v>10</v>
      </c>
      <c r="C150" s="23"/>
      <c r="D150" s="24"/>
      <c r="E150" s="25" t="s">
        <v>441</v>
      </c>
      <c r="F150" s="26" t="s">
        <v>21</v>
      </c>
      <c r="G150" s="27" t="s">
        <v>442</v>
      </c>
      <c r="H150" s="35">
        <f>DATE(2022,2,28)</f>
        <v>44620</v>
      </c>
      <c r="I150" s="29" t="s">
        <v>443</v>
      </c>
      <c r="J150" s="29" t="str">
        <f>IFERROR(__xludf.DUMMYFUNCTION("""COMPUTED_VALUE"""),"https://i.postimg.cc/PxgT30Qb/Green-Runner.png")</f>
        <v>https://i.postimg.cc/PxgT30Qb/Green-Runner.png</v>
      </c>
      <c r="K150" s="30" t="s">
        <v>10</v>
      </c>
      <c r="L150" s="30" t="str">
        <f>IFERROR(__xludf.DUMMYFUNCTION("""COMPUTED_VALUE"""),"4 Stars")</f>
        <v>4 Stars</v>
      </c>
      <c r="M150" s="31">
        <f>IFERROR(__xludf.DUMMYFUNCTION("""COMPUTED_VALUE"""),44620.0)</f>
        <v>44620</v>
      </c>
      <c r="N150" s="32"/>
    </row>
    <row r="151" ht="112.5" customHeight="1">
      <c r="A151" s="21">
        <f t="shared" si="1"/>
        <v>199</v>
      </c>
      <c r="B151" s="34" t="s">
        <v>140</v>
      </c>
      <c r="C151" s="23"/>
      <c r="D151" s="24"/>
      <c r="E151" s="25" t="s">
        <v>444</v>
      </c>
      <c r="F151" s="26" t="s">
        <v>21</v>
      </c>
      <c r="G151" s="27" t="s">
        <v>112</v>
      </c>
      <c r="H151" s="37"/>
      <c r="I151" s="29" t="s">
        <v>445</v>
      </c>
      <c r="J151" s="29" t="str">
        <f>IFERROR(__xludf.DUMMYFUNCTION("""COMPUTED_VALUE"""),"https://i.postimg.cc/m2xg81dx/Blue-Defender.png")</f>
        <v>https://i.postimg.cc/m2xg81dx/Blue-Defender.png</v>
      </c>
      <c r="K151" s="30" t="s">
        <v>140</v>
      </c>
      <c r="L151" s="30" t="str">
        <f>IFERROR(__xludf.DUMMYFUNCTION("""COMPUTED_VALUE"""),"4 Stars")</f>
        <v>4 Stars</v>
      </c>
      <c r="M151" s="31">
        <f>IFERROR(__xludf.DUMMYFUNCTION("""COMPUTED_VALUE"""),44620.0)</f>
        <v>44620</v>
      </c>
      <c r="N151" s="32"/>
    </row>
    <row r="152" ht="112.5" customHeight="1">
      <c r="A152" s="21">
        <f t="shared" si="1"/>
        <v>198</v>
      </c>
      <c r="B152" s="34" t="s">
        <v>446</v>
      </c>
      <c r="C152" s="23"/>
      <c r="D152" s="24"/>
      <c r="E152" s="25" t="s">
        <v>447</v>
      </c>
      <c r="F152" s="26" t="s">
        <v>16</v>
      </c>
      <c r="G152" s="27" t="s">
        <v>448</v>
      </c>
      <c r="H152" s="36">
        <f>DATE(2022,2,3)</f>
        <v>44595</v>
      </c>
      <c r="I152" s="29" t="s">
        <v>449</v>
      </c>
      <c r="J152" s="29" t="str">
        <f>IFERROR(__xludf.DUMMYFUNCTION("""COMPUTED_VALUE"""),"https://i.postimg.cc/J0nmNGTf/Transforming-Class-Blue-Attacker.png")</f>
        <v>https://i.postimg.cc/J0nmNGTf/Transforming-Class-Blue-Attacker.png</v>
      </c>
      <c r="K152" s="30" t="s">
        <v>446</v>
      </c>
      <c r="L152" s="30" t="str">
        <f>IFERROR(__xludf.DUMMYFUNCTION("""COMPUTED_VALUE"""),"4 Stars")</f>
        <v>4 Stars</v>
      </c>
      <c r="M152" s="31">
        <f>IFERROR(__xludf.DUMMYFUNCTION("""COMPUTED_VALUE"""),44595.0)</f>
        <v>44595</v>
      </c>
      <c r="N152" s="32"/>
    </row>
    <row r="153" ht="112.5" customHeight="1">
      <c r="A153" s="21">
        <f t="shared" si="1"/>
        <v>197</v>
      </c>
      <c r="B153" s="34" t="s">
        <v>140</v>
      </c>
      <c r="C153" s="23"/>
      <c r="D153" s="24"/>
      <c r="E153" s="25" t="s">
        <v>450</v>
      </c>
      <c r="F153" s="26" t="s">
        <v>16</v>
      </c>
      <c r="G153" s="27" t="s">
        <v>451</v>
      </c>
      <c r="H153" s="36">
        <f>DATE(2022,1,27)</f>
        <v>44588</v>
      </c>
      <c r="I153" s="29" t="s">
        <v>452</v>
      </c>
      <c r="J153" s="29" t="str">
        <f>IFERROR(__xludf.DUMMYFUNCTION("""COMPUTED_VALUE"""),"https://i.postimg.cc/m2xg81dx/Blue-Defender.png")</f>
        <v>https://i.postimg.cc/m2xg81dx/Blue-Defender.png</v>
      </c>
      <c r="K153" s="30" t="s">
        <v>140</v>
      </c>
      <c r="L153" s="30" t="str">
        <f>IFERROR(__xludf.DUMMYFUNCTION("""COMPUTED_VALUE"""),"4 Stars")</f>
        <v>4 Stars</v>
      </c>
      <c r="M153" s="31">
        <f>IFERROR(__xludf.DUMMYFUNCTION("""COMPUTED_VALUE"""),44588.0)</f>
        <v>44588</v>
      </c>
      <c r="N153" s="32"/>
    </row>
    <row r="154" ht="112.5" customHeight="1">
      <c r="A154" s="21">
        <f t="shared" si="1"/>
        <v>196</v>
      </c>
      <c r="B154" s="34" t="s">
        <v>75</v>
      </c>
      <c r="C154" s="23"/>
      <c r="D154" s="24"/>
      <c r="E154" s="25" t="s">
        <v>453</v>
      </c>
      <c r="F154" s="26" t="s">
        <v>21</v>
      </c>
      <c r="G154" s="27" t="s">
        <v>249</v>
      </c>
      <c r="H154" s="35">
        <f>DATE(2022,1,13)</f>
        <v>44574</v>
      </c>
      <c r="I154" s="29" t="s">
        <v>454</v>
      </c>
      <c r="J154" s="29" t="str">
        <f>IFERROR(__xludf.DUMMYFUNCTION("""COMPUTED_VALUE"""),"https://i.postimg.cc/P5XhRWY7/Red-Defender.png")</f>
        <v>https://i.postimg.cc/P5XhRWY7/Red-Defender.png</v>
      </c>
      <c r="K154" s="30" t="s">
        <v>75</v>
      </c>
      <c r="L154" s="30" t="str">
        <f>IFERROR(__xludf.DUMMYFUNCTION("""COMPUTED_VALUE"""),"4 Stars")</f>
        <v>4 Stars</v>
      </c>
      <c r="M154" s="31">
        <f>IFERROR(__xludf.DUMMYFUNCTION("""COMPUTED_VALUE"""),44574.0)</f>
        <v>44574</v>
      </c>
      <c r="N154" s="32"/>
    </row>
    <row r="155" ht="112.5" customHeight="1">
      <c r="A155" s="21">
        <f t="shared" si="1"/>
        <v>195</v>
      </c>
      <c r="B155" s="34" t="s">
        <v>104</v>
      </c>
      <c r="C155" s="23"/>
      <c r="D155" s="24"/>
      <c r="E155" s="25" t="s">
        <v>455</v>
      </c>
      <c r="F155" s="26" t="s">
        <v>21</v>
      </c>
      <c r="G155" s="27" t="s">
        <v>456</v>
      </c>
      <c r="H155" s="37"/>
      <c r="I155" s="29" t="s">
        <v>457</v>
      </c>
      <c r="J155" s="29" t="str">
        <f>IFERROR(__xludf.DUMMYFUNCTION("""COMPUTED_VALUE"""),"https://i.postimg.cc/0NH8mz6B/Green-Attacker.png")</f>
        <v>https://i.postimg.cc/0NH8mz6B/Green-Attacker.png</v>
      </c>
      <c r="K155" s="30" t="s">
        <v>104</v>
      </c>
      <c r="L155" s="30" t="str">
        <f>IFERROR(__xludf.DUMMYFUNCTION("""COMPUTED_VALUE"""),"4 Stars")</f>
        <v>4 Stars</v>
      </c>
      <c r="M155" s="31">
        <f>IFERROR(__xludf.DUMMYFUNCTION("""COMPUTED_VALUE"""),44574.0)</f>
        <v>44574</v>
      </c>
      <c r="N155" s="32"/>
    </row>
    <row r="156" ht="112.5" customHeight="1">
      <c r="A156" s="21">
        <f t="shared" si="1"/>
        <v>194</v>
      </c>
      <c r="B156" s="34" t="s">
        <v>24</v>
      </c>
      <c r="C156" s="23"/>
      <c r="D156" s="24"/>
      <c r="E156" s="25" t="s">
        <v>458</v>
      </c>
      <c r="F156" s="26" t="s">
        <v>16</v>
      </c>
      <c r="G156" s="27" t="s">
        <v>459</v>
      </c>
      <c r="H156" s="36">
        <f>DATE(2021,12,20)</f>
        <v>44550</v>
      </c>
      <c r="I156" s="29" t="s">
        <v>460</v>
      </c>
      <c r="J156" s="29" t="str">
        <f>IFERROR(__xludf.DUMMYFUNCTION("""COMPUTED_VALUE"""),"https://i.postimg.cc/Hk6HDrtk/Red-Runner.png")</f>
        <v>https://i.postimg.cc/Hk6HDrtk/Red-Runner.png</v>
      </c>
      <c r="K156" s="30" t="s">
        <v>24</v>
      </c>
      <c r="L156" s="30" t="str">
        <f>IFERROR(__xludf.DUMMYFUNCTION("""COMPUTED_VALUE"""),"4 Stars")</f>
        <v>4 Stars</v>
      </c>
      <c r="M156" s="31">
        <f>IFERROR(__xludf.DUMMYFUNCTION("""COMPUTED_VALUE"""),44550.0)</f>
        <v>44550</v>
      </c>
      <c r="N156" s="32"/>
    </row>
    <row r="157" ht="112.5" customHeight="1">
      <c r="A157" s="21">
        <f t="shared" si="1"/>
        <v>193</v>
      </c>
      <c r="B157" s="34" t="s">
        <v>212</v>
      </c>
      <c r="C157" s="23"/>
      <c r="D157" s="24"/>
      <c r="E157" s="25" t="s">
        <v>461</v>
      </c>
      <c r="F157" s="26" t="s">
        <v>7</v>
      </c>
      <c r="G157" s="27" t="s">
        <v>462</v>
      </c>
      <c r="H157" s="36">
        <f>DATE(2021,12,14)</f>
        <v>44544</v>
      </c>
      <c r="I157" s="29" t="s">
        <v>463</v>
      </c>
      <c r="J157" s="29" t="str">
        <f>IFERROR(__xludf.DUMMYFUNCTION("""COMPUTED_VALUE"""),"https://i.postimg.cc/1zRtDxvf/Blue-Attacker.png")</f>
        <v>https://i.postimg.cc/1zRtDxvf/Blue-Attacker.png</v>
      </c>
      <c r="K157" s="30" t="s">
        <v>212</v>
      </c>
      <c r="L157" s="30" t="str">
        <f>IFERROR(__xludf.DUMMYFUNCTION("""COMPUTED_VALUE"""),"4 Stars")</f>
        <v>4 Stars</v>
      </c>
      <c r="M157" s="31">
        <f>IFERROR(__xludf.DUMMYFUNCTION("""COMPUTED_VALUE"""),44544.0)</f>
        <v>44544</v>
      </c>
      <c r="N157" s="32"/>
    </row>
    <row r="158" ht="112.5" customHeight="1">
      <c r="A158" s="21">
        <f t="shared" si="1"/>
        <v>192</v>
      </c>
      <c r="B158" s="34" t="s">
        <v>10</v>
      </c>
      <c r="C158" s="23"/>
      <c r="D158" s="24"/>
      <c r="E158" s="25" t="s">
        <v>464</v>
      </c>
      <c r="F158" s="26" t="s">
        <v>7</v>
      </c>
      <c r="G158" s="27" t="s">
        <v>163</v>
      </c>
      <c r="H158" s="36">
        <f>DATE(2021,12,7)</f>
        <v>44537</v>
      </c>
      <c r="I158" s="29" t="s">
        <v>465</v>
      </c>
      <c r="J158" s="29" t="str">
        <f>IFERROR(__xludf.DUMMYFUNCTION("""COMPUTED_VALUE"""),"https://i.postimg.cc/PxgT30Qb/Green-Runner.png")</f>
        <v>https://i.postimg.cc/PxgT30Qb/Green-Runner.png</v>
      </c>
      <c r="K158" s="30" t="s">
        <v>10</v>
      </c>
      <c r="L158" s="30" t="str">
        <f>IFERROR(__xludf.DUMMYFUNCTION("""COMPUTED_VALUE"""),"4 Stars")</f>
        <v>4 Stars</v>
      </c>
      <c r="M158" s="31">
        <f>IFERROR(__xludf.DUMMYFUNCTION("""COMPUTED_VALUE"""),44537.0)</f>
        <v>44537</v>
      </c>
      <c r="N158" s="32"/>
    </row>
    <row r="159" ht="112.5" customHeight="1">
      <c r="A159" s="21">
        <f t="shared" si="1"/>
        <v>191</v>
      </c>
      <c r="B159" s="34" t="s">
        <v>114</v>
      </c>
      <c r="C159" s="23"/>
      <c r="D159" s="24"/>
      <c r="E159" s="25" t="s">
        <v>466</v>
      </c>
      <c r="F159" s="26" t="s">
        <v>21</v>
      </c>
      <c r="G159" s="27" t="s">
        <v>467</v>
      </c>
      <c r="H159" s="36">
        <f>DATE(2021,11,30)</f>
        <v>44530</v>
      </c>
      <c r="I159" s="29" t="s">
        <v>468</v>
      </c>
      <c r="J159" s="29" t="str">
        <f>IFERROR(__xludf.DUMMYFUNCTION("""COMPUTED_VALUE"""),"https://i.postimg.cc/4NzNM4MY/Blue-Runner.png")</f>
        <v>https://i.postimg.cc/4NzNM4MY/Blue-Runner.png</v>
      </c>
      <c r="K159" s="30" t="s">
        <v>114</v>
      </c>
      <c r="L159" s="30" t="str">
        <f>IFERROR(__xludf.DUMMYFUNCTION("""COMPUTED_VALUE"""),"4 Stars")</f>
        <v>4 Stars</v>
      </c>
      <c r="M159" s="31">
        <f>IFERROR(__xludf.DUMMYFUNCTION("""COMPUTED_VALUE"""),44530.0)</f>
        <v>44530</v>
      </c>
      <c r="N159" s="32"/>
    </row>
    <row r="160" ht="112.5" customHeight="1">
      <c r="A160" s="21">
        <f t="shared" si="1"/>
        <v>190</v>
      </c>
      <c r="B160" s="34" t="s">
        <v>75</v>
      </c>
      <c r="C160" s="23"/>
      <c r="D160" s="24"/>
      <c r="E160" s="25" t="s">
        <v>469</v>
      </c>
      <c r="F160" s="26" t="s">
        <v>7</v>
      </c>
      <c r="G160" s="27" t="s">
        <v>470</v>
      </c>
      <c r="H160" s="36">
        <f>DATE(2021,11,11)</f>
        <v>44511</v>
      </c>
      <c r="I160" s="29" t="s">
        <v>471</v>
      </c>
      <c r="J160" s="29" t="str">
        <f>IFERROR(__xludf.DUMMYFUNCTION("""COMPUTED_VALUE"""),"https://i.postimg.cc/P5XhRWY7/Red-Defender.png")</f>
        <v>https://i.postimg.cc/P5XhRWY7/Red-Defender.png</v>
      </c>
      <c r="K160" s="30" t="s">
        <v>75</v>
      </c>
      <c r="L160" s="30" t="str">
        <f>IFERROR(__xludf.DUMMYFUNCTION("""COMPUTED_VALUE"""),"4 Stars")</f>
        <v>4 Stars</v>
      </c>
      <c r="M160" s="31">
        <f>IFERROR(__xludf.DUMMYFUNCTION("""COMPUTED_VALUE"""),44511.0)</f>
        <v>44511</v>
      </c>
      <c r="N160" s="32"/>
    </row>
    <row r="161" ht="112.5" customHeight="1">
      <c r="A161" s="21">
        <f t="shared" si="1"/>
        <v>189</v>
      </c>
      <c r="B161" s="34" t="s">
        <v>35</v>
      </c>
      <c r="C161" s="23"/>
      <c r="D161" s="24"/>
      <c r="E161" s="25" t="s">
        <v>472</v>
      </c>
      <c r="F161" s="26" t="s">
        <v>7</v>
      </c>
      <c r="G161" s="27" t="s">
        <v>473</v>
      </c>
      <c r="H161" s="36">
        <f>DATE(2021,11,2)</f>
        <v>44502</v>
      </c>
      <c r="I161" s="29" t="s">
        <v>474</v>
      </c>
      <c r="J161" s="29" t="str">
        <f>IFERROR(__xludf.DUMMYFUNCTION("""COMPUTED_VALUE"""),"https://i.postimg.cc/L6B2DCYf/Red-Attacker.png")</f>
        <v>https://i.postimg.cc/L6B2DCYf/Red-Attacker.png</v>
      </c>
      <c r="K161" s="30" t="s">
        <v>35</v>
      </c>
      <c r="L161" s="30" t="str">
        <f>IFERROR(__xludf.DUMMYFUNCTION("""COMPUTED_VALUE"""),"4 Stars")</f>
        <v>4 Stars</v>
      </c>
      <c r="M161" s="31">
        <f>IFERROR(__xludf.DUMMYFUNCTION("""COMPUTED_VALUE"""),44502.0)</f>
        <v>44502</v>
      </c>
      <c r="N161" s="32"/>
    </row>
    <row r="162" ht="112.5" customHeight="1">
      <c r="A162" s="21">
        <f t="shared" si="1"/>
        <v>188</v>
      </c>
      <c r="B162" s="34" t="s">
        <v>10</v>
      </c>
      <c r="C162" s="23"/>
      <c r="D162" s="24"/>
      <c r="E162" s="25" t="s">
        <v>475</v>
      </c>
      <c r="F162" s="26" t="s">
        <v>21</v>
      </c>
      <c r="G162" s="27" t="s">
        <v>476</v>
      </c>
      <c r="H162" s="35">
        <f>DATE(2021,10,26)</f>
        <v>44495</v>
      </c>
      <c r="I162" s="29" t="s">
        <v>477</v>
      </c>
      <c r="J162" s="29" t="str">
        <f>IFERROR(__xludf.DUMMYFUNCTION("""COMPUTED_VALUE"""),"https://i.postimg.cc/PxgT30Qb/Green-Runner.png")</f>
        <v>https://i.postimg.cc/PxgT30Qb/Green-Runner.png</v>
      </c>
      <c r="K162" s="30" t="s">
        <v>10</v>
      </c>
      <c r="L162" s="30" t="str">
        <f>IFERROR(__xludf.DUMMYFUNCTION("""COMPUTED_VALUE"""),"4 Stars")</f>
        <v>4 Stars</v>
      </c>
      <c r="M162" s="31">
        <f>IFERROR(__xludf.DUMMYFUNCTION("""COMPUTED_VALUE"""),44495.0)</f>
        <v>44495</v>
      </c>
      <c r="N162" s="32"/>
    </row>
    <row r="163" ht="112.5" customHeight="1">
      <c r="A163" s="21">
        <f t="shared" si="1"/>
        <v>187</v>
      </c>
      <c r="B163" s="34" t="s">
        <v>140</v>
      </c>
      <c r="C163" s="23"/>
      <c r="D163" s="24"/>
      <c r="E163" s="25" t="s">
        <v>478</v>
      </c>
      <c r="F163" s="26" t="s">
        <v>21</v>
      </c>
      <c r="G163" s="27" t="s">
        <v>67</v>
      </c>
      <c r="H163" s="37"/>
      <c r="I163" s="29" t="s">
        <v>479</v>
      </c>
      <c r="J163" s="29" t="str">
        <f>IFERROR(__xludf.DUMMYFUNCTION("""COMPUTED_VALUE"""),"https://i.postimg.cc/m2xg81dx/Blue-Defender.png")</f>
        <v>https://i.postimg.cc/m2xg81dx/Blue-Defender.png</v>
      </c>
      <c r="K163" s="30" t="s">
        <v>140</v>
      </c>
      <c r="L163" s="30" t="str">
        <f>IFERROR(__xludf.DUMMYFUNCTION("""COMPUTED_VALUE"""),"4 Stars")</f>
        <v>4 Stars</v>
      </c>
      <c r="M163" s="31">
        <f>IFERROR(__xludf.DUMMYFUNCTION("""COMPUTED_VALUE"""),44495.0)</f>
        <v>44495</v>
      </c>
      <c r="N163" s="32"/>
    </row>
    <row r="164" ht="112.5" customHeight="1">
      <c r="A164" s="21">
        <f t="shared" si="1"/>
        <v>186</v>
      </c>
      <c r="B164" s="34" t="s">
        <v>75</v>
      </c>
      <c r="C164" s="23"/>
      <c r="D164" s="24"/>
      <c r="E164" s="25" t="s">
        <v>480</v>
      </c>
      <c r="F164" s="26" t="s">
        <v>7</v>
      </c>
      <c r="G164" s="27" t="s">
        <v>481</v>
      </c>
      <c r="H164" s="36">
        <f>DATE(2021,10,19)</f>
        <v>44488</v>
      </c>
      <c r="I164" s="29" t="s">
        <v>482</v>
      </c>
      <c r="J164" s="29" t="str">
        <f>IFERROR(__xludf.DUMMYFUNCTION("""COMPUTED_VALUE"""),"https://i.postimg.cc/P5XhRWY7/Red-Defender.png")</f>
        <v>https://i.postimg.cc/P5XhRWY7/Red-Defender.png</v>
      </c>
      <c r="K164" s="30" t="s">
        <v>75</v>
      </c>
      <c r="L164" s="30" t="str">
        <f>IFERROR(__xludf.DUMMYFUNCTION("""COMPUTED_VALUE"""),"4 Stars")</f>
        <v>4 Stars</v>
      </c>
      <c r="M164" s="31">
        <f>IFERROR(__xludf.DUMMYFUNCTION("""COMPUTED_VALUE"""),44488.0)</f>
        <v>44488</v>
      </c>
      <c r="N164" s="32"/>
    </row>
    <row r="165" ht="112.5" customHeight="1">
      <c r="A165" s="21">
        <f t="shared" si="1"/>
        <v>185</v>
      </c>
      <c r="B165" s="34" t="s">
        <v>104</v>
      </c>
      <c r="C165" s="23"/>
      <c r="D165" s="24"/>
      <c r="E165" s="25" t="s">
        <v>483</v>
      </c>
      <c r="F165" s="26" t="s">
        <v>7</v>
      </c>
      <c r="G165" s="27" t="s">
        <v>484</v>
      </c>
      <c r="H165" s="36">
        <f>DATE(2021,10,12)</f>
        <v>44481</v>
      </c>
      <c r="I165" s="29" t="s">
        <v>485</v>
      </c>
      <c r="J165" s="29" t="str">
        <f>IFERROR(__xludf.DUMMYFUNCTION("""COMPUTED_VALUE"""),"https://i.postimg.cc/0NH8mz6B/Green-Attacker.png")</f>
        <v>https://i.postimg.cc/0NH8mz6B/Green-Attacker.png</v>
      </c>
      <c r="K165" s="30" t="s">
        <v>104</v>
      </c>
      <c r="L165" s="30" t="str">
        <f>IFERROR(__xludf.DUMMYFUNCTION("""COMPUTED_VALUE"""),"4 Stars")</f>
        <v>4 Stars</v>
      </c>
      <c r="M165" s="31">
        <f>IFERROR(__xludf.DUMMYFUNCTION("""COMPUTED_VALUE"""),44481.0)</f>
        <v>44481</v>
      </c>
      <c r="N165" s="32"/>
    </row>
    <row r="166" ht="112.5" customHeight="1">
      <c r="A166" s="21">
        <f t="shared" si="1"/>
        <v>184</v>
      </c>
      <c r="B166" s="34" t="s">
        <v>75</v>
      </c>
      <c r="C166" s="23"/>
      <c r="D166" s="24"/>
      <c r="E166" s="25" t="s">
        <v>486</v>
      </c>
      <c r="F166" s="26" t="s">
        <v>21</v>
      </c>
      <c r="G166" s="27" t="s">
        <v>370</v>
      </c>
      <c r="H166" s="35">
        <f>DATE(2021,9,28)</f>
        <v>44467</v>
      </c>
      <c r="I166" s="29" t="s">
        <v>487</v>
      </c>
      <c r="J166" s="29" t="str">
        <f>IFERROR(__xludf.DUMMYFUNCTION("""COMPUTED_VALUE"""),"https://i.postimg.cc/P5XhRWY7/Red-Defender.png")</f>
        <v>https://i.postimg.cc/P5XhRWY7/Red-Defender.png</v>
      </c>
      <c r="K166" s="30" t="s">
        <v>75</v>
      </c>
      <c r="L166" s="30" t="str">
        <f>IFERROR(__xludf.DUMMYFUNCTION("""COMPUTED_VALUE"""),"4 Stars")</f>
        <v>4 Stars</v>
      </c>
      <c r="M166" s="31">
        <f>IFERROR(__xludf.DUMMYFUNCTION("""COMPUTED_VALUE"""),44467.0)</f>
        <v>44467</v>
      </c>
      <c r="N166" s="32"/>
    </row>
    <row r="167" ht="112.5" customHeight="1">
      <c r="A167" s="21">
        <f t="shared" si="1"/>
        <v>183</v>
      </c>
      <c r="B167" s="34" t="s">
        <v>212</v>
      </c>
      <c r="C167" s="23"/>
      <c r="D167" s="24"/>
      <c r="E167" s="25" t="s">
        <v>488</v>
      </c>
      <c r="F167" s="26" t="s">
        <v>21</v>
      </c>
      <c r="G167" s="27" t="s">
        <v>489</v>
      </c>
      <c r="H167" s="37"/>
      <c r="I167" s="29" t="s">
        <v>490</v>
      </c>
      <c r="J167" s="29" t="str">
        <f>IFERROR(__xludf.DUMMYFUNCTION("""COMPUTED_VALUE"""),"https://i.postimg.cc/1zRtDxvf/Blue-Attacker.png")</f>
        <v>https://i.postimg.cc/1zRtDxvf/Blue-Attacker.png</v>
      </c>
      <c r="K167" s="30" t="s">
        <v>212</v>
      </c>
      <c r="L167" s="30" t="str">
        <f>IFERROR(__xludf.DUMMYFUNCTION("""COMPUTED_VALUE"""),"4 Stars")</f>
        <v>4 Stars</v>
      </c>
      <c r="M167" s="31">
        <f>IFERROR(__xludf.DUMMYFUNCTION("""COMPUTED_VALUE"""),44467.0)</f>
        <v>44467</v>
      </c>
      <c r="N167" s="32"/>
    </row>
    <row r="168" ht="112.5" customHeight="1">
      <c r="A168" s="21">
        <f t="shared" si="1"/>
        <v>182</v>
      </c>
      <c r="B168" s="34" t="s">
        <v>24</v>
      </c>
      <c r="C168" s="23"/>
      <c r="D168" s="24"/>
      <c r="E168" s="25" t="s">
        <v>491</v>
      </c>
      <c r="F168" s="26" t="s">
        <v>7</v>
      </c>
      <c r="G168" s="27" t="s">
        <v>481</v>
      </c>
      <c r="H168" s="36">
        <f>DATE(2021,9,16)</f>
        <v>44455</v>
      </c>
      <c r="I168" s="29" t="s">
        <v>492</v>
      </c>
      <c r="J168" s="29" t="str">
        <f>IFERROR(__xludf.DUMMYFUNCTION("""COMPUTED_VALUE"""),"https://i.postimg.cc/Hk6HDrtk/Red-Runner.png")</f>
        <v>https://i.postimg.cc/Hk6HDrtk/Red-Runner.png</v>
      </c>
      <c r="K168" s="30" t="s">
        <v>24</v>
      </c>
      <c r="L168" s="30" t="str">
        <f>IFERROR(__xludf.DUMMYFUNCTION("""COMPUTED_VALUE"""),"4 Stars")</f>
        <v>4 Stars</v>
      </c>
      <c r="M168" s="31">
        <f>IFERROR(__xludf.DUMMYFUNCTION("""COMPUTED_VALUE"""),44455.0)</f>
        <v>44455</v>
      </c>
      <c r="N168" s="32"/>
    </row>
    <row r="169" ht="112.5" customHeight="1">
      <c r="A169" s="21">
        <f t="shared" si="1"/>
        <v>181</v>
      </c>
      <c r="B169" s="34" t="s">
        <v>86</v>
      </c>
      <c r="C169" s="23"/>
      <c r="D169" s="24"/>
      <c r="E169" s="25" t="s">
        <v>493</v>
      </c>
      <c r="F169" s="26" t="s">
        <v>7</v>
      </c>
      <c r="G169" s="27" t="s">
        <v>370</v>
      </c>
      <c r="H169" s="36">
        <f>DATE(2021,9,9)</f>
        <v>44448</v>
      </c>
      <c r="I169" s="29" t="s">
        <v>494</v>
      </c>
      <c r="J169" s="29" t="str">
        <f>IFERROR(__xludf.DUMMYFUNCTION("""COMPUTED_VALUE"""),"https://i.postimg.cc/qRhpGpyM/Green-Defender.png")</f>
        <v>https://i.postimg.cc/qRhpGpyM/Green-Defender.png</v>
      </c>
      <c r="K169" s="30" t="s">
        <v>86</v>
      </c>
      <c r="L169" s="30" t="str">
        <f>IFERROR(__xludf.DUMMYFUNCTION("""COMPUTED_VALUE"""),"4 Stars")</f>
        <v>4 Stars</v>
      </c>
      <c r="M169" s="31">
        <f>IFERROR(__xludf.DUMMYFUNCTION("""COMPUTED_VALUE"""),44448.0)</f>
        <v>44448</v>
      </c>
      <c r="N169" s="32"/>
    </row>
    <row r="170" ht="112.5" customHeight="1">
      <c r="A170" s="21">
        <f t="shared" si="1"/>
        <v>180</v>
      </c>
      <c r="B170" s="34" t="s">
        <v>86</v>
      </c>
      <c r="C170" s="23"/>
      <c r="D170" s="24"/>
      <c r="E170" s="25" t="s">
        <v>495</v>
      </c>
      <c r="F170" s="26" t="s">
        <v>7</v>
      </c>
      <c r="G170" s="27" t="s">
        <v>132</v>
      </c>
      <c r="H170" s="35">
        <f>DATE(2021,8,26)</f>
        <v>44434</v>
      </c>
      <c r="I170" s="29" t="s">
        <v>496</v>
      </c>
      <c r="J170" s="29" t="str">
        <f>IFERROR(__xludf.DUMMYFUNCTION("""COMPUTED_VALUE"""),"https://i.postimg.cc/qRhpGpyM/Green-Defender.png")</f>
        <v>https://i.postimg.cc/qRhpGpyM/Green-Defender.png</v>
      </c>
      <c r="K170" s="30" t="s">
        <v>86</v>
      </c>
      <c r="L170" s="30" t="str">
        <f>IFERROR(__xludf.DUMMYFUNCTION("""COMPUTED_VALUE"""),"4 Stars")</f>
        <v>4 Stars</v>
      </c>
      <c r="M170" s="31">
        <f>IFERROR(__xludf.DUMMYFUNCTION("""COMPUTED_VALUE"""),44434.0)</f>
        <v>44434</v>
      </c>
      <c r="N170" s="32"/>
    </row>
    <row r="171" ht="112.5" customHeight="1">
      <c r="A171" s="21">
        <f t="shared" si="1"/>
        <v>179</v>
      </c>
      <c r="B171" s="34" t="s">
        <v>114</v>
      </c>
      <c r="C171" s="23"/>
      <c r="D171" s="24"/>
      <c r="E171" s="25" t="s">
        <v>497</v>
      </c>
      <c r="F171" s="26" t="s">
        <v>7</v>
      </c>
      <c r="G171" s="27" t="s">
        <v>498</v>
      </c>
      <c r="H171" s="33"/>
      <c r="I171" s="29" t="s">
        <v>499</v>
      </c>
      <c r="J171" s="29" t="str">
        <f>IFERROR(__xludf.DUMMYFUNCTION("""COMPUTED_VALUE"""),"https://i.postimg.cc/4NzNM4MY/Blue-Runner.png")</f>
        <v>https://i.postimg.cc/4NzNM4MY/Blue-Runner.png</v>
      </c>
      <c r="K171" s="30" t="s">
        <v>114</v>
      </c>
      <c r="L171" s="30" t="str">
        <f>IFERROR(__xludf.DUMMYFUNCTION("""COMPUTED_VALUE"""),"4 Stars")</f>
        <v>4 Stars</v>
      </c>
      <c r="M171" s="31">
        <f>IFERROR(__xludf.DUMMYFUNCTION("""COMPUTED_VALUE"""),44434.0)</f>
        <v>44434</v>
      </c>
      <c r="N171" s="32"/>
    </row>
    <row r="172" ht="112.5" customHeight="1">
      <c r="A172" s="21">
        <f t="shared" si="1"/>
        <v>178</v>
      </c>
      <c r="B172" s="34" t="s">
        <v>35</v>
      </c>
      <c r="C172" s="23"/>
      <c r="D172" s="24"/>
      <c r="E172" s="25" t="s">
        <v>500</v>
      </c>
      <c r="F172" s="26" t="s">
        <v>16</v>
      </c>
      <c r="G172" s="27" t="s">
        <v>81</v>
      </c>
      <c r="H172" s="37"/>
      <c r="I172" s="29" t="s">
        <v>501</v>
      </c>
      <c r="J172" s="29" t="str">
        <f>IFERROR(__xludf.DUMMYFUNCTION("""COMPUTED_VALUE"""),"https://i.postimg.cc/L6B2DCYf/Red-Attacker.png")</f>
        <v>https://i.postimg.cc/L6B2DCYf/Red-Attacker.png</v>
      </c>
      <c r="K172" s="30" t="s">
        <v>35</v>
      </c>
      <c r="L172" s="30" t="str">
        <f>IFERROR(__xludf.DUMMYFUNCTION("""COMPUTED_VALUE"""),"4 Stars")</f>
        <v>4 Stars</v>
      </c>
      <c r="M172" s="31">
        <f>IFERROR(__xludf.DUMMYFUNCTION("""COMPUTED_VALUE"""),44434.0)</f>
        <v>44434</v>
      </c>
      <c r="N172" s="32"/>
    </row>
    <row r="173" ht="112.5" customHeight="1">
      <c r="A173" s="21">
        <f t="shared" si="1"/>
        <v>177</v>
      </c>
      <c r="B173" s="34" t="s">
        <v>140</v>
      </c>
      <c r="C173" s="23"/>
      <c r="D173" s="24"/>
      <c r="E173" s="25" t="s">
        <v>502</v>
      </c>
      <c r="F173" s="26" t="s">
        <v>7</v>
      </c>
      <c r="G173" s="27" t="s">
        <v>503</v>
      </c>
      <c r="H173" s="36">
        <f>DATE(2021,7,13)</f>
        <v>44390</v>
      </c>
      <c r="I173" s="29" t="s">
        <v>504</v>
      </c>
      <c r="J173" s="29" t="str">
        <f>IFERROR(__xludf.DUMMYFUNCTION("""COMPUTED_VALUE"""),"https://i.postimg.cc/m2xg81dx/Blue-Defender.png")</f>
        <v>https://i.postimg.cc/m2xg81dx/Blue-Defender.png</v>
      </c>
      <c r="K173" s="30" t="s">
        <v>140</v>
      </c>
      <c r="L173" s="30" t="str">
        <f>IFERROR(__xludf.DUMMYFUNCTION("""COMPUTED_VALUE"""),"4 Stars")</f>
        <v>4 Stars</v>
      </c>
      <c r="M173" s="31">
        <f>IFERROR(__xludf.DUMMYFUNCTION("""COMPUTED_VALUE"""),44390.0)</f>
        <v>44390</v>
      </c>
      <c r="N173" s="32"/>
    </row>
    <row r="174" ht="112.5" customHeight="1">
      <c r="A174" s="21">
        <f t="shared" si="1"/>
        <v>176</v>
      </c>
      <c r="B174" s="34" t="s">
        <v>10</v>
      </c>
      <c r="C174" s="23"/>
      <c r="D174" s="24"/>
      <c r="E174" s="25" t="s">
        <v>505</v>
      </c>
      <c r="F174" s="26" t="s">
        <v>7</v>
      </c>
      <c r="G174" s="27" t="s">
        <v>476</v>
      </c>
      <c r="H174" s="36">
        <f>DATE(2021,7,6)</f>
        <v>44383</v>
      </c>
      <c r="I174" s="29" t="s">
        <v>506</v>
      </c>
      <c r="J174" s="29" t="str">
        <f>IFERROR(__xludf.DUMMYFUNCTION("""COMPUTED_VALUE"""),"https://i.postimg.cc/PxgT30Qb/Green-Runner.png")</f>
        <v>https://i.postimg.cc/PxgT30Qb/Green-Runner.png</v>
      </c>
      <c r="K174" s="30" t="s">
        <v>10</v>
      </c>
      <c r="L174" s="30" t="str">
        <f>IFERROR(__xludf.DUMMYFUNCTION("""COMPUTED_VALUE"""),"4 Stars")</f>
        <v>4 Stars</v>
      </c>
      <c r="M174" s="31">
        <f>IFERROR(__xludf.DUMMYFUNCTION("""COMPUTED_VALUE"""),44383.0)</f>
        <v>44383</v>
      </c>
      <c r="N174" s="32"/>
    </row>
    <row r="175" ht="112.5" customHeight="1">
      <c r="A175" s="21">
        <f t="shared" si="1"/>
        <v>175</v>
      </c>
      <c r="B175" s="34" t="s">
        <v>24</v>
      </c>
      <c r="C175" s="23"/>
      <c r="D175" s="24"/>
      <c r="E175" s="25" t="s">
        <v>507</v>
      </c>
      <c r="F175" s="26" t="s">
        <v>21</v>
      </c>
      <c r="G175" s="27" t="s">
        <v>508</v>
      </c>
      <c r="H175" s="35">
        <f>DATE(2021,6,29)</f>
        <v>44376</v>
      </c>
      <c r="I175" s="29" t="s">
        <v>509</v>
      </c>
      <c r="J175" s="29" t="str">
        <f>IFERROR(__xludf.DUMMYFUNCTION("""COMPUTED_VALUE"""),"https://i.postimg.cc/Hk6HDrtk/Red-Runner.png")</f>
        <v>https://i.postimg.cc/Hk6HDrtk/Red-Runner.png</v>
      </c>
      <c r="K175" s="30" t="s">
        <v>24</v>
      </c>
      <c r="L175" s="30" t="str">
        <f>IFERROR(__xludf.DUMMYFUNCTION("""COMPUTED_VALUE"""),"4 Stars")</f>
        <v>4 Stars</v>
      </c>
      <c r="M175" s="31">
        <f>IFERROR(__xludf.DUMMYFUNCTION("""COMPUTED_VALUE"""),44376.0)</f>
        <v>44376</v>
      </c>
      <c r="N175" s="32"/>
    </row>
    <row r="176" ht="112.5" customHeight="1">
      <c r="A176" s="21">
        <f t="shared" si="1"/>
        <v>174</v>
      </c>
      <c r="B176" s="34" t="s">
        <v>212</v>
      </c>
      <c r="C176" s="23"/>
      <c r="D176" s="24"/>
      <c r="E176" s="25" t="s">
        <v>510</v>
      </c>
      <c r="F176" s="26" t="s">
        <v>21</v>
      </c>
      <c r="G176" s="27" t="s">
        <v>511</v>
      </c>
      <c r="H176" s="37"/>
      <c r="I176" s="29" t="s">
        <v>512</v>
      </c>
      <c r="J176" s="29" t="str">
        <f>IFERROR(__xludf.DUMMYFUNCTION("""COMPUTED_VALUE"""),"https://i.postimg.cc/1zRtDxvf/Blue-Attacker.png")</f>
        <v>https://i.postimg.cc/1zRtDxvf/Blue-Attacker.png</v>
      </c>
      <c r="K176" s="30" t="s">
        <v>212</v>
      </c>
      <c r="L176" s="30" t="str">
        <f>IFERROR(__xludf.DUMMYFUNCTION("""COMPUTED_VALUE"""),"4 Stars")</f>
        <v>4 Stars</v>
      </c>
      <c r="M176" s="31">
        <f>IFERROR(__xludf.DUMMYFUNCTION("""COMPUTED_VALUE"""),44376.0)</f>
        <v>44376</v>
      </c>
      <c r="N176" s="32"/>
    </row>
    <row r="177" ht="112.5" customHeight="1">
      <c r="A177" s="21">
        <f t="shared" si="1"/>
        <v>173</v>
      </c>
      <c r="B177" s="34" t="s">
        <v>114</v>
      </c>
      <c r="C177" s="23"/>
      <c r="D177" s="24"/>
      <c r="E177" s="25" t="s">
        <v>513</v>
      </c>
      <c r="F177" s="26" t="s">
        <v>7</v>
      </c>
      <c r="G177" s="27" t="s">
        <v>514</v>
      </c>
      <c r="H177" s="36">
        <f>DATE(2021,6,23)</f>
        <v>44370</v>
      </c>
      <c r="I177" s="29" t="s">
        <v>515</v>
      </c>
      <c r="J177" s="29" t="str">
        <f>IFERROR(__xludf.DUMMYFUNCTION("""COMPUTED_VALUE"""),"https://i.postimg.cc/4NzNM4MY/Blue-Runner.png")</f>
        <v>https://i.postimg.cc/4NzNM4MY/Blue-Runner.png</v>
      </c>
      <c r="K177" s="30" t="s">
        <v>114</v>
      </c>
      <c r="L177" s="30" t="str">
        <f>IFERROR(__xludf.DUMMYFUNCTION("""COMPUTED_VALUE"""),"4 Stars")</f>
        <v>4 Stars</v>
      </c>
      <c r="M177" s="31">
        <f>IFERROR(__xludf.DUMMYFUNCTION("""COMPUTED_VALUE"""),44370.0)</f>
        <v>44370</v>
      </c>
      <c r="N177" s="32"/>
    </row>
    <row r="178" ht="112.5" customHeight="1">
      <c r="A178" s="21">
        <f t="shared" si="1"/>
        <v>172</v>
      </c>
      <c r="B178" s="34" t="s">
        <v>86</v>
      </c>
      <c r="C178" s="23"/>
      <c r="D178" s="24"/>
      <c r="E178" s="25" t="s">
        <v>516</v>
      </c>
      <c r="F178" s="26" t="s">
        <v>7</v>
      </c>
      <c r="G178" s="27" t="s">
        <v>12</v>
      </c>
      <c r="H178" s="36">
        <f>DATE(2021,6,15)</f>
        <v>44362</v>
      </c>
      <c r="I178" s="29" t="s">
        <v>517</v>
      </c>
      <c r="J178" s="29" t="str">
        <f>IFERROR(__xludf.DUMMYFUNCTION("""COMPUTED_VALUE"""),"https://i.postimg.cc/qRhpGpyM/Green-Defender.png")</f>
        <v>https://i.postimg.cc/qRhpGpyM/Green-Defender.png</v>
      </c>
      <c r="K178" s="30" t="s">
        <v>86</v>
      </c>
      <c r="L178" s="30" t="str">
        <f>IFERROR(__xludf.DUMMYFUNCTION("""COMPUTED_VALUE"""),"4 Stars")</f>
        <v>4 Stars</v>
      </c>
      <c r="M178" s="31">
        <f>IFERROR(__xludf.DUMMYFUNCTION("""COMPUTED_VALUE"""),44362.0)</f>
        <v>44362</v>
      </c>
      <c r="N178" s="32"/>
    </row>
    <row r="179" ht="112.5" customHeight="1">
      <c r="A179" s="21">
        <f t="shared" si="1"/>
        <v>171</v>
      </c>
      <c r="B179" s="34" t="s">
        <v>35</v>
      </c>
      <c r="C179" s="23"/>
      <c r="D179" s="24"/>
      <c r="E179" s="25" t="s">
        <v>518</v>
      </c>
      <c r="F179" s="26" t="s">
        <v>21</v>
      </c>
      <c r="G179" s="27" t="s">
        <v>287</v>
      </c>
      <c r="H179" s="35">
        <f>DATE(2021,5,27)</f>
        <v>44343</v>
      </c>
      <c r="I179" s="29" t="s">
        <v>519</v>
      </c>
      <c r="J179" s="29" t="str">
        <f>IFERROR(__xludf.DUMMYFUNCTION("""COMPUTED_VALUE"""),"https://i.postimg.cc/L6B2DCYf/Red-Attacker.png")</f>
        <v>https://i.postimg.cc/L6B2DCYf/Red-Attacker.png</v>
      </c>
      <c r="K179" s="30" t="s">
        <v>35</v>
      </c>
      <c r="L179" s="30" t="str">
        <f>IFERROR(__xludf.DUMMYFUNCTION("""COMPUTED_VALUE"""),"4 Stars")</f>
        <v>4 Stars</v>
      </c>
      <c r="M179" s="31">
        <f>IFERROR(__xludf.DUMMYFUNCTION("""COMPUTED_VALUE"""),44343.0)</f>
        <v>44343</v>
      </c>
      <c r="N179" s="32"/>
    </row>
    <row r="180" ht="112.5" customHeight="1">
      <c r="A180" s="21">
        <f t="shared" si="1"/>
        <v>170</v>
      </c>
      <c r="B180" s="34" t="s">
        <v>75</v>
      </c>
      <c r="C180" s="23"/>
      <c r="D180" s="24"/>
      <c r="E180" s="25" t="s">
        <v>520</v>
      </c>
      <c r="F180" s="26" t="s">
        <v>21</v>
      </c>
      <c r="G180" s="27" t="s">
        <v>521</v>
      </c>
      <c r="H180" s="37"/>
      <c r="I180" s="29" t="s">
        <v>522</v>
      </c>
      <c r="J180" s="29" t="str">
        <f>IFERROR(__xludf.DUMMYFUNCTION("""COMPUTED_VALUE"""),"https://i.postimg.cc/P5XhRWY7/Red-Defender.png")</f>
        <v>https://i.postimg.cc/P5XhRWY7/Red-Defender.png</v>
      </c>
      <c r="K180" s="30" t="s">
        <v>75</v>
      </c>
      <c r="L180" s="30" t="str">
        <f>IFERROR(__xludf.DUMMYFUNCTION("""COMPUTED_VALUE"""),"4 Stars")</f>
        <v>4 Stars</v>
      </c>
      <c r="M180" s="31">
        <f>IFERROR(__xludf.DUMMYFUNCTION("""COMPUTED_VALUE"""),44343.0)</f>
        <v>44343</v>
      </c>
      <c r="N180" s="32"/>
    </row>
    <row r="181" ht="112.5" customHeight="1">
      <c r="A181" s="21">
        <f t="shared" si="1"/>
        <v>169</v>
      </c>
      <c r="B181" s="34" t="s">
        <v>114</v>
      </c>
      <c r="C181" s="23"/>
      <c r="D181" s="24"/>
      <c r="E181" s="25" t="s">
        <v>523</v>
      </c>
      <c r="F181" s="26" t="s">
        <v>524</v>
      </c>
      <c r="G181" s="27" t="s">
        <v>525</v>
      </c>
      <c r="H181" s="36">
        <f>DATE(2021,5,18)</f>
        <v>44334</v>
      </c>
      <c r="I181" s="29" t="s">
        <v>526</v>
      </c>
      <c r="J181" s="29" t="str">
        <f>IFERROR(__xludf.DUMMYFUNCTION("""COMPUTED_VALUE"""),"https://i.postimg.cc/4NzNM4MY/Blue-Runner.png")</f>
        <v>https://i.postimg.cc/4NzNM4MY/Blue-Runner.png</v>
      </c>
      <c r="K181" s="30" t="s">
        <v>114</v>
      </c>
      <c r="L181" s="30" t="str">
        <f>IFERROR(__xludf.DUMMYFUNCTION("""COMPUTED_VALUE"""),"4 Stars")</f>
        <v>4 Stars</v>
      </c>
      <c r="M181" s="31">
        <f>IFERROR(__xludf.DUMMYFUNCTION("""COMPUTED_VALUE"""),44334.0)</f>
        <v>44334</v>
      </c>
      <c r="N181" s="32"/>
    </row>
    <row r="182" ht="112.5" customHeight="1">
      <c r="A182" s="21">
        <f t="shared" si="1"/>
        <v>168</v>
      </c>
      <c r="B182" s="34" t="s">
        <v>86</v>
      </c>
      <c r="C182" s="23"/>
      <c r="D182" s="24"/>
      <c r="E182" s="25" t="s">
        <v>527</v>
      </c>
      <c r="F182" s="26" t="s">
        <v>21</v>
      </c>
      <c r="G182" s="27" t="s">
        <v>528</v>
      </c>
      <c r="H182" s="36">
        <f>DATE(2021,5,5)</f>
        <v>44321</v>
      </c>
      <c r="I182" s="29" t="s">
        <v>529</v>
      </c>
      <c r="J182" s="29" t="str">
        <f>IFERROR(__xludf.DUMMYFUNCTION("""COMPUTED_VALUE"""),"https://i.postimg.cc/qRhpGpyM/Green-Defender.png")</f>
        <v>https://i.postimg.cc/qRhpGpyM/Green-Defender.png</v>
      </c>
      <c r="K182" s="30" t="s">
        <v>86</v>
      </c>
      <c r="L182" s="30" t="str">
        <f>IFERROR(__xludf.DUMMYFUNCTION("""COMPUTED_VALUE"""),"4 Stars")</f>
        <v>4 Stars</v>
      </c>
      <c r="M182" s="31">
        <f>IFERROR(__xludf.DUMMYFUNCTION("""COMPUTED_VALUE"""),44321.0)</f>
        <v>44321</v>
      </c>
      <c r="N182" s="32"/>
    </row>
    <row r="183" ht="112.5" customHeight="1">
      <c r="A183" s="21">
        <f t="shared" si="1"/>
        <v>167</v>
      </c>
      <c r="B183" s="34" t="s">
        <v>75</v>
      </c>
      <c r="C183" s="23"/>
      <c r="D183" s="24"/>
      <c r="E183" s="25" t="s">
        <v>530</v>
      </c>
      <c r="F183" s="26" t="s">
        <v>21</v>
      </c>
      <c r="G183" s="27" t="s">
        <v>531</v>
      </c>
      <c r="H183" s="35">
        <f>DATE(2021,4,27)</f>
        <v>44313</v>
      </c>
      <c r="I183" s="29" t="s">
        <v>532</v>
      </c>
      <c r="J183" s="29" t="str">
        <f>IFERROR(__xludf.DUMMYFUNCTION("""COMPUTED_VALUE"""),"https://i.postimg.cc/P5XhRWY7/Red-Defender.png")</f>
        <v>https://i.postimg.cc/P5XhRWY7/Red-Defender.png</v>
      </c>
      <c r="K183" s="30" t="s">
        <v>75</v>
      </c>
      <c r="L183" s="30" t="str">
        <f>IFERROR(__xludf.DUMMYFUNCTION("""COMPUTED_VALUE"""),"4 Stars")</f>
        <v>4 Stars</v>
      </c>
      <c r="M183" s="31">
        <f>IFERROR(__xludf.DUMMYFUNCTION("""COMPUTED_VALUE"""),44313.0)</f>
        <v>44313</v>
      </c>
      <c r="N183" s="32"/>
    </row>
    <row r="184" ht="112.5" customHeight="1">
      <c r="A184" s="21">
        <f t="shared" si="1"/>
        <v>166</v>
      </c>
      <c r="B184" s="34" t="s">
        <v>212</v>
      </c>
      <c r="C184" s="23"/>
      <c r="D184" s="24"/>
      <c r="E184" s="25" t="s">
        <v>533</v>
      </c>
      <c r="F184" s="26" t="s">
        <v>21</v>
      </c>
      <c r="G184" s="27" t="s">
        <v>56</v>
      </c>
      <c r="H184" s="37"/>
      <c r="I184" s="29" t="s">
        <v>534</v>
      </c>
      <c r="J184" s="29" t="str">
        <f>IFERROR(__xludf.DUMMYFUNCTION("""COMPUTED_VALUE"""),"https://i.postimg.cc/1zRtDxvf/Blue-Attacker.png")</f>
        <v>https://i.postimg.cc/1zRtDxvf/Blue-Attacker.png</v>
      </c>
      <c r="K184" s="30" t="s">
        <v>212</v>
      </c>
      <c r="L184" s="30" t="str">
        <f>IFERROR(__xludf.DUMMYFUNCTION("""COMPUTED_VALUE"""),"4 Stars")</f>
        <v>4 Stars</v>
      </c>
      <c r="M184" s="31">
        <f>IFERROR(__xludf.DUMMYFUNCTION("""COMPUTED_VALUE"""),44313.0)</f>
        <v>44313</v>
      </c>
      <c r="N184" s="32"/>
    </row>
    <row r="185" ht="112.5" customHeight="1">
      <c r="A185" s="21">
        <f t="shared" si="1"/>
        <v>165</v>
      </c>
      <c r="B185" s="34" t="s">
        <v>24</v>
      </c>
      <c r="C185" s="23"/>
      <c r="D185" s="24"/>
      <c r="E185" s="25" t="s">
        <v>535</v>
      </c>
      <c r="F185" s="26" t="s">
        <v>7</v>
      </c>
      <c r="G185" s="27" t="s">
        <v>536</v>
      </c>
      <c r="H185" s="36">
        <f>DATE(2021,4,20)</f>
        <v>44306</v>
      </c>
      <c r="I185" s="29" t="s">
        <v>537</v>
      </c>
      <c r="J185" s="29" t="str">
        <f>IFERROR(__xludf.DUMMYFUNCTION("""COMPUTED_VALUE"""),"https://i.postimg.cc/Hk6HDrtk/Red-Runner.png")</f>
        <v>https://i.postimg.cc/Hk6HDrtk/Red-Runner.png</v>
      </c>
      <c r="K185" s="30" t="s">
        <v>24</v>
      </c>
      <c r="L185" s="30" t="str">
        <f>IFERROR(__xludf.DUMMYFUNCTION("""COMPUTED_VALUE"""),"4 Stars")</f>
        <v>4 Stars</v>
      </c>
      <c r="M185" s="31">
        <f>IFERROR(__xludf.DUMMYFUNCTION("""COMPUTED_VALUE"""),44306.0)</f>
        <v>44306</v>
      </c>
      <c r="N185" s="32"/>
    </row>
    <row r="186" ht="112.5" customHeight="1">
      <c r="A186" s="21">
        <f t="shared" si="1"/>
        <v>164</v>
      </c>
      <c r="B186" s="34" t="s">
        <v>104</v>
      </c>
      <c r="C186" s="23"/>
      <c r="D186" s="24"/>
      <c r="E186" s="25" t="s">
        <v>538</v>
      </c>
      <c r="F186" s="26" t="s">
        <v>7</v>
      </c>
      <c r="G186" s="27" t="s">
        <v>539</v>
      </c>
      <c r="H186" s="36">
        <f>DATE(2021,4,13)</f>
        <v>44299</v>
      </c>
      <c r="I186" s="29" t="s">
        <v>540</v>
      </c>
      <c r="J186" s="29" t="str">
        <f>IFERROR(__xludf.DUMMYFUNCTION("""COMPUTED_VALUE"""),"https://i.postimg.cc/0NH8mz6B/Green-Attacker.png")</f>
        <v>https://i.postimg.cc/0NH8mz6B/Green-Attacker.png</v>
      </c>
      <c r="K186" s="30" t="s">
        <v>104</v>
      </c>
      <c r="L186" s="30" t="str">
        <f>IFERROR(__xludf.DUMMYFUNCTION("""COMPUTED_VALUE"""),"4 Stars")</f>
        <v>4 Stars</v>
      </c>
      <c r="M186" s="31">
        <f>IFERROR(__xludf.DUMMYFUNCTION("""COMPUTED_VALUE"""),44299.0)</f>
        <v>44299</v>
      </c>
      <c r="N186" s="32"/>
    </row>
    <row r="187" ht="112.5" customHeight="1">
      <c r="A187" s="21">
        <f t="shared" si="1"/>
        <v>163</v>
      </c>
      <c r="B187" s="34" t="s">
        <v>140</v>
      </c>
      <c r="C187" s="23"/>
      <c r="D187" s="24"/>
      <c r="E187" s="39" t="s">
        <v>541</v>
      </c>
      <c r="F187" s="26" t="s">
        <v>206</v>
      </c>
      <c r="G187" s="27" t="s">
        <v>542</v>
      </c>
      <c r="H187" s="36">
        <f>DATE(2021,4,2)</f>
        <v>44288</v>
      </c>
      <c r="I187" s="29" t="s">
        <v>543</v>
      </c>
      <c r="J187" s="29" t="str">
        <f>IFERROR(__xludf.DUMMYFUNCTION("""COMPUTED_VALUE"""),"https://i.postimg.cc/m2xg81dx/Blue-Defender.png")</f>
        <v>https://i.postimg.cc/m2xg81dx/Blue-Defender.png</v>
      </c>
      <c r="K187" s="30" t="s">
        <v>140</v>
      </c>
      <c r="L187" s="30" t="str">
        <f>IFERROR(__xludf.DUMMYFUNCTION("""COMPUTED_VALUE"""),"3 Stars")</f>
        <v>3 Stars</v>
      </c>
      <c r="M187" s="31">
        <f>IFERROR(__xludf.DUMMYFUNCTION("""COMPUTED_VALUE"""),44288.0)</f>
        <v>44288</v>
      </c>
      <c r="N187" s="32"/>
    </row>
    <row r="188" ht="112.5" customHeight="1">
      <c r="A188" s="21">
        <f t="shared" si="1"/>
        <v>162</v>
      </c>
      <c r="B188" s="34" t="s">
        <v>140</v>
      </c>
      <c r="C188" s="23"/>
      <c r="D188" s="24"/>
      <c r="E188" s="25" t="s">
        <v>544</v>
      </c>
      <c r="F188" s="26" t="s">
        <v>21</v>
      </c>
      <c r="G188" s="27" t="s">
        <v>545</v>
      </c>
      <c r="H188" s="35">
        <f>DATE(2021,3,25)</f>
        <v>44280</v>
      </c>
      <c r="I188" s="29" t="s">
        <v>546</v>
      </c>
      <c r="J188" s="29" t="str">
        <f>IFERROR(__xludf.DUMMYFUNCTION("""COMPUTED_VALUE"""),"https://i.postimg.cc/m2xg81dx/Blue-Defender.png")</f>
        <v>https://i.postimg.cc/m2xg81dx/Blue-Defender.png</v>
      </c>
      <c r="K188" s="30" t="s">
        <v>140</v>
      </c>
      <c r="L188" s="30" t="str">
        <f>IFERROR(__xludf.DUMMYFUNCTION("""COMPUTED_VALUE"""),"4 Stars")</f>
        <v>4 Stars</v>
      </c>
      <c r="M188" s="31">
        <f>IFERROR(__xludf.DUMMYFUNCTION("""COMPUTED_VALUE"""),44280.0)</f>
        <v>44280</v>
      </c>
      <c r="N188" s="32"/>
    </row>
    <row r="189" ht="112.5" customHeight="1">
      <c r="A189" s="21">
        <f t="shared" si="1"/>
        <v>161</v>
      </c>
      <c r="B189" s="34" t="s">
        <v>24</v>
      </c>
      <c r="C189" s="23"/>
      <c r="D189" s="24"/>
      <c r="E189" s="25" t="s">
        <v>547</v>
      </c>
      <c r="F189" s="26" t="s">
        <v>21</v>
      </c>
      <c r="G189" s="27" t="s">
        <v>302</v>
      </c>
      <c r="H189" s="37"/>
      <c r="I189" s="29" t="s">
        <v>548</v>
      </c>
      <c r="J189" s="29" t="str">
        <f>IFERROR(__xludf.DUMMYFUNCTION("""COMPUTED_VALUE"""),"https://i.postimg.cc/Hk6HDrtk/Red-Runner.png")</f>
        <v>https://i.postimg.cc/Hk6HDrtk/Red-Runner.png</v>
      </c>
      <c r="K189" s="30" t="s">
        <v>24</v>
      </c>
      <c r="L189" s="30" t="str">
        <f>IFERROR(__xludf.DUMMYFUNCTION("""COMPUTED_VALUE"""),"4 Stars")</f>
        <v>4 Stars</v>
      </c>
      <c r="M189" s="31">
        <f>IFERROR(__xludf.DUMMYFUNCTION("""COMPUTED_VALUE"""),44280.0)</f>
        <v>44280</v>
      </c>
      <c r="N189" s="32"/>
    </row>
    <row r="190" ht="112.5" customHeight="1">
      <c r="A190" s="21">
        <f t="shared" si="1"/>
        <v>160</v>
      </c>
      <c r="B190" s="34" t="s">
        <v>35</v>
      </c>
      <c r="C190" s="23"/>
      <c r="D190" s="24"/>
      <c r="E190" s="25" t="s">
        <v>549</v>
      </c>
      <c r="F190" s="26" t="s">
        <v>7</v>
      </c>
      <c r="G190" s="27" t="s">
        <v>550</v>
      </c>
      <c r="H190" s="36">
        <f>DATE(2021,3,18)</f>
        <v>44273</v>
      </c>
      <c r="I190" s="29" t="s">
        <v>551</v>
      </c>
      <c r="J190" s="29" t="str">
        <f>IFERROR(__xludf.DUMMYFUNCTION("""COMPUTED_VALUE"""),"https://i.postimg.cc/L6B2DCYf/Red-Attacker.png")</f>
        <v>https://i.postimg.cc/L6B2DCYf/Red-Attacker.png</v>
      </c>
      <c r="K190" s="30" t="s">
        <v>35</v>
      </c>
      <c r="L190" s="30" t="str">
        <f>IFERROR(__xludf.DUMMYFUNCTION("""COMPUTED_VALUE"""),"4 Stars")</f>
        <v>4 Stars</v>
      </c>
      <c r="M190" s="31">
        <f>IFERROR(__xludf.DUMMYFUNCTION("""COMPUTED_VALUE"""),44273.0)</f>
        <v>44273</v>
      </c>
      <c r="N190" s="32"/>
    </row>
    <row r="191" ht="112.5" customHeight="1">
      <c r="A191" s="21">
        <f t="shared" si="1"/>
        <v>159</v>
      </c>
      <c r="B191" s="34" t="s">
        <v>10</v>
      </c>
      <c r="C191" s="23"/>
      <c r="D191" s="24"/>
      <c r="E191" s="25" t="s">
        <v>552</v>
      </c>
      <c r="F191" s="26" t="s">
        <v>7</v>
      </c>
      <c r="G191" s="27" t="s">
        <v>553</v>
      </c>
      <c r="H191" s="36">
        <f>DATE(2021,3,4)</f>
        <v>44259</v>
      </c>
      <c r="I191" s="29" t="s">
        <v>554</v>
      </c>
      <c r="J191" s="29" t="str">
        <f>IFERROR(__xludf.DUMMYFUNCTION("""COMPUTED_VALUE"""),"https://i.postimg.cc/PxgT30Qb/Green-Runner.png")</f>
        <v>https://i.postimg.cc/PxgT30Qb/Green-Runner.png</v>
      </c>
      <c r="K191" s="30" t="s">
        <v>10</v>
      </c>
      <c r="L191" s="30" t="str">
        <f>IFERROR(__xludf.DUMMYFUNCTION("""COMPUTED_VALUE"""),"4 Stars")</f>
        <v>4 Stars</v>
      </c>
      <c r="M191" s="31">
        <f>IFERROR(__xludf.DUMMYFUNCTION("""COMPUTED_VALUE"""),44259.0)</f>
        <v>44259</v>
      </c>
      <c r="N191" s="32"/>
    </row>
    <row r="192" ht="112.5" customHeight="1">
      <c r="A192" s="21">
        <f t="shared" si="1"/>
        <v>158</v>
      </c>
      <c r="B192" s="34" t="s">
        <v>104</v>
      </c>
      <c r="C192" s="23"/>
      <c r="D192" s="24"/>
      <c r="E192" s="25" t="s">
        <v>555</v>
      </c>
      <c r="F192" s="26" t="s">
        <v>21</v>
      </c>
      <c r="G192" s="27" t="s">
        <v>556</v>
      </c>
      <c r="H192" s="35">
        <f>DATE(2021,2,25)</f>
        <v>44252</v>
      </c>
      <c r="I192" s="29" t="s">
        <v>557</v>
      </c>
      <c r="J192" s="29" t="str">
        <f>IFERROR(__xludf.DUMMYFUNCTION("""COMPUTED_VALUE"""),"https://i.postimg.cc/0NH8mz6B/Green-Attacker.png")</f>
        <v>https://i.postimg.cc/0NH8mz6B/Green-Attacker.png</v>
      </c>
      <c r="K192" s="30" t="s">
        <v>104</v>
      </c>
      <c r="L192" s="30" t="str">
        <f>IFERROR(__xludf.DUMMYFUNCTION("""COMPUTED_VALUE"""),"4 Stars")</f>
        <v>4 Stars</v>
      </c>
      <c r="M192" s="31">
        <f>IFERROR(__xludf.DUMMYFUNCTION("""COMPUTED_VALUE"""),44252.0)</f>
        <v>44252</v>
      </c>
      <c r="N192" s="32"/>
    </row>
    <row r="193" ht="112.5" customHeight="1">
      <c r="A193" s="21">
        <f t="shared" si="1"/>
        <v>157</v>
      </c>
      <c r="B193" s="34" t="s">
        <v>75</v>
      </c>
      <c r="C193" s="23"/>
      <c r="D193" s="24"/>
      <c r="E193" s="25" t="s">
        <v>558</v>
      </c>
      <c r="F193" s="26" t="s">
        <v>21</v>
      </c>
      <c r="G193" s="27" t="s">
        <v>559</v>
      </c>
      <c r="H193" s="37"/>
      <c r="I193" s="29" t="s">
        <v>560</v>
      </c>
      <c r="J193" s="29" t="str">
        <f>IFERROR(__xludf.DUMMYFUNCTION("""COMPUTED_VALUE"""),"https://i.postimg.cc/P5XhRWY7/Red-Defender.png")</f>
        <v>https://i.postimg.cc/P5XhRWY7/Red-Defender.png</v>
      </c>
      <c r="K193" s="30" t="s">
        <v>75</v>
      </c>
      <c r="L193" s="30" t="str">
        <f>IFERROR(__xludf.DUMMYFUNCTION("""COMPUTED_VALUE"""),"4 Stars")</f>
        <v>4 Stars</v>
      </c>
      <c r="M193" s="31">
        <f>IFERROR(__xludf.DUMMYFUNCTION("""COMPUTED_VALUE"""),44252.0)</f>
        <v>44252</v>
      </c>
      <c r="N193" s="32"/>
    </row>
    <row r="194" ht="112.5" customHeight="1">
      <c r="A194" s="21">
        <f t="shared" si="1"/>
        <v>156</v>
      </c>
      <c r="B194" s="34" t="s">
        <v>86</v>
      </c>
      <c r="C194" s="23"/>
      <c r="D194" s="24"/>
      <c r="E194" s="25" t="s">
        <v>561</v>
      </c>
      <c r="F194" s="26" t="s">
        <v>7</v>
      </c>
      <c r="G194" s="27" t="s">
        <v>562</v>
      </c>
      <c r="H194" s="36">
        <f>DATE(2021,2,18)</f>
        <v>44245</v>
      </c>
      <c r="I194" s="29" t="s">
        <v>563</v>
      </c>
      <c r="J194" s="29" t="str">
        <f>IFERROR(__xludf.DUMMYFUNCTION("""COMPUTED_VALUE"""),"https://i.postimg.cc/qRhpGpyM/Green-Defender.png")</f>
        <v>https://i.postimg.cc/qRhpGpyM/Green-Defender.png</v>
      </c>
      <c r="K194" s="30" t="s">
        <v>86</v>
      </c>
      <c r="L194" s="30" t="str">
        <f>IFERROR(__xludf.DUMMYFUNCTION("""COMPUTED_VALUE"""),"4 Stars")</f>
        <v>4 Stars</v>
      </c>
      <c r="M194" s="31">
        <f>IFERROR(__xludf.DUMMYFUNCTION("""COMPUTED_VALUE"""),44245.0)</f>
        <v>44245</v>
      </c>
      <c r="N194" s="32"/>
    </row>
    <row r="195" ht="112.5" customHeight="1">
      <c r="A195" s="21">
        <f t="shared" si="1"/>
        <v>155</v>
      </c>
      <c r="B195" s="34" t="s">
        <v>114</v>
      </c>
      <c r="C195" s="23"/>
      <c r="D195" s="24"/>
      <c r="E195" s="25" t="s">
        <v>564</v>
      </c>
      <c r="F195" s="26" t="s">
        <v>7</v>
      </c>
      <c r="G195" s="27" t="s">
        <v>314</v>
      </c>
      <c r="H195" s="36">
        <f>DATE(2021,2,9)</f>
        <v>44236</v>
      </c>
      <c r="I195" s="29" t="s">
        <v>565</v>
      </c>
      <c r="J195" s="29" t="str">
        <f>IFERROR(__xludf.DUMMYFUNCTION("""COMPUTED_VALUE"""),"https://i.postimg.cc/4NzNM4MY/Blue-Runner.png")</f>
        <v>https://i.postimg.cc/4NzNM4MY/Blue-Runner.png</v>
      </c>
      <c r="K195" s="30" t="s">
        <v>114</v>
      </c>
      <c r="L195" s="30" t="str">
        <f>IFERROR(__xludf.DUMMYFUNCTION("""COMPUTED_VALUE"""),"4 Stars")</f>
        <v>4 Stars</v>
      </c>
      <c r="M195" s="31">
        <f>IFERROR(__xludf.DUMMYFUNCTION("""COMPUTED_VALUE"""),44236.0)</f>
        <v>44236</v>
      </c>
      <c r="N195" s="32"/>
    </row>
    <row r="196" ht="112.5" customHeight="1">
      <c r="A196" s="21">
        <f t="shared" si="1"/>
        <v>154</v>
      </c>
      <c r="B196" s="34" t="s">
        <v>104</v>
      </c>
      <c r="C196" s="23"/>
      <c r="D196" s="24"/>
      <c r="E196" s="25" t="s">
        <v>566</v>
      </c>
      <c r="F196" s="26" t="s">
        <v>16</v>
      </c>
      <c r="G196" s="27" t="s">
        <v>567</v>
      </c>
      <c r="H196" s="36">
        <f>DATE(2021,1,28)</f>
        <v>44224</v>
      </c>
      <c r="I196" s="29" t="s">
        <v>568</v>
      </c>
      <c r="J196" s="29" t="str">
        <f>IFERROR(__xludf.DUMMYFUNCTION("""COMPUTED_VALUE"""),"https://i.postimg.cc/0NH8mz6B/Green-Attacker.png")</f>
        <v>https://i.postimg.cc/0NH8mz6B/Green-Attacker.png</v>
      </c>
      <c r="K196" s="30" t="s">
        <v>104</v>
      </c>
      <c r="L196" s="30" t="str">
        <f>IFERROR(__xludf.DUMMYFUNCTION("""COMPUTED_VALUE"""),"4 Stars")</f>
        <v>4 Stars</v>
      </c>
      <c r="M196" s="31">
        <f>IFERROR(__xludf.DUMMYFUNCTION("""COMPUTED_VALUE"""),44224.0)</f>
        <v>44224</v>
      </c>
      <c r="N196" s="32"/>
    </row>
    <row r="197" ht="112.5" customHeight="1">
      <c r="A197" s="21">
        <f t="shared" si="1"/>
        <v>153</v>
      </c>
      <c r="B197" s="34" t="s">
        <v>24</v>
      </c>
      <c r="C197" s="23"/>
      <c r="D197" s="24"/>
      <c r="E197" s="25" t="s">
        <v>569</v>
      </c>
      <c r="F197" s="26" t="s">
        <v>206</v>
      </c>
      <c r="G197" s="27" t="s">
        <v>570</v>
      </c>
      <c r="H197" s="35">
        <f>DATE(2021,1,21)</f>
        <v>44217</v>
      </c>
      <c r="I197" s="29" t="s">
        <v>571</v>
      </c>
      <c r="J197" s="29" t="str">
        <f>IFERROR(__xludf.DUMMYFUNCTION("""COMPUTED_VALUE"""),"https://i.postimg.cc/Hk6HDrtk/Red-Runner.png")</f>
        <v>https://i.postimg.cc/Hk6HDrtk/Red-Runner.png</v>
      </c>
      <c r="K197" s="30" t="s">
        <v>24</v>
      </c>
      <c r="L197" s="30" t="str">
        <f>IFERROR(__xludf.DUMMYFUNCTION("""COMPUTED_VALUE"""),"3 Stars")</f>
        <v>3 Stars</v>
      </c>
      <c r="M197" s="31">
        <f>IFERROR(__xludf.DUMMYFUNCTION("""COMPUTED_VALUE"""),44217.0)</f>
        <v>44217</v>
      </c>
      <c r="N197" s="32"/>
    </row>
    <row r="198" ht="112.5" customHeight="1">
      <c r="A198" s="21">
        <f t="shared" si="1"/>
        <v>152</v>
      </c>
      <c r="B198" s="34" t="s">
        <v>75</v>
      </c>
      <c r="C198" s="23"/>
      <c r="D198" s="24"/>
      <c r="E198" s="25" t="s">
        <v>572</v>
      </c>
      <c r="F198" s="26" t="s">
        <v>7</v>
      </c>
      <c r="G198" s="27" t="s">
        <v>573</v>
      </c>
      <c r="H198" s="33"/>
      <c r="I198" s="29" t="s">
        <v>574</v>
      </c>
      <c r="J198" s="29" t="str">
        <f>IFERROR(__xludf.DUMMYFUNCTION("""COMPUTED_VALUE"""),"https://i.postimg.cc/P5XhRWY7/Red-Defender.png")</f>
        <v>https://i.postimg.cc/P5XhRWY7/Red-Defender.png</v>
      </c>
      <c r="K198" s="30" t="s">
        <v>75</v>
      </c>
      <c r="L198" s="30" t="str">
        <f>IFERROR(__xludf.DUMMYFUNCTION("""COMPUTED_VALUE"""),"4 Stars")</f>
        <v>4 Stars</v>
      </c>
      <c r="M198" s="31">
        <f>IFERROR(__xludf.DUMMYFUNCTION("""COMPUTED_VALUE"""),44217.0)</f>
        <v>44217</v>
      </c>
      <c r="N198" s="32"/>
    </row>
    <row r="199" ht="112.5" customHeight="1">
      <c r="A199" s="21">
        <f t="shared" si="1"/>
        <v>151</v>
      </c>
      <c r="B199" s="34" t="s">
        <v>212</v>
      </c>
      <c r="C199" s="23"/>
      <c r="D199" s="24"/>
      <c r="E199" s="25" t="s">
        <v>575</v>
      </c>
      <c r="F199" s="26" t="s">
        <v>7</v>
      </c>
      <c r="G199" s="27" t="s">
        <v>576</v>
      </c>
      <c r="H199" s="33"/>
      <c r="I199" s="29" t="s">
        <v>577</v>
      </c>
      <c r="J199" s="29" t="str">
        <f>IFERROR(__xludf.DUMMYFUNCTION("""COMPUTED_VALUE"""),"https://i.postimg.cc/1zRtDxvf/Blue-Attacker.png")</f>
        <v>https://i.postimg.cc/1zRtDxvf/Blue-Attacker.png</v>
      </c>
      <c r="K199" s="30" t="s">
        <v>212</v>
      </c>
      <c r="L199" s="30" t="str">
        <f>IFERROR(__xludf.DUMMYFUNCTION("""COMPUTED_VALUE"""),"4 Stars")</f>
        <v>4 Stars</v>
      </c>
      <c r="M199" s="31">
        <f>IFERROR(__xludf.DUMMYFUNCTION("""COMPUTED_VALUE"""),44217.0)</f>
        <v>44217</v>
      </c>
      <c r="N199" s="32"/>
    </row>
    <row r="200" ht="112.5" customHeight="1">
      <c r="A200" s="21">
        <f t="shared" si="1"/>
        <v>150</v>
      </c>
      <c r="B200" s="34" t="s">
        <v>10</v>
      </c>
      <c r="C200" s="23"/>
      <c r="D200" s="24"/>
      <c r="E200" s="25" t="s">
        <v>578</v>
      </c>
      <c r="F200" s="26" t="s">
        <v>16</v>
      </c>
      <c r="G200" s="27" t="s">
        <v>579</v>
      </c>
      <c r="H200" s="37"/>
      <c r="I200" s="29" t="s">
        <v>580</v>
      </c>
      <c r="J200" s="29" t="str">
        <f>IFERROR(__xludf.DUMMYFUNCTION("""COMPUTED_VALUE"""),"https://i.postimg.cc/PxgT30Qb/Green-Runner.png")</f>
        <v>https://i.postimg.cc/PxgT30Qb/Green-Runner.png</v>
      </c>
      <c r="K200" s="30" t="s">
        <v>10</v>
      </c>
      <c r="L200" s="30" t="str">
        <f>IFERROR(__xludf.DUMMYFUNCTION("""COMPUTED_VALUE"""),"4 Stars")</f>
        <v>4 Stars</v>
      </c>
      <c r="M200" s="31">
        <f>IFERROR(__xludf.DUMMYFUNCTION("""COMPUTED_VALUE"""),44217.0)</f>
        <v>44217</v>
      </c>
      <c r="N200" s="32"/>
    </row>
    <row r="201" ht="112.5" customHeight="1">
      <c r="A201" s="21">
        <f t="shared" si="1"/>
        <v>149</v>
      </c>
      <c r="B201" s="34" t="s">
        <v>140</v>
      </c>
      <c r="C201" s="23"/>
      <c r="D201" s="24"/>
      <c r="E201" s="25" t="s">
        <v>581</v>
      </c>
      <c r="F201" s="26" t="s">
        <v>7</v>
      </c>
      <c r="G201" s="27" t="s">
        <v>582</v>
      </c>
      <c r="H201" s="36">
        <f>DATE(2020,12,31)</f>
        <v>44196</v>
      </c>
      <c r="I201" s="29" t="s">
        <v>583</v>
      </c>
      <c r="J201" s="29" t="str">
        <f>IFERROR(__xludf.DUMMYFUNCTION("""COMPUTED_VALUE"""),"https://i.postimg.cc/m2xg81dx/Blue-Defender.png")</f>
        <v>https://i.postimg.cc/m2xg81dx/Blue-Defender.png</v>
      </c>
      <c r="K201" s="30" t="s">
        <v>140</v>
      </c>
      <c r="L201" s="30" t="str">
        <f>IFERROR(__xludf.DUMMYFUNCTION("""COMPUTED_VALUE"""),"4 Stars")</f>
        <v>4 Stars</v>
      </c>
      <c r="M201" s="31">
        <f>IFERROR(__xludf.DUMMYFUNCTION("""COMPUTED_VALUE"""),44196.0)</f>
        <v>44196</v>
      </c>
      <c r="N201" s="32"/>
    </row>
    <row r="202" ht="112.5" customHeight="1">
      <c r="A202" s="21">
        <f t="shared" si="1"/>
        <v>148</v>
      </c>
      <c r="B202" s="34" t="s">
        <v>114</v>
      </c>
      <c r="C202" s="23"/>
      <c r="D202" s="24"/>
      <c r="E202" s="25" t="s">
        <v>584</v>
      </c>
      <c r="F202" s="26" t="s">
        <v>21</v>
      </c>
      <c r="G202" s="27" t="s">
        <v>585</v>
      </c>
      <c r="H202" s="35">
        <f>DATE(2020,12,25)</f>
        <v>44190</v>
      </c>
      <c r="I202" s="29" t="s">
        <v>586</v>
      </c>
      <c r="J202" s="29" t="str">
        <f>IFERROR(__xludf.DUMMYFUNCTION("""COMPUTED_VALUE"""),"https://i.postimg.cc/4NzNM4MY/Blue-Runner.png")</f>
        <v>https://i.postimg.cc/4NzNM4MY/Blue-Runner.png</v>
      </c>
      <c r="K202" s="30" t="s">
        <v>114</v>
      </c>
      <c r="L202" s="30" t="str">
        <f>IFERROR(__xludf.DUMMYFUNCTION("""COMPUTED_VALUE"""),"4 Stars")</f>
        <v>4 Stars</v>
      </c>
      <c r="M202" s="31">
        <f>IFERROR(__xludf.DUMMYFUNCTION("""COMPUTED_VALUE"""),44190.0)</f>
        <v>44190</v>
      </c>
      <c r="N202" s="32"/>
    </row>
    <row r="203" ht="112.5" customHeight="1">
      <c r="A203" s="21">
        <f t="shared" si="1"/>
        <v>147</v>
      </c>
      <c r="B203" s="34" t="s">
        <v>35</v>
      </c>
      <c r="C203" s="23"/>
      <c r="D203" s="24"/>
      <c r="E203" s="25" t="s">
        <v>587</v>
      </c>
      <c r="F203" s="26" t="s">
        <v>21</v>
      </c>
      <c r="G203" s="27" t="s">
        <v>169</v>
      </c>
      <c r="H203" s="37"/>
      <c r="I203" s="29" t="s">
        <v>588</v>
      </c>
      <c r="J203" s="29" t="str">
        <f>IFERROR(__xludf.DUMMYFUNCTION("""COMPUTED_VALUE"""),"https://i.postimg.cc/L6B2DCYf/Red-Attacker.png")</f>
        <v>https://i.postimg.cc/L6B2DCYf/Red-Attacker.png</v>
      </c>
      <c r="K203" s="30" t="s">
        <v>35</v>
      </c>
      <c r="L203" s="30" t="str">
        <f>IFERROR(__xludf.DUMMYFUNCTION("""COMPUTED_VALUE"""),"4 Stars")</f>
        <v>4 Stars</v>
      </c>
      <c r="M203" s="31">
        <f>IFERROR(__xludf.DUMMYFUNCTION("""COMPUTED_VALUE"""),44190.0)</f>
        <v>44190</v>
      </c>
      <c r="N203" s="32"/>
    </row>
    <row r="204" ht="112.5" customHeight="1">
      <c r="A204" s="21">
        <f t="shared" si="1"/>
        <v>146</v>
      </c>
      <c r="B204" s="34" t="s">
        <v>212</v>
      </c>
      <c r="C204" s="23"/>
      <c r="D204" s="24"/>
      <c r="E204" s="25" t="s">
        <v>589</v>
      </c>
      <c r="F204" s="26" t="s">
        <v>21</v>
      </c>
      <c r="G204" s="27" t="s">
        <v>397</v>
      </c>
      <c r="H204" s="35">
        <f>DATE(2020,11,26)</f>
        <v>44161</v>
      </c>
      <c r="I204" s="29" t="s">
        <v>590</v>
      </c>
      <c r="J204" s="29" t="str">
        <f>IFERROR(__xludf.DUMMYFUNCTION("""COMPUTED_VALUE"""),"https://i.postimg.cc/1zRtDxvf/Blue-Attacker.png")</f>
        <v>https://i.postimg.cc/1zRtDxvf/Blue-Attacker.png</v>
      </c>
      <c r="K204" s="30" t="s">
        <v>212</v>
      </c>
      <c r="L204" s="30" t="str">
        <f>IFERROR(__xludf.DUMMYFUNCTION("""COMPUTED_VALUE"""),"4 Stars")</f>
        <v>4 Stars</v>
      </c>
      <c r="M204" s="31">
        <f>IFERROR(__xludf.DUMMYFUNCTION("""COMPUTED_VALUE"""),44161.0)</f>
        <v>44161</v>
      </c>
      <c r="N204" s="32"/>
    </row>
    <row r="205" ht="112.5" customHeight="1">
      <c r="A205" s="21">
        <f t="shared" si="1"/>
        <v>145</v>
      </c>
      <c r="B205" s="34" t="s">
        <v>75</v>
      </c>
      <c r="C205" s="23"/>
      <c r="D205" s="24"/>
      <c r="E205" s="25" t="s">
        <v>591</v>
      </c>
      <c r="F205" s="26" t="s">
        <v>21</v>
      </c>
      <c r="G205" s="27" t="s">
        <v>592</v>
      </c>
      <c r="H205" s="37"/>
      <c r="I205" s="29" t="s">
        <v>593</v>
      </c>
      <c r="J205" s="29" t="str">
        <f>IFERROR(__xludf.DUMMYFUNCTION("""COMPUTED_VALUE"""),"https://i.postimg.cc/P5XhRWY7/Red-Defender.png")</f>
        <v>https://i.postimg.cc/P5XhRWY7/Red-Defender.png</v>
      </c>
      <c r="K205" s="30" t="s">
        <v>75</v>
      </c>
      <c r="L205" s="30" t="str">
        <f>IFERROR(__xludf.DUMMYFUNCTION("""COMPUTED_VALUE"""),"4 Stars")</f>
        <v>4 Stars</v>
      </c>
      <c r="M205" s="31">
        <f>IFERROR(__xludf.DUMMYFUNCTION("""COMPUTED_VALUE"""),44161.0)</f>
        <v>44161</v>
      </c>
      <c r="N205" s="32"/>
    </row>
    <row r="206" ht="112.5" customHeight="1">
      <c r="A206" s="21">
        <f t="shared" si="1"/>
        <v>144</v>
      </c>
      <c r="B206" s="34" t="s">
        <v>104</v>
      </c>
      <c r="C206" s="23"/>
      <c r="D206" s="24"/>
      <c r="E206" s="25" t="s">
        <v>594</v>
      </c>
      <c r="F206" s="26" t="s">
        <v>7</v>
      </c>
      <c r="G206" s="27" t="s">
        <v>595</v>
      </c>
      <c r="H206" s="41">
        <f>DATE(2020,11,17)</f>
        <v>44152</v>
      </c>
      <c r="I206" s="29" t="s">
        <v>596</v>
      </c>
      <c r="J206" s="29" t="str">
        <f>IFERROR(__xludf.DUMMYFUNCTION("""COMPUTED_VALUE"""),"https://i.postimg.cc/0NH8mz6B/Green-Attacker.png")</f>
        <v>https://i.postimg.cc/0NH8mz6B/Green-Attacker.png</v>
      </c>
      <c r="K206" s="30" t="s">
        <v>104</v>
      </c>
      <c r="L206" s="30" t="str">
        <f>IFERROR(__xludf.DUMMYFUNCTION("""COMPUTED_VALUE"""),"4 Stars")</f>
        <v>4 Stars</v>
      </c>
      <c r="M206" s="31">
        <f>IFERROR(__xludf.DUMMYFUNCTION("""COMPUTED_VALUE"""),44152.0)</f>
        <v>44152</v>
      </c>
      <c r="N206" s="32"/>
    </row>
    <row r="207" ht="112.5" customHeight="1">
      <c r="A207" s="21">
        <f t="shared" si="1"/>
        <v>143</v>
      </c>
      <c r="B207" s="34" t="s">
        <v>35</v>
      </c>
      <c r="C207" s="23"/>
      <c r="D207" s="24"/>
      <c r="E207" s="25" t="s">
        <v>597</v>
      </c>
      <c r="F207" s="26" t="s">
        <v>7</v>
      </c>
      <c r="G207" s="27" t="s">
        <v>598</v>
      </c>
      <c r="H207" s="41">
        <f>DATE(2020,11,5)</f>
        <v>44140</v>
      </c>
      <c r="I207" s="29" t="s">
        <v>599</v>
      </c>
      <c r="J207" s="29" t="str">
        <f>IFERROR(__xludf.DUMMYFUNCTION("""COMPUTED_VALUE"""),"https://i.postimg.cc/L6B2DCYf/Red-Attacker.png")</f>
        <v>https://i.postimg.cc/L6B2DCYf/Red-Attacker.png</v>
      </c>
      <c r="K207" s="30" t="s">
        <v>35</v>
      </c>
      <c r="L207" s="30" t="str">
        <f>IFERROR(__xludf.DUMMYFUNCTION("""COMPUTED_VALUE"""),"4 Stars")</f>
        <v>4 Stars</v>
      </c>
      <c r="M207" s="31">
        <f>IFERROR(__xludf.DUMMYFUNCTION("""COMPUTED_VALUE"""),44140.0)</f>
        <v>44140</v>
      </c>
      <c r="N207" s="32"/>
    </row>
    <row r="208" ht="112.5" customHeight="1">
      <c r="A208" s="21">
        <f t="shared" si="1"/>
        <v>142</v>
      </c>
      <c r="B208" s="34" t="s">
        <v>212</v>
      </c>
      <c r="C208" s="23"/>
      <c r="D208" s="24"/>
      <c r="E208" s="25" t="s">
        <v>600</v>
      </c>
      <c r="F208" s="26" t="s">
        <v>21</v>
      </c>
      <c r="G208" s="27" t="s">
        <v>601</v>
      </c>
      <c r="H208" s="35">
        <f>DATE(2020,10,29)</f>
        <v>44133</v>
      </c>
      <c r="I208" s="29" t="s">
        <v>602</v>
      </c>
      <c r="J208" s="29" t="str">
        <f>IFERROR(__xludf.DUMMYFUNCTION("""COMPUTED_VALUE"""),"https://i.postimg.cc/1zRtDxvf/Blue-Attacker.png")</f>
        <v>https://i.postimg.cc/1zRtDxvf/Blue-Attacker.png</v>
      </c>
      <c r="K208" s="30" t="s">
        <v>212</v>
      </c>
      <c r="L208" s="30" t="str">
        <f>IFERROR(__xludf.DUMMYFUNCTION("""COMPUTED_VALUE"""),"4 Stars")</f>
        <v>4 Stars</v>
      </c>
      <c r="M208" s="31">
        <f>IFERROR(__xludf.DUMMYFUNCTION("""COMPUTED_VALUE"""),44133.0)</f>
        <v>44133</v>
      </c>
      <c r="N208" s="32"/>
    </row>
    <row r="209" ht="112.5" customHeight="1">
      <c r="A209" s="21">
        <f t="shared" si="1"/>
        <v>141</v>
      </c>
      <c r="B209" s="34" t="s">
        <v>10</v>
      </c>
      <c r="C209" s="23"/>
      <c r="D209" s="24"/>
      <c r="E209" s="25" t="s">
        <v>603</v>
      </c>
      <c r="F209" s="26" t="s">
        <v>21</v>
      </c>
      <c r="G209" s="27" t="s">
        <v>604</v>
      </c>
      <c r="H209" s="37"/>
      <c r="I209" s="29" t="s">
        <v>605</v>
      </c>
      <c r="J209" s="29" t="str">
        <f>IFERROR(__xludf.DUMMYFUNCTION("""COMPUTED_VALUE"""),"https://i.postimg.cc/PxgT30Qb/Green-Runner.png")</f>
        <v>https://i.postimg.cc/PxgT30Qb/Green-Runner.png</v>
      </c>
      <c r="K209" s="30" t="s">
        <v>10</v>
      </c>
      <c r="L209" s="30" t="str">
        <f>IFERROR(__xludf.DUMMYFUNCTION("""COMPUTED_VALUE"""),"4 Stars")</f>
        <v>4 Stars</v>
      </c>
      <c r="M209" s="31">
        <f>IFERROR(__xludf.DUMMYFUNCTION("""COMPUTED_VALUE"""),44133.0)</f>
        <v>44133</v>
      </c>
      <c r="N209" s="32"/>
    </row>
    <row r="210" ht="112.5" customHeight="1">
      <c r="A210" s="21">
        <f t="shared" si="1"/>
        <v>140</v>
      </c>
      <c r="B210" s="34" t="s">
        <v>140</v>
      </c>
      <c r="C210" s="23"/>
      <c r="D210" s="24"/>
      <c r="E210" s="25" t="s">
        <v>606</v>
      </c>
      <c r="F210" s="26" t="s">
        <v>7</v>
      </c>
      <c r="G210" s="27" t="s">
        <v>607</v>
      </c>
      <c r="H210" s="36">
        <f>DATE(2020,10,8)</f>
        <v>44112</v>
      </c>
      <c r="I210" s="29" t="s">
        <v>608</v>
      </c>
      <c r="J210" s="29" t="str">
        <f>IFERROR(__xludf.DUMMYFUNCTION("""COMPUTED_VALUE"""),"https://i.postimg.cc/m2xg81dx/Blue-Defender.png")</f>
        <v>https://i.postimg.cc/m2xg81dx/Blue-Defender.png</v>
      </c>
      <c r="K210" s="30" t="s">
        <v>140</v>
      </c>
      <c r="L210" s="30" t="str">
        <f>IFERROR(__xludf.DUMMYFUNCTION("""COMPUTED_VALUE"""),"4 Stars")</f>
        <v>4 Stars</v>
      </c>
      <c r="M210" s="31">
        <f>IFERROR(__xludf.DUMMYFUNCTION("""COMPUTED_VALUE"""),44112.0)</f>
        <v>44112</v>
      </c>
      <c r="N210" s="32"/>
    </row>
    <row r="211" ht="112.5" customHeight="1">
      <c r="A211" s="21">
        <f t="shared" si="1"/>
        <v>139</v>
      </c>
      <c r="B211" s="34" t="s">
        <v>212</v>
      </c>
      <c r="C211" s="23"/>
      <c r="D211" s="24"/>
      <c r="E211" s="25" t="s">
        <v>609</v>
      </c>
      <c r="F211" s="26" t="s">
        <v>21</v>
      </c>
      <c r="G211" s="27" t="s">
        <v>610</v>
      </c>
      <c r="H211" s="35">
        <f>DATE(2020,9,29)</f>
        <v>44103</v>
      </c>
      <c r="I211" s="29" t="s">
        <v>611</v>
      </c>
      <c r="J211" s="29" t="str">
        <f>IFERROR(__xludf.DUMMYFUNCTION("""COMPUTED_VALUE"""),"https://i.postimg.cc/1zRtDxvf/Blue-Attacker.png")</f>
        <v>https://i.postimg.cc/1zRtDxvf/Blue-Attacker.png</v>
      </c>
      <c r="K211" s="30" t="s">
        <v>212</v>
      </c>
      <c r="L211" s="30" t="str">
        <f>IFERROR(__xludf.DUMMYFUNCTION("""COMPUTED_VALUE"""),"4 Stars")</f>
        <v>4 Stars</v>
      </c>
      <c r="M211" s="31">
        <f>IFERROR(__xludf.DUMMYFUNCTION("""COMPUTED_VALUE"""),44103.0)</f>
        <v>44103</v>
      </c>
      <c r="N211" s="32"/>
    </row>
    <row r="212" ht="112.5" customHeight="1">
      <c r="A212" s="21">
        <f t="shared" si="1"/>
        <v>138</v>
      </c>
      <c r="B212" s="34" t="s">
        <v>86</v>
      </c>
      <c r="C212" s="23"/>
      <c r="D212" s="24"/>
      <c r="E212" s="25" t="s">
        <v>612</v>
      </c>
      <c r="F212" s="26" t="s">
        <v>21</v>
      </c>
      <c r="G212" s="27" t="s">
        <v>613</v>
      </c>
      <c r="H212" s="37"/>
      <c r="I212" s="29" t="s">
        <v>614</v>
      </c>
      <c r="J212" s="29" t="str">
        <f>IFERROR(__xludf.DUMMYFUNCTION("""COMPUTED_VALUE"""),"https://i.postimg.cc/qRhpGpyM/Green-Defender.png")</f>
        <v>https://i.postimg.cc/qRhpGpyM/Green-Defender.png</v>
      </c>
      <c r="K212" s="30" t="s">
        <v>86</v>
      </c>
      <c r="L212" s="30" t="str">
        <f>IFERROR(__xludf.DUMMYFUNCTION("""COMPUTED_VALUE"""),"4 Stars")</f>
        <v>4 Stars</v>
      </c>
      <c r="M212" s="31">
        <f>IFERROR(__xludf.DUMMYFUNCTION("""COMPUTED_VALUE"""),44103.0)</f>
        <v>44103</v>
      </c>
      <c r="N212" s="32"/>
    </row>
    <row r="213" ht="112.5" customHeight="1">
      <c r="A213" s="21">
        <f t="shared" si="1"/>
        <v>137</v>
      </c>
      <c r="B213" s="34" t="s">
        <v>75</v>
      </c>
      <c r="C213" s="23"/>
      <c r="D213" s="24"/>
      <c r="E213" s="25" t="s">
        <v>615</v>
      </c>
      <c r="F213" s="26" t="s">
        <v>7</v>
      </c>
      <c r="G213" s="27" t="s">
        <v>616</v>
      </c>
      <c r="H213" s="36">
        <f>DATE(2020,9,15)</f>
        <v>44089</v>
      </c>
      <c r="I213" s="29" t="s">
        <v>617</v>
      </c>
      <c r="J213" s="29" t="str">
        <f>IFERROR(__xludf.DUMMYFUNCTION("""COMPUTED_VALUE"""),"https://i.postimg.cc/P5XhRWY7/Red-Defender.png")</f>
        <v>https://i.postimg.cc/P5XhRWY7/Red-Defender.png</v>
      </c>
      <c r="K213" s="30" t="s">
        <v>75</v>
      </c>
      <c r="L213" s="30" t="str">
        <f>IFERROR(__xludf.DUMMYFUNCTION("""COMPUTED_VALUE"""),"4 Stars")</f>
        <v>4 Stars</v>
      </c>
      <c r="M213" s="31">
        <f>IFERROR(__xludf.DUMMYFUNCTION("""COMPUTED_VALUE"""),44089.0)</f>
        <v>44089</v>
      </c>
      <c r="N213" s="32"/>
    </row>
    <row r="214" ht="112.5" customHeight="1">
      <c r="A214" s="21">
        <f t="shared" si="1"/>
        <v>136</v>
      </c>
      <c r="B214" s="34" t="s">
        <v>212</v>
      </c>
      <c r="C214" s="23"/>
      <c r="D214" s="24"/>
      <c r="E214" s="25" t="s">
        <v>618</v>
      </c>
      <c r="F214" s="26" t="s">
        <v>7</v>
      </c>
      <c r="G214" s="27" t="s">
        <v>619</v>
      </c>
      <c r="H214" s="36">
        <f>DATE(2020,9,3)</f>
        <v>44077</v>
      </c>
      <c r="I214" s="29" t="s">
        <v>620</v>
      </c>
      <c r="J214" s="29" t="str">
        <f>IFERROR(__xludf.DUMMYFUNCTION("""COMPUTED_VALUE"""),"https://i.postimg.cc/1zRtDxvf/Blue-Attacker.png")</f>
        <v>https://i.postimg.cc/1zRtDxvf/Blue-Attacker.png</v>
      </c>
      <c r="K214" s="30" t="s">
        <v>212</v>
      </c>
      <c r="L214" s="30" t="str">
        <f>IFERROR(__xludf.DUMMYFUNCTION("""COMPUTED_VALUE"""),"4 Stars")</f>
        <v>4 Stars</v>
      </c>
      <c r="M214" s="31">
        <f>IFERROR(__xludf.DUMMYFUNCTION("""COMPUTED_VALUE"""),44077.0)</f>
        <v>44077</v>
      </c>
      <c r="N214" s="32"/>
    </row>
    <row r="215" ht="112.5" customHeight="1">
      <c r="A215" s="21">
        <f t="shared" si="1"/>
        <v>135</v>
      </c>
      <c r="B215" s="34" t="s">
        <v>86</v>
      </c>
      <c r="C215" s="23"/>
      <c r="D215" s="24"/>
      <c r="E215" s="25" t="s">
        <v>621</v>
      </c>
      <c r="F215" s="26" t="s">
        <v>21</v>
      </c>
      <c r="G215" s="27" t="s">
        <v>327</v>
      </c>
      <c r="H215" s="35">
        <f>DATE(2020,8,25)</f>
        <v>44068</v>
      </c>
      <c r="I215" s="29" t="s">
        <v>622</v>
      </c>
      <c r="J215" s="29" t="str">
        <f>IFERROR(__xludf.DUMMYFUNCTION("""COMPUTED_VALUE"""),"https://i.postimg.cc/qRhpGpyM/Green-Defender.png")</f>
        <v>https://i.postimg.cc/qRhpGpyM/Green-Defender.png</v>
      </c>
      <c r="K215" s="30" t="s">
        <v>86</v>
      </c>
      <c r="L215" s="30" t="str">
        <f>IFERROR(__xludf.DUMMYFUNCTION("""COMPUTED_VALUE"""),"4 Stars")</f>
        <v>4 Stars</v>
      </c>
      <c r="M215" s="31">
        <f>IFERROR(__xludf.DUMMYFUNCTION("""COMPUTED_VALUE"""),44068.0)</f>
        <v>44068</v>
      </c>
      <c r="N215" s="32"/>
    </row>
    <row r="216" ht="112.5" customHeight="1">
      <c r="A216" s="21">
        <f t="shared" si="1"/>
        <v>134</v>
      </c>
      <c r="B216" s="34" t="s">
        <v>114</v>
      </c>
      <c r="C216" s="23"/>
      <c r="D216" s="24"/>
      <c r="E216" s="25" t="s">
        <v>623</v>
      </c>
      <c r="F216" s="26" t="s">
        <v>16</v>
      </c>
      <c r="G216" s="27" t="s">
        <v>624</v>
      </c>
      <c r="H216" s="37"/>
      <c r="I216" s="29" t="s">
        <v>625</v>
      </c>
      <c r="J216" s="29" t="str">
        <f>IFERROR(__xludf.DUMMYFUNCTION("""COMPUTED_VALUE"""),"https://i.postimg.cc/4NzNM4MY/Blue-Runner.png")</f>
        <v>https://i.postimg.cc/4NzNM4MY/Blue-Runner.png</v>
      </c>
      <c r="K216" s="30" t="s">
        <v>114</v>
      </c>
      <c r="L216" s="30" t="str">
        <f>IFERROR(__xludf.DUMMYFUNCTION("""COMPUTED_VALUE"""),"4 Stars")</f>
        <v>4 Stars</v>
      </c>
      <c r="M216" s="31">
        <f>IFERROR(__xludf.DUMMYFUNCTION("""COMPUTED_VALUE"""),44068.0)</f>
        <v>44068</v>
      </c>
      <c r="N216" s="32"/>
    </row>
    <row r="217" ht="112.5" customHeight="1">
      <c r="A217" s="21">
        <f t="shared" si="1"/>
        <v>133</v>
      </c>
      <c r="B217" s="34" t="s">
        <v>140</v>
      </c>
      <c r="C217" s="23"/>
      <c r="D217" s="24"/>
      <c r="E217" s="25" t="s">
        <v>626</v>
      </c>
      <c r="F217" s="26" t="s">
        <v>7</v>
      </c>
      <c r="G217" s="27" t="s">
        <v>627</v>
      </c>
      <c r="H217" s="36">
        <f>DATE(2020,8,11)</f>
        <v>44054</v>
      </c>
      <c r="I217" s="29" t="s">
        <v>628</v>
      </c>
      <c r="J217" s="29" t="str">
        <f>IFERROR(__xludf.DUMMYFUNCTION("""COMPUTED_VALUE"""),"https://i.postimg.cc/m2xg81dx/Blue-Defender.png")</f>
        <v>https://i.postimg.cc/m2xg81dx/Blue-Defender.png</v>
      </c>
      <c r="K217" s="30" t="s">
        <v>140</v>
      </c>
      <c r="L217" s="30" t="str">
        <f>IFERROR(__xludf.DUMMYFUNCTION("""COMPUTED_VALUE"""),"4 Stars")</f>
        <v>4 Stars</v>
      </c>
      <c r="M217" s="31">
        <f>IFERROR(__xludf.DUMMYFUNCTION("""COMPUTED_VALUE"""),44054.0)</f>
        <v>44054</v>
      </c>
      <c r="N217" s="32"/>
    </row>
    <row r="218" ht="112.5" customHeight="1">
      <c r="A218" s="21">
        <f t="shared" si="1"/>
        <v>132</v>
      </c>
      <c r="B218" s="34" t="s">
        <v>86</v>
      </c>
      <c r="C218" s="23"/>
      <c r="D218" s="24"/>
      <c r="E218" s="25" t="s">
        <v>629</v>
      </c>
      <c r="F218" s="26" t="s">
        <v>206</v>
      </c>
      <c r="G218" s="27" t="s">
        <v>293</v>
      </c>
      <c r="H218" s="35">
        <f>DATE(2020,8,4)</f>
        <v>44047</v>
      </c>
      <c r="I218" s="29" t="s">
        <v>630</v>
      </c>
      <c r="J218" s="29" t="str">
        <f>IFERROR(__xludf.DUMMYFUNCTION("""COMPUTED_VALUE"""),"https://i.postimg.cc/qRhpGpyM/Green-Defender.png")</f>
        <v>https://i.postimg.cc/qRhpGpyM/Green-Defender.png</v>
      </c>
      <c r="K218" s="30" t="s">
        <v>86</v>
      </c>
      <c r="L218" s="30" t="str">
        <f>IFERROR(__xludf.DUMMYFUNCTION("""COMPUTED_VALUE"""),"3 Stars")</f>
        <v>3 Stars</v>
      </c>
      <c r="M218" s="31">
        <f>IFERROR(__xludf.DUMMYFUNCTION("""COMPUTED_VALUE"""),44047.0)</f>
        <v>44047</v>
      </c>
      <c r="N218" s="32"/>
    </row>
    <row r="219" ht="112.5" customHeight="1">
      <c r="A219" s="21">
        <f t="shared" si="1"/>
        <v>131</v>
      </c>
      <c r="B219" s="34" t="s">
        <v>24</v>
      </c>
      <c r="C219" s="23"/>
      <c r="D219" s="24"/>
      <c r="E219" s="25" t="s">
        <v>631</v>
      </c>
      <c r="F219" s="26" t="s">
        <v>7</v>
      </c>
      <c r="G219" s="27" t="s">
        <v>26</v>
      </c>
      <c r="H219" s="37"/>
      <c r="I219" s="29" t="s">
        <v>632</v>
      </c>
      <c r="J219" s="29" t="str">
        <f>IFERROR(__xludf.DUMMYFUNCTION("""COMPUTED_VALUE"""),"https://i.postimg.cc/Hk6HDrtk/Red-Runner.png")</f>
        <v>https://i.postimg.cc/Hk6HDrtk/Red-Runner.png</v>
      </c>
      <c r="K219" s="30" t="s">
        <v>24</v>
      </c>
      <c r="L219" s="30" t="str">
        <f>IFERROR(__xludf.DUMMYFUNCTION("""COMPUTED_VALUE"""),"4 Stars")</f>
        <v>4 Stars</v>
      </c>
      <c r="M219" s="31">
        <f>IFERROR(__xludf.DUMMYFUNCTION("""COMPUTED_VALUE"""),44047.0)</f>
        <v>44047</v>
      </c>
      <c r="N219" s="32"/>
    </row>
    <row r="220" ht="112.5" customHeight="1">
      <c r="A220" s="21">
        <f t="shared" si="1"/>
        <v>130</v>
      </c>
      <c r="B220" s="34" t="s">
        <v>140</v>
      </c>
      <c r="C220" s="23"/>
      <c r="D220" s="24"/>
      <c r="E220" s="25" t="s">
        <v>633</v>
      </c>
      <c r="F220" s="26" t="s">
        <v>21</v>
      </c>
      <c r="G220" s="27" t="s">
        <v>634</v>
      </c>
      <c r="H220" s="35">
        <f>DATE(2020,7,30)</f>
        <v>44042</v>
      </c>
      <c r="I220" s="29" t="s">
        <v>635</v>
      </c>
      <c r="J220" s="29" t="str">
        <f>IFERROR(__xludf.DUMMYFUNCTION("""COMPUTED_VALUE"""),"https://i.postimg.cc/m2xg81dx/Blue-Defender.png")</f>
        <v>https://i.postimg.cc/m2xg81dx/Blue-Defender.png</v>
      </c>
      <c r="K220" s="30" t="s">
        <v>140</v>
      </c>
      <c r="L220" s="30" t="str">
        <f>IFERROR(__xludf.DUMMYFUNCTION("""COMPUTED_VALUE"""),"4 Stars")</f>
        <v>4 Stars</v>
      </c>
      <c r="M220" s="31">
        <f>IFERROR(__xludf.DUMMYFUNCTION("""COMPUTED_VALUE"""),44042.0)</f>
        <v>44042</v>
      </c>
      <c r="N220" s="32"/>
    </row>
    <row r="221" ht="112.5" customHeight="1">
      <c r="A221" s="21">
        <f t="shared" si="1"/>
        <v>129</v>
      </c>
      <c r="B221" s="34" t="s">
        <v>35</v>
      </c>
      <c r="C221" s="23"/>
      <c r="D221" s="24"/>
      <c r="E221" s="25" t="s">
        <v>636</v>
      </c>
      <c r="F221" s="26" t="s">
        <v>21</v>
      </c>
      <c r="G221" s="27" t="s">
        <v>637</v>
      </c>
      <c r="H221" s="37"/>
      <c r="I221" s="29" t="s">
        <v>638</v>
      </c>
      <c r="J221" s="29" t="str">
        <f>IFERROR(__xludf.DUMMYFUNCTION("""COMPUTED_VALUE"""),"https://i.postimg.cc/L6B2DCYf/Red-Attacker.png")</f>
        <v>https://i.postimg.cc/L6B2DCYf/Red-Attacker.png</v>
      </c>
      <c r="K221" s="30" t="s">
        <v>35</v>
      </c>
      <c r="L221" s="30" t="str">
        <f>IFERROR(__xludf.DUMMYFUNCTION("""COMPUTED_VALUE"""),"4 Stars")</f>
        <v>4 Stars</v>
      </c>
      <c r="M221" s="31">
        <f>IFERROR(__xludf.DUMMYFUNCTION("""COMPUTED_VALUE"""),44042.0)</f>
        <v>44042</v>
      </c>
      <c r="N221" s="32"/>
    </row>
    <row r="222" ht="112.5" customHeight="1">
      <c r="A222" s="21">
        <f t="shared" si="1"/>
        <v>128</v>
      </c>
      <c r="B222" s="34" t="s">
        <v>212</v>
      </c>
      <c r="C222" s="23"/>
      <c r="D222" s="24"/>
      <c r="E222" s="25" t="s">
        <v>639</v>
      </c>
      <c r="F222" s="26" t="s">
        <v>7</v>
      </c>
      <c r="G222" s="27" t="s">
        <v>397</v>
      </c>
      <c r="H222" s="36">
        <f>DATE(2020,7,22)</f>
        <v>44034</v>
      </c>
      <c r="I222" s="29" t="s">
        <v>640</v>
      </c>
      <c r="J222" s="29" t="str">
        <f>IFERROR(__xludf.DUMMYFUNCTION("""COMPUTED_VALUE"""),"https://i.postimg.cc/1zRtDxvf/Blue-Attacker.png")</f>
        <v>https://i.postimg.cc/1zRtDxvf/Blue-Attacker.png</v>
      </c>
      <c r="K222" s="30" t="s">
        <v>212</v>
      </c>
      <c r="L222" s="30" t="str">
        <f>IFERROR(__xludf.DUMMYFUNCTION("""COMPUTED_VALUE"""),"4 Stars")</f>
        <v>4 Stars</v>
      </c>
      <c r="M222" s="31">
        <f>IFERROR(__xludf.DUMMYFUNCTION("""COMPUTED_VALUE"""),44034.0)</f>
        <v>44034</v>
      </c>
      <c r="N222" s="32"/>
    </row>
    <row r="223" ht="112.5" customHeight="1">
      <c r="A223" s="21">
        <f t="shared" si="1"/>
        <v>127</v>
      </c>
      <c r="B223" s="34" t="s">
        <v>10</v>
      </c>
      <c r="C223" s="23"/>
      <c r="D223" s="24"/>
      <c r="E223" s="25" t="s">
        <v>641</v>
      </c>
      <c r="F223" s="26" t="s">
        <v>7</v>
      </c>
      <c r="G223" s="27" t="s">
        <v>163</v>
      </c>
      <c r="H223" s="36">
        <f>DATE(2020,7,14)</f>
        <v>44026</v>
      </c>
      <c r="I223" s="29" t="s">
        <v>642</v>
      </c>
      <c r="J223" s="29" t="str">
        <f>IFERROR(__xludf.DUMMYFUNCTION("""COMPUTED_VALUE"""),"https://i.postimg.cc/PxgT30Qb/Green-Runner.png")</f>
        <v>https://i.postimg.cc/PxgT30Qb/Green-Runner.png</v>
      </c>
      <c r="K223" s="30" t="s">
        <v>10</v>
      </c>
      <c r="L223" s="30" t="str">
        <f>IFERROR(__xludf.DUMMYFUNCTION("""COMPUTED_VALUE"""),"4 Stars")</f>
        <v>4 Stars</v>
      </c>
      <c r="M223" s="31">
        <f>IFERROR(__xludf.DUMMYFUNCTION("""COMPUTED_VALUE"""),44026.0)</f>
        <v>44026</v>
      </c>
      <c r="N223" s="32"/>
    </row>
    <row r="224" ht="112.5" customHeight="1">
      <c r="A224" s="21">
        <f t="shared" si="1"/>
        <v>126</v>
      </c>
      <c r="B224" s="34" t="s">
        <v>35</v>
      </c>
      <c r="C224" s="23"/>
      <c r="D224" s="24"/>
      <c r="E224" s="25" t="s">
        <v>643</v>
      </c>
      <c r="F224" s="26" t="s">
        <v>21</v>
      </c>
      <c r="G224" s="27" t="s">
        <v>644</v>
      </c>
      <c r="H224" s="35">
        <f>DATE(2020,6,25)</f>
        <v>44007</v>
      </c>
      <c r="I224" s="29" t="s">
        <v>645</v>
      </c>
      <c r="J224" s="29" t="str">
        <f>IFERROR(__xludf.DUMMYFUNCTION("""COMPUTED_VALUE"""),"https://i.postimg.cc/L6B2DCYf/Red-Attacker.png")</f>
        <v>https://i.postimg.cc/L6B2DCYf/Red-Attacker.png</v>
      </c>
      <c r="K224" s="30" t="s">
        <v>35</v>
      </c>
      <c r="L224" s="30" t="str">
        <f>IFERROR(__xludf.DUMMYFUNCTION("""COMPUTED_VALUE"""),"4 Stars")</f>
        <v>4 Stars</v>
      </c>
      <c r="M224" s="31">
        <f>IFERROR(__xludf.DUMMYFUNCTION("""COMPUTED_VALUE"""),44007.0)</f>
        <v>44007</v>
      </c>
      <c r="N224" s="32"/>
    </row>
    <row r="225" ht="112.5" customHeight="1">
      <c r="A225" s="21">
        <f t="shared" si="1"/>
        <v>125</v>
      </c>
      <c r="B225" s="34" t="s">
        <v>86</v>
      </c>
      <c r="C225" s="23"/>
      <c r="D225" s="24"/>
      <c r="E225" s="25" t="s">
        <v>646</v>
      </c>
      <c r="F225" s="26" t="s">
        <v>21</v>
      </c>
      <c r="G225" s="27" t="s">
        <v>521</v>
      </c>
      <c r="H225" s="37"/>
      <c r="I225" s="29" t="s">
        <v>647</v>
      </c>
      <c r="J225" s="29" t="str">
        <f>IFERROR(__xludf.DUMMYFUNCTION("""COMPUTED_VALUE"""),"https://i.postimg.cc/qRhpGpyM/Green-Defender.png")</f>
        <v>https://i.postimg.cc/qRhpGpyM/Green-Defender.png</v>
      </c>
      <c r="K225" s="30" t="s">
        <v>86</v>
      </c>
      <c r="L225" s="30" t="str">
        <f>IFERROR(__xludf.DUMMYFUNCTION("""COMPUTED_VALUE"""),"4 Stars")</f>
        <v>4 Stars</v>
      </c>
      <c r="M225" s="31">
        <f>IFERROR(__xludf.DUMMYFUNCTION("""COMPUTED_VALUE"""),44007.0)</f>
        <v>44007</v>
      </c>
      <c r="N225" s="32"/>
    </row>
    <row r="226" ht="112.5" customHeight="1">
      <c r="A226" s="21">
        <f t="shared" si="1"/>
        <v>124</v>
      </c>
      <c r="B226" s="34" t="s">
        <v>114</v>
      </c>
      <c r="C226" s="23"/>
      <c r="D226" s="24"/>
      <c r="E226" s="25" t="s">
        <v>648</v>
      </c>
      <c r="F226" s="26" t="s">
        <v>206</v>
      </c>
      <c r="G226" s="27" t="s">
        <v>649</v>
      </c>
      <c r="H226" s="35">
        <f>DATE(2020,6,18)</f>
        <v>44000</v>
      </c>
      <c r="I226" s="29" t="s">
        <v>650</v>
      </c>
      <c r="J226" s="29" t="str">
        <f>IFERROR(__xludf.DUMMYFUNCTION("""COMPUTED_VALUE"""),"https://i.postimg.cc/4NzNM4MY/Blue-Runner.png")</f>
        <v>https://i.postimg.cc/4NzNM4MY/Blue-Runner.png</v>
      </c>
      <c r="K226" s="30" t="s">
        <v>114</v>
      </c>
      <c r="L226" s="30" t="str">
        <f>IFERROR(__xludf.DUMMYFUNCTION("""COMPUTED_VALUE"""),"3 Stars")</f>
        <v>3 Stars</v>
      </c>
      <c r="M226" s="31">
        <f>IFERROR(__xludf.DUMMYFUNCTION("""COMPUTED_VALUE"""),44000.0)</f>
        <v>44000</v>
      </c>
      <c r="N226" s="32"/>
    </row>
    <row r="227" ht="112.5" customHeight="1">
      <c r="A227" s="21">
        <f t="shared" si="1"/>
        <v>123</v>
      </c>
      <c r="B227" s="34" t="s">
        <v>10</v>
      </c>
      <c r="C227" s="23"/>
      <c r="D227" s="24"/>
      <c r="E227" s="25" t="s">
        <v>651</v>
      </c>
      <c r="F227" s="26" t="s">
        <v>7</v>
      </c>
      <c r="G227" s="27" t="s">
        <v>652</v>
      </c>
      <c r="H227" s="37"/>
      <c r="I227" s="29" t="s">
        <v>653</v>
      </c>
      <c r="J227" s="29" t="str">
        <f>IFERROR(__xludf.DUMMYFUNCTION("""COMPUTED_VALUE"""),"https://i.postimg.cc/PxgT30Qb/Green-Runner.png")</f>
        <v>https://i.postimg.cc/PxgT30Qb/Green-Runner.png</v>
      </c>
      <c r="K227" s="30" t="s">
        <v>10</v>
      </c>
      <c r="L227" s="30" t="str">
        <f>IFERROR(__xludf.DUMMYFUNCTION("""COMPUTED_VALUE"""),"4 Stars")</f>
        <v>4 Stars</v>
      </c>
      <c r="M227" s="31">
        <f>IFERROR(__xludf.DUMMYFUNCTION("""COMPUTED_VALUE"""),44000.0)</f>
        <v>44000</v>
      </c>
      <c r="N227" s="32"/>
    </row>
    <row r="228" ht="112.5" customHeight="1">
      <c r="A228" s="21">
        <f t="shared" si="1"/>
        <v>122</v>
      </c>
      <c r="B228" s="34" t="s">
        <v>75</v>
      </c>
      <c r="C228" s="23"/>
      <c r="D228" s="24"/>
      <c r="E228" s="25" t="s">
        <v>654</v>
      </c>
      <c r="F228" s="26" t="s">
        <v>7</v>
      </c>
      <c r="G228" s="27" t="s">
        <v>655</v>
      </c>
      <c r="H228" s="36">
        <f>DATE(2020,6,9)</f>
        <v>43991</v>
      </c>
      <c r="I228" s="29" t="s">
        <v>656</v>
      </c>
      <c r="J228" s="29" t="str">
        <f>IFERROR(__xludf.DUMMYFUNCTION("""COMPUTED_VALUE"""),"https://i.postimg.cc/P5XhRWY7/Red-Defender.png")</f>
        <v>https://i.postimg.cc/P5XhRWY7/Red-Defender.png</v>
      </c>
      <c r="K228" s="30" t="s">
        <v>75</v>
      </c>
      <c r="L228" s="30" t="str">
        <f>IFERROR(__xludf.DUMMYFUNCTION("""COMPUTED_VALUE"""),"4 Stars")</f>
        <v>4 Stars</v>
      </c>
      <c r="M228" s="31">
        <f>IFERROR(__xludf.DUMMYFUNCTION("""COMPUTED_VALUE"""),43991.0)</f>
        <v>43991</v>
      </c>
      <c r="N228" s="32"/>
    </row>
    <row r="229" ht="112.5" customHeight="1">
      <c r="A229" s="21">
        <f t="shared" si="1"/>
        <v>121</v>
      </c>
      <c r="B229" s="34" t="s">
        <v>140</v>
      </c>
      <c r="C229" s="23"/>
      <c r="D229" s="24"/>
      <c r="E229" s="25" t="s">
        <v>657</v>
      </c>
      <c r="F229" s="26" t="s">
        <v>21</v>
      </c>
      <c r="G229" s="27" t="s">
        <v>658</v>
      </c>
      <c r="H229" s="35">
        <f>DATE(2020,5,28)</f>
        <v>43979</v>
      </c>
      <c r="I229" s="29" t="s">
        <v>659</v>
      </c>
      <c r="J229" s="29" t="str">
        <f>IFERROR(__xludf.DUMMYFUNCTION("""COMPUTED_VALUE"""),"https://i.postimg.cc/m2xg81dx/Blue-Defender.png")</f>
        <v>https://i.postimg.cc/m2xg81dx/Blue-Defender.png</v>
      </c>
      <c r="K229" s="30" t="s">
        <v>140</v>
      </c>
      <c r="L229" s="30" t="str">
        <f>IFERROR(__xludf.DUMMYFUNCTION("""COMPUTED_VALUE"""),"4 Stars")</f>
        <v>4 Stars</v>
      </c>
      <c r="M229" s="31">
        <f>IFERROR(__xludf.DUMMYFUNCTION("""COMPUTED_VALUE"""),43979.0)</f>
        <v>43979</v>
      </c>
      <c r="N229" s="32"/>
    </row>
    <row r="230" ht="112.5" customHeight="1">
      <c r="A230" s="21">
        <f t="shared" si="1"/>
        <v>120</v>
      </c>
      <c r="B230" s="34" t="s">
        <v>104</v>
      </c>
      <c r="C230" s="23"/>
      <c r="D230" s="24"/>
      <c r="E230" s="25" t="s">
        <v>660</v>
      </c>
      <c r="F230" s="26" t="s">
        <v>21</v>
      </c>
      <c r="G230" s="27" t="s">
        <v>661</v>
      </c>
      <c r="H230" s="37"/>
      <c r="I230" s="29" t="s">
        <v>662</v>
      </c>
      <c r="J230" s="29" t="str">
        <f>IFERROR(__xludf.DUMMYFUNCTION("""COMPUTED_VALUE"""),"https://i.postimg.cc/0NH8mz6B/Green-Attacker.png")</f>
        <v>https://i.postimg.cc/0NH8mz6B/Green-Attacker.png</v>
      </c>
      <c r="K230" s="30" t="s">
        <v>104</v>
      </c>
      <c r="L230" s="30" t="str">
        <f>IFERROR(__xludf.DUMMYFUNCTION("""COMPUTED_VALUE"""),"4 Stars")</f>
        <v>4 Stars</v>
      </c>
      <c r="M230" s="31">
        <f>IFERROR(__xludf.DUMMYFUNCTION("""COMPUTED_VALUE"""),43979.0)</f>
        <v>43979</v>
      </c>
      <c r="N230" s="32"/>
    </row>
    <row r="231" ht="112.5" customHeight="1">
      <c r="A231" s="21">
        <f t="shared" si="1"/>
        <v>119</v>
      </c>
      <c r="B231" s="34" t="s">
        <v>24</v>
      </c>
      <c r="C231" s="23"/>
      <c r="D231" s="24"/>
      <c r="E231" s="25" t="s">
        <v>663</v>
      </c>
      <c r="F231" s="26" t="s">
        <v>7</v>
      </c>
      <c r="G231" s="27" t="s">
        <v>664</v>
      </c>
      <c r="H231" s="36">
        <f>DATE(2020,5,5)</f>
        <v>43956</v>
      </c>
      <c r="I231" s="29" t="s">
        <v>665</v>
      </c>
      <c r="J231" s="29" t="str">
        <f>IFERROR(__xludf.DUMMYFUNCTION("""COMPUTED_VALUE"""),"https://i.postimg.cc/Hk6HDrtk/Red-Runner.png")</f>
        <v>https://i.postimg.cc/Hk6HDrtk/Red-Runner.png</v>
      </c>
      <c r="K231" s="30" t="s">
        <v>24</v>
      </c>
      <c r="L231" s="30" t="str">
        <f>IFERROR(__xludf.DUMMYFUNCTION("""COMPUTED_VALUE"""),"4 Stars")</f>
        <v>4 Stars</v>
      </c>
      <c r="M231" s="31">
        <f>IFERROR(__xludf.DUMMYFUNCTION("""COMPUTED_VALUE"""),43956.0)</f>
        <v>43956</v>
      </c>
      <c r="N231" s="32"/>
    </row>
    <row r="232" ht="112.5" customHeight="1">
      <c r="A232" s="21">
        <f t="shared" si="1"/>
        <v>118</v>
      </c>
      <c r="B232" s="34" t="s">
        <v>10</v>
      </c>
      <c r="C232" s="23"/>
      <c r="D232" s="24"/>
      <c r="E232" s="25" t="s">
        <v>666</v>
      </c>
      <c r="F232" s="26" t="s">
        <v>21</v>
      </c>
      <c r="G232" s="27" t="s">
        <v>667</v>
      </c>
      <c r="H232" s="35">
        <f>DATE(2020,4,28)</f>
        <v>43949</v>
      </c>
      <c r="I232" s="29" t="s">
        <v>668</v>
      </c>
      <c r="J232" s="29" t="str">
        <f>IFERROR(__xludf.DUMMYFUNCTION("""COMPUTED_VALUE"""),"https://i.postimg.cc/PxgT30Qb/Green-Runner.png")</f>
        <v>https://i.postimg.cc/PxgT30Qb/Green-Runner.png</v>
      </c>
      <c r="K232" s="30" t="s">
        <v>10</v>
      </c>
      <c r="L232" s="30" t="str">
        <f>IFERROR(__xludf.DUMMYFUNCTION("""COMPUTED_VALUE"""),"4 Stars")</f>
        <v>4 Stars</v>
      </c>
      <c r="M232" s="31">
        <f>IFERROR(__xludf.DUMMYFUNCTION("""COMPUTED_VALUE"""),43949.0)</f>
        <v>43949</v>
      </c>
      <c r="N232" s="32"/>
    </row>
    <row r="233" ht="112.5" customHeight="1">
      <c r="A233" s="21">
        <f t="shared" si="1"/>
        <v>117</v>
      </c>
      <c r="B233" s="34" t="s">
        <v>140</v>
      </c>
      <c r="C233" s="23"/>
      <c r="D233" s="24"/>
      <c r="E233" s="25" t="s">
        <v>669</v>
      </c>
      <c r="F233" s="26" t="s">
        <v>21</v>
      </c>
      <c r="G233" s="27" t="s">
        <v>670</v>
      </c>
      <c r="H233" s="37"/>
      <c r="I233" s="29" t="s">
        <v>671</v>
      </c>
      <c r="J233" s="29" t="str">
        <f>IFERROR(__xludf.DUMMYFUNCTION("""COMPUTED_VALUE"""),"https://i.postimg.cc/m2xg81dx/Blue-Defender.png")</f>
        <v>https://i.postimg.cc/m2xg81dx/Blue-Defender.png</v>
      </c>
      <c r="K233" s="30" t="s">
        <v>140</v>
      </c>
      <c r="L233" s="30" t="str">
        <f>IFERROR(__xludf.DUMMYFUNCTION("""COMPUTED_VALUE"""),"4 Stars")</f>
        <v>4 Stars</v>
      </c>
      <c r="M233" s="31">
        <f>IFERROR(__xludf.DUMMYFUNCTION("""COMPUTED_VALUE"""),43949.0)</f>
        <v>43949</v>
      </c>
      <c r="N233" s="32"/>
    </row>
    <row r="234" ht="112.5" customHeight="1">
      <c r="A234" s="21">
        <f t="shared" si="1"/>
        <v>116</v>
      </c>
      <c r="B234" s="34" t="s">
        <v>212</v>
      </c>
      <c r="C234" s="23"/>
      <c r="D234" s="24"/>
      <c r="E234" s="25" t="s">
        <v>672</v>
      </c>
      <c r="F234" s="26" t="s">
        <v>7</v>
      </c>
      <c r="G234" s="27" t="s">
        <v>673</v>
      </c>
      <c r="H234" s="36">
        <f>DATE(2020,4,16)</f>
        <v>43937</v>
      </c>
      <c r="I234" s="29" t="s">
        <v>674</v>
      </c>
      <c r="J234" s="29" t="str">
        <f>IFERROR(__xludf.DUMMYFUNCTION("""COMPUTED_VALUE"""),"https://i.postimg.cc/1zRtDxvf/Blue-Attacker.png")</f>
        <v>https://i.postimg.cc/1zRtDxvf/Blue-Attacker.png</v>
      </c>
      <c r="K234" s="30" t="s">
        <v>212</v>
      </c>
      <c r="L234" s="30" t="str">
        <f>IFERROR(__xludf.DUMMYFUNCTION("""COMPUTED_VALUE"""),"4 Stars")</f>
        <v>4 Stars</v>
      </c>
      <c r="M234" s="31">
        <f>IFERROR(__xludf.DUMMYFUNCTION("""COMPUTED_VALUE"""),43937.0)</f>
        <v>43937</v>
      </c>
      <c r="N234" s="32"/>
    </row>
    <row r="235" ht="112.5" customHeight="1">
      <c r="A235" s="21">
        <f t="shared" si="1"/>
        <v>115</v>
      </c>
      <c r="B235" s="34" t="s">
        <v>24</v>
      </c>
      <c r="C235" s="23"/>
      <c r="D235" s="24"/>
      <c r="E235" s="25" t="s">
        <v>675</v>
      </c>
      <c r="F235" s="26" t="s">
        <v>206</v>
      </c>
      <c r="G235" s="27" t="s">
        <v>138</v>
      </c>
      <c r="H235" s="35">
        <f>DATE(2020,4,9)</f>
        <v>43930</v>
      </c>
      <c r="I235" s="29" t="s">
        <v>676</v>
      </c>
      <c r="J235" s="29" t="str">
        <f>IFERROR(__xludf.DUMMYFUNCTION("""COMPUTED_VALUE"""),"https://i.postimg.cc/Hk6HDrtk/Red-Runner.png")</f>
        <v>https://i.postimg.cc/Hk6HDrtk/Red-Runner.png</v>
      </c>
      <c r="K235" s="30" t="s">
        <v>24</v>
      </c>
      <c r="L235" s="30" t="str">
        <f>IFERROR(__xludf.DUMMYFUNCTION("""COMPUTED_VALUE"""),"3 Stars")</f>
        <v>3 Stars</v>
      </c>
      <c r="M235" s="31">
        <f>IFERROR(__xludf.DUMMYFUNCTION("""COMPUTED_VALUE"""),43930.0)</f>
        <v>43930</v>
      </c>
      <c r="N235" s="32"/>
    </row>
    <row r="236" ht="112.5" customHeight="1">
      <c r="A236" s="21">
        <f t="shared" si="1"/>
        <v>114</v>
      </c>
      <c r="B236" s="34" t="s">
        <v>86</v>
      </c>
      <c r="C236" s="23"/>
      <c r="D236" s="24"/>
      <c r="E236" s="25" t="s">
        <v>677</v>
      </c>
      <c r="F236" s="26" t="s">
        <v>7</v>
      </c>
      <c r="G236" s="27" t="s">
        <v>196</v>
      </c>
      <c r="H236" s="37"/>
      <c r="I236" s="29" t="s">
        <v>678</v>
      </c>
      <c r="J236" s="29" t="str">
        <f>IFERROR(__xludf.DUMMYFUNCTION("""COMPUTED_VALUE"""),"https://i.postimg.cc/qRhpGpyM/Green-Defender.png")</f>
        <v>https://i.postimg.cc/qRhpGpyM/Green-Defender.png</v>
      </c>
      <c r="K236" s="30" t="s">
        <v>86</v>
      </c>
      <c r="L236" s="30" t="str">
        <f>IFERROR(__xludf.DUMMYFUNCTION("""COMPUTED_VALUE"""),"4 Stars")</f>
        <v>4 Stars</v>
      </c>
      <c r="M236" s="31">
        <f>IFERROR(__xludf.DUMMYFUNCTION("""COMPUTED_VALUE"""),43930.0)</f>
        <v>43930</v>
      </c>
      <c r="N236" s="32"/>
    </row>
    <row r="237" ht="112.5" customHeight="1">
      <c r="A237" s="21">
        <f t="shared" si="1"/>
        <v>113</v>
      </c>
      <c r="B237" s="34" t="s">
        <v>212</v>
      </c>
      <c r="C237" s="23"/>
      <c r="D237" s="24"/>
      <c r="E237" s="25" t="s">
        <v>679</v>
      </c>
      <c r="F237" s="26" t="s">
        <v>162</v>
      </c>
      <c r="G237" s="27" t="s">
        <v>680</v>
      </c>
      <c r="H237" s="36">
        <f>DATE(2020,3,26)</f>
        <v>43916</v>
      </c>
      <c r="I237" s="29" t="s">
        <v>681</v>
      </c>
      <c r="J237" s="29" t="str">
        <f>IFERROR(__xludf.DUMMYFUNCTION("""COMPUTED_VALUE"""),"https://i.postimg.cc/1zRtDxvf/Blue-Attacker.png")</f>
        <v>https://i.postimg.cc/1zRtDxvf/Blue-Attacker.png</v>
      </c>
      <c r="K237" s="30" t="s">
        <v>212</v>
      </c>
      <c r="L237" s="30" t="str">
        <f>IFERROR(__xludf.DUMMYFUNCTION("""COMPUTED_VALUE"""),"4 Stars")</f>
        <v>4 Stars</v>
      </c>
      <c r="M237" s="31">
        <f>IFERROR(__xludf.DUMMYFUNCTION("""COMPUTED_VALUE"""),43916.0)</f>
        <v>43916</v>
      </c>
      <c r="N237" s="32"/>
    </row>
    <row r="238" ht="112.5" customHeight="1">
      <c r="A238" s="21">
        <f t="shared" si="1"/>
        <v>112</v>
      </c>
      <c r="B238" s="34" t="s">
        <v>10</v>
      </c>
      <c r="C238" s="23"/>
      <c r="D238" s="24"/>
      <c r="E238" s="25" t="s">
        <v>682</v>
      </c>
      <c r="F238" s="26" t="s">
        <v>524</v>
      </c>
      <c r="G238" s="27" t="s">
        <v>683</v>
      </c>
      <c r="H238" s="35">
        <f>DATE(2020,3,11)</f>
        <v>43901</v>
      </c>
      <c r="I238" s="29" t="s">
        <v>684</v>
      </c>
      <c r="J238" s="29" t="str">
        <f>IFERROR(__xludf.DUMMYFUNCTION("""COMPUTED_VALUE"""),"https://i.postimg.cc/PxgT30Qb/Green-Runner.png")</f>
        <v>https://i.postimg.cc/PxgT30Qb/Green-Runner.png</v>
      </c>
      <c r="K238" s="30" t="s">
        <v>10</v>
      </c>
      <c r="L238" s="30" t="str">
        <f>IFERROR(__xludf.DUMMYFUNCTION("""COMPUTED_VALUE"""),"4 Stars")</f>
        <v>4 Stars</v>
      </c>
      <c r="M238" s="31">
        <f>IFERROR(__xludf.DUMMYFUNCTION("""COMPUTED_VALUE"""),43901.0)</f>
        <v>43901</v>
      </c>
      <c r="N238" s="32"/>
    </row>
    <row r="239" ht="112.5" customHeight="1">
      <c r="A239" s="21">
        <f t="shared" si="1"/>
        <v>111</v>
      </c>
      <c r="B239" s="34" t="s">
        <v>24</v>
      </c>
      <c r="C239" s="23"/>
      <c r="D239" s="24"/>
      <c r="E239" s="25" t="s">
        <v>685</v>
      </c>
      <c r="F239" s="26" t="s">
        <v>7</v>
      </c>
      <c r="G239" s="27" t="s">
        <v>686</v>
      </c>
      <c r="H239" s="37"/>
      <c r="I239" s="29" t="s">
        <v>687</v>
      </c>
      <c r="J239" s="29" t="str">
        <f>IFERROR(__xludf.DUMMYFUNCTION("""COMPUTED_VALUE"""),"https://i.postimg.cc/Hk6HDrtk/Red-Runner.png")</f>
        <v>https://i.postimg.cc/Hk6HDrtk/Red-Runner.png</v>
      </c>
      <c r="K239" s="30" t="s">
        <v>24</v>
      </c>
      <c r="L239" s="30" t="str">
        <f>IFERROR(__xludf.DUMMYFUNCTION("""COMPUTED_VALUE"""),"4 Stars")</f>
        <v>4 Stars</v>
      </c>
      <c r="M239" s="31">
        <f>IFERROR(__xludf.DUMMYFUNCTION("""COMPUTED_VALUE"""),43901.0)</f>
        <v>43901</v>
      </c>
      <c r="N239" s="32"/>
    </row>
    <row r="240" ht="112.5" customHeight="1">
      <c r="A240" s="21">
        <f t="shared" si="1"/>
        <v>110</v>
      </c>
      <c r="B240" s="34" t="s">
        <v>104</v>
      </c>
      <c r="C240" s="23"/>
      <c r="D240" s="24"/>
      <c r="E240" s="25" t="s">
        <v>688</v>
      </c>
      <c r="F240" s="26" t="s">
        <v>7</v>
      </c>
      <c r="G240" s="27" t="s">
        <v>185</v>
      </c>
      <c r="H240" s="36">
        <f>DATE(2020,3,5)</f>
        <v>43895</v>
      </c>
      <c r="I240" s="29" t="s">
        <v>689</v>
      </c>
      <c r="J240" s="29" t="str">
        <f>IFERROR(__xludf.DUMMYFUNCTION("""COMPUTED_VALUE"""),"https://i.postimg.cc/0NH8mz6B/Green-Attacker.png")</f>
        <v>https://i.postimg.cc/0NH8mz6B/Green-Attacker.png</v>
      </c>
      <c r="K240" s="30" t="s">
        <v>104</v>
      </c>
      <c r="L240" s="30" t="str">
        <f>IFERROR(__xludf.DUMMYFUNCTION("""COMPUTED_VALUE"""),"4 Stars")</f>
        <v>4 Stars</v>
      </c>
      <c r="M240" s="31">
        <f>IFERROR(__xludf.DUMMYFUNCTION("""COMPUTED_VALUE"""),43895.0)</f>
        <v>43895</v>
      </c>
      <c r="N240" s="32"/>
    </row>
    <row r="241" ht="112.5" customHeight="1">
      <c r="A241" s="21">
        <f t="shared" si="1"/>
        <v>109</v>
      </c>
      <c r="B241" s="34" t="s">
        <v>35</v>
      </c>
      <c r="C241" s="23"/>
      <c r="D241" s="24"/>
      <c r="E241" s="25" t="s">
        <v>690</v>
      </c>
      <c r="F241" s="26" t="s">
        <v>21</v>
      </c>
      <c r="G241" s="27" t="s">
        <v>691</v>
      </c>
      <c r="H241" s="35">
        <f>DATE(2020,2,27)</f>
        <v>43888</v>
      </c>
      <c r="I241" s="29" t="s">
        <v>692</v>
      </c>
      <c r="J241" s="29" t="str">
        <f>IFERROR(__xludf.DUMMYFUNCTION("""COMPUTED_VALUE"""),"https://i.postimg.cc/L6B2DCYf/Red-Attacker.png")</f>
        <v>https://i.postimg.cc/L6B2DCYf/Red-Attacker.png</v>
      </c>
      <c r="K241" s="30" t="s">
        <v>35</v>
      </c>
      <c r="L241" s="30" t="str">
        <f>IFERROR(__xludf.DUMMYFUNCTION("""COMPUTED_VALUE"""),"4 Stars")</f>
        <v>4 Stars</v>
      </c>
      <c r="M241" s="31">
        <f>IFERROR(__xludf.DUMMYFUNCTION("""COMPUTED_VALUE"""),43888.0)</f>
        <v>43888</v>
      </c>
      <c r="N241" s="32"/>
    </row>
    <row r="242" ht="112.5" customHeight="1">
      <c r="A242" s="21">
        <f t="shared" si="1"/>
        <v>108</v>
      </c>
      <c r="B242" s="34" t="s">
        <v>140</v>
      </c>
      <c r="C242" s="23"/>
      <c r="D242" s="24"/>
      <c r="E242" s="40" t="s">
        <v>693</v>
      </c>
      <c r="F242" s="26" t="s">
        <v>21</v>
      </c>
      <c r="G242" s="27" t="s">
        <v>694</v>
      </c>
      <c r="H242" s="37"/>
      <c r="I242" s="29" t="s">
        <v>695</v>
      </c>
      <c r="J242" s="29" t="str">
        <f>IFERROR(__xludf.DUMMYFUNCTION("""COMPUTED_VALUE"""),"https://i.postimg.cc/m2xg81dx/Blue-Defender.png")</f>
        <v>https://i.postimg.cc/m2xg81dx/Blue-Defender.png</v>
      </c>
      <c r="K242" s="30" t="s">
        <v>140</v>
      </c>
      <c r="L242" s="30" t="str">
        <f>IFERROR(__xludf.DUMMYFUNCTION("""COMPUTED_VALUE"""),"4 Stars")</f>
        <v>4 Stars</v>
      </c>
      <c r="M242" s="31">
        <f>IFERROR(__xludf.DUMMYFUNCTION("""COMPUTED_VALUE"""),43888.0)</f>
        <v>43888</v>
      </c>
      <c r="N242" s="32"/>
    </row>
    <row r="243" ht="112.5" customHeight="1">
      <c r="A243" s="21">
        <f t="shared" si="1"/>
        <v>107</v>
      </c>
      <c r="B243" s="34" t="s">
        <v>104</v>
      </c>
      <c r="C243" s="23"/>
      <c r="D243" s="24"/>
      <c r="E243" s="25" t="s">
        <v>696</v>
      </c>
      <c r="F243" s="26" t="s">
        <v>7</v>
      </c>
      <c r="G243" s="27" t="s">
        <v>697</v>
      </c>
      <c r="H243" s="36">
        <f>DATE(2020,2,18)</f>
        <v>43879</v>
      </c>
      <c r="I243" s="29" t="s">
        <v>698</v>
      </c>
      <c r="J243" s="29" t="str">
        <f>IFERROR(__xludf.DUMMYFUNCTION("""COMPUTED_VALUE"""),"https://i.postimg.cc/0NH8mz6B/Green-Attacker.png")</f>
        <v>https://i.postimg.cc/0NH8mz6B/Green-Attacker.png</v>
      </c>
      <c r="K243" s="30" t="s">
        <v>104</v>
      </c>
      <c r="L243" s="30" t="str">
        <f>IFERROR(__xludf.DUMMYFUNCTION("""COMPUTED_VALUE"""),"4 Stars")</f>
        <v>4 Stars</v>
      </c>
      <c r="M243" s="31">
        <f>IFERROR(__xludf.DUMMYFUNCTION("""COMPUTED_VALUE"""),43879.0)</f>
        <v>43879</v>
      </c>
      <c r="N243" s="32"/>
    </row>
    <row r="244" ht="112.5" customHeight="1">
      <c r="A244" s="21">
        <f t="shared" si="1"/>
        <v>106</v>
      </c>
      <c r="B244" s="34" t="s">
        <v>75</v>
      </c>
      <c r="C244" s="23"/>
      <c r="D244" s="24"/>
      <c r="E244" s="25" t="s">
        <v>699</v>
      </c>
      <c r="F244" s="26" t="s">
        <v>7</v>
      </c>
      <c r="G244" s="27" t="s">
        <v>700</v>
      </c>
      <c r="H244" s="36">
        <f>DATE(2020,2,10)</f>
        <v>43871</v>
      </c>
      <c r="I244" s="29" t="s">
        <v>701</v>
      </c>
      <c r="J244" s="29" t="str">
        <f>IFERROR(__xludf.DUMMYFUNCTION("""COMPUTED_VALUE"""),"https://i.postimg.cc/P5XhRWY7/Red-Defender.png")</f>
        <v>https://i.postimg.cc/P5XhRWY7/Red-Defender.png</v>
      </c>
      <c r="K244" s="30" t="s">
        <v>75</v>
      </c>
      <c r="L244" s="30" t="str">
        <f>IFERROR(__xludf.DUMMYFUNCTION("""COMPUTED_VALUE"""),"4 Stars")</f>
        <v>4 Stars</v>
      </c>
      <c r="M244" s="31">
        <f>IFERROR(__xludf.DUMMYFUNCTION("""COMPUTED_VALUE"""),43871.0)</f>
        <v>43871</v>
      </c>
      <c r="N244" s="32"/>
    </row>
    <row r="245" ht="112.5" customHeight="1">
      <c r="A245" s="21">
        <f t="shared" si="1"/>
        <v>105</v>
      </c>
      <c r="B245" s="34" t="s">
        <v>10</v>
      </c>
      <c r="C245" s="23"/>
      <c r="D245" s="24"/>
      <c r="E245" s="40" t="s">
        <v>702</v>
      </c>
      <c r="F245" s="26" t="s">
        <v>353</v>
      </c>
      <c r="G245" s="27" t="s">
        <v>703</v>
      </c>
      <c r="H245" s="35">
        <f>DATE(2020,1,28)</f>
        <v>43858</v>
      </c>
      <c r="I245" s="29" t="s">
        <v>704</v>
      </c>
      <c r="J245" s="29" t="str">
        <f>IFERROR(__xludf.DUMMYFUNCTION("""COMPUTED_VALUE"""),"https://i.postimg.cc/PxgT30Qb/Green-Runner.png")</f>
        <v>https://i.postimg.cc/PxgT30Qb/Green-Runner.png</v>
      </c>
      <c r="K245" s="30" t="s">
        <v>10</v>
      </c>
      <c r="L245" s="30" t="str">
        <f>IFERROR(__xludf.DUMMYFUNCTION("""COMPUTED_VALUE"""),"4 Stars")</f>
        <v>4 Stars</v>
      </c>
      <c r="M245" s="31">
        <f>IFERROR(__xludf.DUMMYFUNCTION("""COMPUTED_VALUE"""),43858.0)</f>
        <v>43858</v>
      </c>
      <c r="N245" s="32"/>
    </row>
    <row r="246" ht="112.5" customHeight="1">
      <c r="A246" s="21">
        <f t="shared" si="1"/>
        <v>104</v>
      </c>
      <c r="B246" s="34" t="s">
        <v>212</v>
      </c>
      <c r="C246" s="23"/>
      <c r="D246" s="24"/>
      <c r="E246" s="25" t="s">
        <v>705</v>
      </c>
      <c r="F246" s="26" t="s">
        <v>16</v>
      </c>
      <c r="G246" s="27" t="s">
        <v>706</v>
      </c>
      <c r="H246" s="37"/>
      <c r="I246" s="29" t="s">
        <v>707</v>
      </c>
      <c r="J246" s="29" t="str">
        <f>IFERROR(__xludf.DUMMYFUNCTION("""COMPUTED_VALUE"""),"https://i.postimg.cc/1zRtDxvf/Blue-Attacker.png")</f>
        <v>https://i.postimg.cc/1zRtDxvf/Blue-Attacker.png</v>
      </c>
      <c r="K246" s="30" t="s">
        <v>212</v>
      </c>
      <c r="L246" s="30" t="str">
        <f>IFERROR(__xludf.DUMMYFUNCTION("""COMPUTED_VALUE"""),"4 Stars")</f>
        <v>4 Stars</v>
      </c>
      <c r="M246" s="31">
        <f>IFERROR(__xludf.DUMMYFUNCTION("""COMPUTED_VALUE"""),43858.0)</f>
        <v>43858</v>
      </c>
      <c r="N246" s="32"/>
    </row>
    <row r="247" ht="112.5" customHeight="1">
      <c r="A247" s="21">
        <f t="shared" si="1"/>
        <v>103</v>
      </c>
      <c r="B247" s="34" t="s">
        <v>75</v>
      </c>
      <c r="C247" s="23"/>
      <c r="D247" s="24"/>
      <c r="E247" s="25" t="s">
        <v>708</v>
      </c>
      <c r="F247" s="26" t="s">
        <v>16</v>
      </c>
      <c r="G247" s="27" t="s">
        <v>709</v>
      </c>
      <c r="H247" s="36">
        <f>DATE(2020,1,21)</f>
        <v>43851</v>
      </c>
      <c r="I247" s="29" t="s">
        <v>710</v>
      </c>
      <c r="J247" s="29" t="str">
        <f>IFERROR(__xludf.DUMMYFUNCTION("""COMPUTED_VALUE"""),"https://i.postimg.cc/P5XhRWY7/Red-Defender.png")</f>
        <v>https://i.postimg.cc/P5XhRWY7/Red-Defender.png</v>
      </c>
      <c r="K247" s="30" t="s">
        <v>75</v>
      </c>
      <c r="L247" s="30" t="str">
        <f>IFERROR(__xludf.DUMMYFUNCTION("""COMPUTED_VALUE"""),"4 Stars")</f>
        <v>4 Stars</v>
      </c>
      <c r="M247" s="31">
        <f>IFERROR(__xludf.DUMMYFUNCTION("""COMPUTED_VALUE"""),43851.0)</f>
        <v>43851</v>
      </c>
      <c r="N247" s="32"/>
    </row>
    <row r="248" ht="112.5" customHeight="1">
      <c r="A248" s="21">
        <f t="shared" si="1"/>
        <v>102</v>
      </c>
      <c r="B248" s="34" t="s">
        <v>86</v>
      </c>
      <c r="C248" s="23"/>
      <c r="D248" s="24"/>
      <c r="E248" s="25" t="s">
        <v>711</v>
      </c>
      <c r="F248" s="26" t="s">
        <v>206</v>
      </c>
      <c r="G248" s="27" t="s">
        <v>132</v>
      </c>
      <c r="H248" s="35">
        <f>DATE(2020,1,16)</f>
        <v>43846</v>
      </c>
      <c r="I248" s="29" t="s">
        <v>712</v>
      </c>
      <c r="J248" s="29" t="str">
        <f>IFERROR(__xludf.DUMMYFUNCTION("""COMPUTED_VALUE"""),"https://i.postimg.cc/qRhpGpyM/Green-Defender.png")</f>
        <v>https://i.postimg.cc/qRhpGpyM/Green-Defender.png</v>
      </c>
      <c r="K248" s="30" t="s">
        <v>86</v>
      </c>
      <c r="L248" s="30" t="str">
        <f>IFERROR(__xludf.DUMMYFUNCTION("""COMPUTED_VALUE"""),"3 Stars")</f>
        <v>3 Stars</v>
      </c>
      <c r="M248" s="31">
        <f>IFERROR(__xludf.DUMMYFUNCTION("""COMPUTED_VALUE"""),43846.0)</f>
        <v>43846</v>
      </c>
      <c r="N248" s="32"/>
    </row>
    <row r="249" ht="112.5" customHeight="1">
      <c r="A249" s="21">
        <f t="shared" si="1"/>
        <v>101</v>
      </c>
      <c r="B249" s="34" t="s">
        <v>24</v>
      </c>
      <c r="C249" s="23"/>
      <c r="D249" s="24"/>
      <c r="E249" s="25" t="s">
        <v>713</v>
      </c>
      <c r="F249" s="26" t="s">
        <v>7</v>
      </c>
      <c r="G249" s="27" t="s">
        <v>714</v>
      </c>
      <c r="H249" s="37"/>
      <c r="I249" s="29" t="s">
        <v>715</v>
      </c>
      <c r="J249" s="29" t="str">
        <f>IFERROR(__xludf.DUMMYFUNCTION("""COMPUTED_VALUE"""),"https://i.postimg.cc/Hk6HDrtk/Red-Runner.png")</f>
        <v>https://i.postimg.cc/Hk6HDrtk/Red-Runner.png</v>
      </c>
      <c r="K249" s="30" t="s">
        <v>24</v>
      </c>
      <c r="L249" s="30" t="str">
        <f>IFERROR(__xludf.DUMMYFUNCTION("""COMPUTED_VALUE"""),"4 Stars")</f>
        <v>4 Stars</v>
      </c>
      <c r="M249" s="31">
        <f>IFERROR(__xludf.DUMMYFUNCTION("""COMPUTED_VALUE"""),43846.0)</f>
        <v>43846</v>
      </c>
      <c r="N249" s="32"/>
    </row>
    <row r="250" ht="112.5" customHeight="1">
      <c r="A250" s="21">
        <f t="shared" si="1"/>
        <v>100</v>
      </c>
      <c r="B250" s="34" t="s">
        <v>10</v>
      </c>
      <c r="C250" s="23"/>
      <c r="D250" s="24"/>
      <c r="E250" s="25" t="s">
        <v>716</v>
      </c>
      <c r="F250" s="26" t="s">
        <v>7</v>
      </c>
      <c r="G250" s="27" t="s">
        <v>717</v>
      </c>
      <c r="H250" s="36">
        <f>DATE(2019,12,31)</f>
        <v>43830</v>
      </c>
      <c r="I250" s="29" t="s">
        <v>718</v>
      </c>
      <c r="J250" s="29" t="str">
        <f>IFERROR(__xludf.DUMMYFUNCTION("""COMPUTED_VALUE"""),"https://i.postimg.cc/PxgT30Qb/Green-Runner.png")</f>
        <v>https://i.postimg.cc/PxgT30Qb/Green-Runner.png</v>
      </c>
      <c r="K250" s="30" t="s">
        <v>10</v>
      </c>
      <c r="L250" s="30" t="str">
        <f>IFERROR(__xludf.DUMMYFUNCTION("""COMPUTED_VALUE"""),"4 Stars")</f>
        <v>4 Stars</v>
      </c>
      <c r="M250" s="31">
        <f>IFERROR(__xludf.DUMMYFUNCTION("""COMPUTED_VALUE"""),43830.0)</f>
        <v>43830</v>
      </c>
      <c r="N250" s="32"/>
    </row>
    <row r="251" ht="112.5" customHeight="1">
      <c r="A251" s="21">
        <f t="shared" si="1"/>
        <v>99</v>
      </c>
      <c r="B251" s="34" t="s">
        <v>104</v>
      </c>
      <c r="C251" s="23"/>
      <c r="D251" s="24"/>
      <c r="E251" s="25" t="s">
        <v>719</v>
      </c>
      <c r="F251" s="26" t="s">
        <v>21</v>
      </c>
      <c r="G251" s="27" t="s">
        <v>720</v>
      </c>
      <c r="H251" s="36">
        <f>DATE(2019,12,26)</f>
        <v>43825</v>
      </c>
      <c r="I251" s="29" t="s">
        <v>721</v>
      </c>
      <c r="J251" s="29" t="str">
        <f>IFERROR(__xludf.DUMMYFUNCTION("""COMPUTED_VALUE"""),"https://i.postimg.cc/0NH8mz6B/Green-Attacker.png")</f>
        <v>https://i.postimg.cc/0NH8mz6B/Green-Attacker.png</v>
      </c>
      <c r="K251" s="30" t="s">
        <v>104</v>
      </c>
      <c r="L251" s="30" t="str">
        <f>IFERROR(__xludf.DUMMYFUNCTION("""COMPUTED_VALUE"""),"4 Stars")</f>
        <v>4 Stars</v>
      </c>
      <c r="M251" s="31">
        <f>IFERROR(__xludf.DUMMYFUNCTION("""COMPUTED_VALUE"""),43825.0)</f>
        <v>43825</v>
      </c>
      <c r="N251" s="32"/>
    </row>
    <row r="252" ht="112.5" customHeight="1">
      <c r="A252" s="21">
        <f t="shared" si="1"/>
        <v>98</v>
      </c>
      <c r="B252" s="34" t="s">
        <v>114</v>
      </c>
      <c r="C252" s="23"/>
      <c r="D252" s="24"/>
      <c r="E252" s="25" t="s">
        <v>722</v>
      </c>
      <c r="F252" s="26" t="s">
        <v>7</v>
      </c>
      <c r="G252" s="27" t="s">
        <v>476</v>
      </c>
      <c r="H252" s="36">
        <f>DATE(2019,12,17)</f>
        <v>43816</v>
      </c>
      <c r="I252" s="29" t="s">
        <v>723</v>
      </c>
      <c r="J252" s="29" t="str">
        <f>IFERROR(__xludf.DUMMYFUNCTION("""COMPUTED_VALUE"""),"https://i.postimg.cc/4NzNM4MY/Blue-Runner.png")</f>
        <v>https://i.postimg.cc/4NzNM4MY/Blue-Runner.png</v>
      </c>
      <c r="K252" s="30" t="s">
        <v>114</v>
      </c>
      <c r="L252" s="30" t="str">
        <f>IFERROR(__xludf.DUMMYFUNCTION("""COMPUTED_VALUE"""),"4 Stars")</f>
        <v>4 Stars</v>
      </c>
      <c r="M252" s="31">
        <f>IFERROR(__xludf.DUMMYFUNCTION("""COMPUTED_VALUE"""),43816.0)</f>
        <v>43816</v>
      </c>
      <c r="N252" s="32"/>
    </row>
    <row r="253" ht="112.5" customHeight="1">
      <c r="A253" s="21">
        <f t="shared" si="1"/>
        <v>97</v>
      </c>
      <c r="B253" s="34" t="s">
        <v>35</v>
      </c>
      <c r="C253" s="23"/>
      <c r="D253" s="24"/>
      <c r="E253" s="25" t="s">
        <v>724</v>
      </c>
      <c r="F253" s="26" t="s">
        <v>206</v>
      </c>
      <c r="G253" s="27" t="s">
        <v>45</v>
      </c>
      <c r="H253" s="35">
        <f>DATE(2019,12,10)</f>
        <v>43809</v>
      </c>
      <c r="I253" s="29" t="s">
        <v>725</v>
      </c>
      <c r="J253" s="29" t="str">
        <f>IFERROR(__xludf.DUMMYFUNCTION("""COMPUTED_VALUE"""),"https://i.postimg.cc/L6B2DCYf/Red-Attacker.png")</f>
        <v>https://i.postimg.cc/L6B2DCYf/Red-Attacker.png</v>
      </c>
      <c r="K253" s="30" t="s">
        <v>35</v>
      </c>
      <c r="L253" s="30" t="str">
        <f>IFERROR(__xludf.DUMMYFUNCTION("""COMPUTED_VALUE"""),"3 Stars")</f>
        <v>3 Stars</v>
      </c>
      <c r="M253" s="31">
        <f>IFERROR(__xludf.DUMMYFUNCTION("""COMPUTED_VALUE"""),43809.0)</f>
        <v>43809</v>
      </c>
      <c r="N253" s="32"/>
    </row>
    <row r="254" ht="112.5" customHeight="1">
      <c r="A254" s="21">
        <f t="shared" si="1"/>
        <v>96</v>
      </c>
      <c r="B254" s="34" t="s">
        <v>212</v>
      </c>
      <c r="C254" s="23"/>
      <c r="D254" s="24"/>
      <c r="E254" s="25" t="s">
        <v>726</v>
      </c>
      <c r="F254" s="26" t="s">
        <v>7</v>
      </c>
      <c r="G254" s="27" t="s">
        <v>727</v>
      </c>
      <c r="H254" s="37"/>
      <c r="I254" s="29" t="s">
        <v>728</v>
      </c>
      <c r="J254" s="29" t="str">
        <f>IFERROR(__xludf.DUMMYFUNCTION("""COMPUTED_VALUE"""),"https://i.postimg.cc/1zRtDxvf/Blue-Attacker.png")</f>
        <v>https://i.postimg.cc/1zRtDxvf/Blue-Attacker.png</v>
      </c>
      <c r="K254" s="30" t="s">
        <v>212</v>
      </c>
      <c r="L254" s="30" t="str">
        <f>IFERROR(__xludf.DUMMYFUNCTION("""COMPUTED_VALUE"""),"4 Stars")</f>
        <v>4 Stars</v>
      </c>
      <c r="M254" s="31">
        <f>IFERROR(__xludf.DUMMYFUNCTION("""COMPUTED_VALUE"""),43809.0)</f>
        <v>43809</v>
      </c>
      <c r="N254" s="32"/>
    </row>
    <row r="255" ht="112.5" customHeight="1">
      <c r="A255" s="21">
        <f t="shared" si="1"/>
        <v>95</v>
      </c>
      <c r="B255" s="34" t="s">
        <v>140</v>
      </c>
      <c r="C255" s="23"/>
      <c r="D255" s="24"/>
      <c r="E255" s="25" t="s">
        <v>729</v>
      </c>
      <c r="F255" s="26" t="s">
        <v>21</v>
      </c>
      <c r="G255" s="27" t="s">
        <v>730</v>
      </c>
      <c r="H255" s="36">
        <f>DATE(2019,11,28)</f>
        <v>43797</v>
      </c>
      <c r="I255" s="29" t="s">
        <v>731</v>
      </c>
      <c r="J255" s="29" t="str">
        <f>IFERROR(__xludf.DUMMYFUNCTION("""COMPUTED_VALUE"""),"https://i.postimg.cc/m2xg81dx/Blue-Defender.png")</f>
        <v>https://i.postimg.cc/m2xg81dx/Blue-Defender.png</v>
      </c>
      <c r="K255" s="30" t="s">
        <v>140</v>
      </c>
      <c r="L255" s="30" t="str">
        <f>IFERROR(__xludf.DUMMYFUNCTION("""COMPUTED_VALUE"""),"4 Stars")</f>
        <v>4 Stars</v>
      </c>
      <c r="M255" s="31">
        <f>IFERROR(__xludf.DUMMYFUNCTION("""COMPUTED_VALUE"""),43797.0)</f>
        <v>43797</v>
      </c>
      <c r="N255" s="32"/>
    </row>
    <row r="256" ht="112.5" customHeight="1">
      <c r="A256" s="21">
        <f t="shared" si="1"/>
        <v>94</v>
      </c>
      <c r="B256" s="34" t="s">
        <v>114</v>
      </c>
      <c r="C256" s="23"/>
      <c r="D256" s="24"/>
      <c r="E256" s="25" t="s">
        <v>732</v>
      </c>
      <c r="F256" s="26" t="s">
        <v>7</v>
      </c>
      <c r="G256" s="27" t="s">
        <v>733</v>
      </c>
      <c r="H256" s="36">
        <f>DATE(2019,11,19)</f>
        <v>43788</v>
      </c>
      <c r="I256" s="29" t="s">
        <v>734</v>
      </c>
      <c r="J256" s="29" t="str">
        <f>IFERROR(__xludf.DUMMYFUNCTION("""COMPUTED_VALUE"""),"https://i.postimg.cc/4NzNM4MY/Blue-Runner.png")</f>
        <v>https://i.postimg.cc/4NzNM4MY/Blue-Runner.png</v>
      </c>
      <c r="K256" s="30" t="s">
        <v>114</v>
      </c>
      <c r="L256" s="30" t="str">
        <f>IFERROR(__xludf.DUMMYFUNCTION("""COMPUTED_VALUE"""),"4 Stars")</f>
        <v>4 Stars</v>
      </c>
      <c r="M256" s="31">
        <f>IFERROR(__xludf.DUMMYFUNCTION("""COMPUTED_VALUE"""),43788.0)</f>
        <v>43788</v>
      </c>
      <c r="N256" s="32"/>
    </row>
    <row r="257" ht="112.5" customHeight="1">
      <c r="A257" s="21">
        <f t="shared" si="1"/>
        <v>93</v>
      </c>
      <c r="B257" s="34" t="s">
        <v>75</v>
      </c>
      <c r="C257" s="23"/>
      <c r="D257" s="24"/>
      <c r="E257" s="25" t="s">
        <v>735</v>
      </c>
      <c r="F257" s="26" t="s">
        <v>206</v>
      </c>
      <c r="G257" s="27" t="s">
        <v>736</v>
      </c>
      <c r="H257" s="35">
        <f>DATE(2019,11,7)</f>
        <v>43776</v>
      </c>
      <c r="I257" s="29" t="s">
        <v>737</v>
      </c>
      <c r="J257" s="29" t="str">
        <f>IFERROR(__xludf.DUMMYFUNCTION("""COMPUTED_VALUE"""),"https://i.postimg.cc/P5XhRWY7/Red-Defender.png")</f>
        <v>https://i.postimg.cc/P5XhRWY7/Red-Defender.png</v>
      </c>
      <c r="K257" s="30" t="s">
        <v>75</v>
      </c>
      <c r="L257" s="30" t="str">
        <f>IFERROR(__xludf.DUMMYFUNCTION("""COMPUTED_VALUE"""),"3 Stars")</f>
        <v>3 Stars</v>
      </c>
      <c r="M257" s="31">
        <f>IFERROR(__xludf.DUMMYFUNCTION("""COMPUTED_VALUE"""),43776.0)</f>
        <v>43776</v>
      </c>
      <c r="N257" s="32"/>
    </row>
    <row r="258" ht="112.5" customHeight="1">
      <c r="A258" s="21">
        <f t="shared" si="1"/>
        <v>92</v>
      </c>
      <c r="B258" s="34" t="s">
        <v>35</v>
      </c>
      <c r="C258" s="23"/>
      <c r="D258" s="24"/>
      <c r="E258" s="25" t="s">
        <v>738</v>
      </c>
      <c r="F258" s="26" t="s">
        <v>7</v>
      </c>
      <c r="G258" s="27" t="s">
        <v>274</v>
      </c>
      <c r="H258" s="37"/>
      <c r="I258" s="29" t="s">
        <v>739</v>
      </c>
      <c r="J258" s="29" t="str">
        <f>IFERROR(__xludf.DUMMYFUNCTION("""COMPUTED_VALUE"""),"https://i.postimg.cc/L6B2DCYf/Red-Attacker.png")</f>
        <v>https://i.postimg.cc/L6B2DCYf/Red-Attacker.png</v>
      </c>
      <c r="K258" s="30" t="s">
        <v>35</v>
      </c>
      <c r="L258" s="30" t="str">
        <f>IFERROR(__xludf.DUMMYFUNCTION("""COMPUTED_VALUE"""),"4 Stars")</f>
        <v>4 Stars</v>
      </c>
      <c r="M258" s="31">
        <f>IFERROR(__xludf.DUMMYFUNCTION("""COMPUTED_VALUE"""),43776.0)</f>
        <v>43776</v>
      </c>
      <c r="N258" s="32"/>
    </row>
    <row r="259" ht="112.5" customHeight="1">
      <c r="A259" s="21">
        <f t="shared" si="1"/>
        <v>91</v>
      </c>
      <c r="B259" s="34" t="s">
        <v>212</v>
      </c>
      <c r="C259" s="23"/>
      <c r="D259" s="24"/>
      <c r="E259" s="25" t="s">
        <v>740</v>
      </c>
      <c r="F259" s="26" t="s">
        <v>21</v>
      </c>
      <c r="G259" s="27" t="s">
        <v>741</v>
      </c>
      <c r="H259" s="36">
        <f>DATE(2019,10,29)</f>
        <v>43767</v>
      </c>
      <c r="I259" s="29" t="s">
        <v>742</v>
      </c>
      <c r="J259" s="29" t="str">
        <f>IFERROR(__xludf.DUMMYFUNCTION("""COMPUTED_VALUE"""),"https://i.postimg.cc/1zRtDxvf/Blue-Attacker.png")</f>
        <v>https://i.postimg.cc/1zRtDxvf/Blue-Attacker.png</v>
      </c>
      <c r="K259" s="30" t="s">
        <v>212</v>
      </c>
      <c r="L259" s="30" t="str">
        <f>IFERROR(__xludf.DUMMYFUNCTION("""COMPUTED_VALUE"""),"4 Stars")</f>
        <v>4 Stars</v>
      </c>
      <c r="M259" s="31">
        <f>IFERROR(__xludf.DUMMYFUNCTION("""COMPUTED_VALUE"""),43767.0)</f>
        <v>43767</v>
      </c>
      <c r="N259" s="32"/>
    </row>
    <row r="260" ht="112.5" customHeight="1">
      <c r="A260" s="21">
        <f t="shared" si="1"/>
        <v>90</v>
      </c>
      <c r="B260" s="34" t="s">
        <v>212</v>
      </c>
      <c r="C260" s="23"/>
      <c r="D260" s="24"/>
      <c r="E260" s="25" t="s">
        <v>743</v>
      </c>
      <c r="F260" s="26" t="s">
        <v>524</v>
      </c>
      <c r="G260" s="27" t="s">
        <v>744</v>
      </c>
      <c r="H260" s="35">
        <f>DATE(2019,10,10)</f>
        <v>43748</v>
      </c>
      <c r="I260" s="29" t="s">
        <v>745</v>
      </c>
      <c r="J260" s="29" t="str">
        <f>IFERROR(__xludf.DUMMYFUNCTION("""COMPUTED_VALUE"""),"https://i.postimg.cc/1zRtDxvf/Blue-Attacker.png")</f>
        <v>https://i.postimg.cc/1zRtDxvf/Blue-Attacker.png</v>
      </c>
      <c r="K260" s="30" t="s">
        <v>212</v>
      </c>
      <c r="L260" s="30" t="str">
        <f>IFERROR(__xludf.DUMMYFUNCTION("""COMPUTED_VALUE"""),"4 Stars")</f>
        <v>4 Stars</v>
      </c>
      <c r="M260" s="31">
        <f>IFERROR(__xludf.DUMMYFUNCTION("""COMPUTED_VALUE"""),43748.0)</f>
        <v>43748</v>
      </c>
      <c r="N260" s="32"/>
    </row>
    <row r="261" ht="112.5" customHeight="1">
      <c r="A261" s="21">
        <f t="shared" si="1"/>
        <v>89</v>
      </c>
      <c r="B261" s="34" t="s">
        <v>10</v>
      </c>
      <c r="C261" s="23"/>
      <c r="D261" s="24"/>
      <c r="E261" s="25" t="s">
        <v>746</v>
      </c>
      <c r="F261" s="26" t="s">
        <v>7</v>
      </c>
      <c r="G261" s="27" t="s">
        <v>747</v>
      </c>
      <c r="H261" s="37"/>
      <c r="I261" s="29" t="s">
        <v>748</v>
      </c>
      <c r="J261" s="29" t="str">
        <f>IFERROR(__xludf.DUMMYFUNCTION("""COMPUTED_VALUE"""),"https://i.postimg.cc/PxgT30Qb/Green-Runner.png")</f>
        <v>https://i.postimg.cc/PxgT30Qb/Green-Runner.png</v>
      </c>
      <c r="K261" s="30" t="s">
        <v>10</v>
      </c>
      <c r="L261" s="30" t="str">
        <f>IFERROR(__xludf.DUMMYFUNCTION("""COMPUTED_VALUE"""),"4 Stars")</f>
        <v>4 Stars</v>
      </c>
      <c r="M261" s="31">
        <f>IFERROR(__xludf.DUMMYFUNCTION("""COMPUTED_VALUE"""),43748.0)</f>
        <v>43748</v>
      </c>
      <c r="N261" s="32"/>
    </row>
    <row r="262" ht="112.5" customHeight="1">
      <c r="A262" s="21">
        <f t="shared" si="1"/>
        <v>88</v>
      </c>
      <c r="B262" s="34" t="s">
        <v>104</v>
      </c>
      <c r="C262" s="23"/>
      <c r="D262" s="24"/>
      <c r="E262" s="25" t="s">
        <v>749</v>
      </c>
      <c r="F262" s="26" t="s">
        <v>206</v>
      </c>
      <c r="G262" s="27" t="s">
        <v>214</v>
      </c>
      <c r="H262" s="35">
        <f>DATE(2019,10,3)</f>
        <v>43741</v>
      </c>
      <c r="I262" s="29" t="s">
        <v>750</v>
      </c>
      <c r="J262" s="29" t="str">
        <f>IFERROR(__xludf.DUMMYFUNCTION("""COMPUTED_VALUE"""),"https://i.postimg.cc/0NH8mz6B/Green-Attacker.png")</f>
        <v>https://i.postimg.cc/0NH8mz6B/Green-Attacker.png</v>
      </c>
      <c r="K262" s="30" t="s">
        <v>104</v>
      </c>
      <c r="L262" s="30" t="str">
        <f>IFERROR(__xludf.DUMMYFUNCTION("""COMPUTED_VALUE"""),"3 Stars")</f>
        <v>3 Stars</v>
      </c>
      <c r="M262" s="31">
        <f>IFERROR(__xludf.DUMMYFUNCTION("""COMPUTED_VALUE"""),43741.0)</f>
        <v>43741</v>
      </c>
      <c r="N262" s="32"/>
    </row>
    <row r="263" ht="112.5" customHeight="1">
      <c r="A263" s="21">
        <f t="shared" si="1"/>
        <v>87</v>
      </c>
      <c r="B263" s="34" t="s">
        <v>140</v>
      </c>
      <c r="C263" s="23"/>
      <c r="D263" s="24"/>
      <c r="E263" s="25" t="s">
        <v>751</v>
      </c>
      <c r="F263" s="26" t="s">
        <v>7</v>
      </c>
      <c r="G263" s="27" t="s">
        <v>752</v>
      </c>
      <c r="H263" s="37"/>
      <c r="I263" s="29" t="s">
        <v>753</v>
      </c>
      <c r="J263" s="29" t="str">
        <f>IFERROR(__xludf.DUMMYFUNCTION("""COMPUTED_VALUE"""),"https://i.postimg.cc/m2xg81dx/Blue-Defender.png")</f>
        <v>https://i.postimg.cc/m2xg81dx/Blue-Defender.png</v>
      </c>
      <c r="K263" s="30" t="s">
        <v>140</v>
      </c>
      <c r="L263" s="30" t="str">
        <f>IFERROR(__xludf.DUMMYFUNCTION("""COMPUTED_VALUE"""),"4 Stars")</f>
        <v>4 Stars</v>
      </c>
      <c r="M263" s="31">
        <f>IFERROR(__xludf.DUMMYFUNCTION("""COMPUTED_VALUE"""),43741.0)</f>
        <v>43741</v>
      </c>
      <c r="N263" s="32"/>
    </row>
    <row r="264" ht="112.5" customHeight="1">
      <c r="A264" s="21">
        <f t="shared" si="1"/>
        <v>86</v>
      </c>
      <c r="B264" s="34" t="s">
        <v>35</v>
      </c>
      <c r="C264" s="23"/>
      <c r="D264" s="24"/>
      <c r="E264" s="25" t="s">
        <v>754</v>
      </c>
      <c r="F264" s="26" t="s">
        <v>21</v>
      </c>
      <c r="G264" s="27" t="s">
        <v>334</v>
      </c>
      <c r="H264" s="35">
        <f>DATE(2019,9,26)</f>
        <v>43734</v>
      </c>
      <c r="I264" s="29" t="s">
        <v>755</v>
      </c>
      <c r="J264" s="29" t="str">
        <f>IFERROR(__xludf.DUMMYFUNCTION("""COMPUTED_VALUE"""),"https://i.postimg.cc/L6B2DCYf/Red-Attacker.png")</f>
        <v>https://i.postimg.cc/L6B2DCYf/Red-Attacker.png</v>
      </c>
      <c r="K264" s="30" t="s">
        <v>35</v>
      </c>
      <c r="L264" s="30" t="str">
        <f>IFERROR(__xludf.DUMMYFUNCTION("""COMPUTED_VALUE"""),"4 Stars")</f>
        <v>4 Stars</v>
      </c>
      <c r="M264" s="31">
        <f>IFERROR(__xludf.DUMMYFUNCTION("""COMPUTED_VALUE"""),43734.0)</f>
        <v>43734</v>
      </c>
      <c r="N264" s="32"/>
    </row>
    <row r="265" ht="112.5" customHeight="1">
      <c r="A265" s="21">
        <f t="shared" si="1"/>
        <v>85</v>
      </c>
      <c r="B265" s="34" t="s">
        <v>86</v>
      </c>
      <c r="C265" s="23"/>
      <c r="D265" s="24"/>
      <c r="E265" s="25" t="s">
        <v>756</v>
      </c>
      <c r="F265" s="26" t="s">
        <v>21</v>
      </c>
      <c r="G265" s="27" t="s">
        <v>334</v>
      </c>
      <c r="H265" s="37"/>
      <c r="I265" s="29" t="s">
        <v>757</v>
      </c>
      <c r="J265" s="29" t="str">
        <f>IFERROR(__xludf.DUMMYFUNCTION("""COMPUTED_VALUE"""),"https://i.postimg.cc/qRhpGpyM/Green-Defender.png")</f>
        <v>https://i.postimg.cc/qRhpGpyM/Green-Defender.png</v>
      </c>
      <c r="K265" s="30" t="s">
        <v>86</v>
      </c>
      <c r="L265" s="30" t="str">
        <f>IFERROR(__xludf.DUMMYFUNCTION("""COMPUTED_VALUE"""),"4 Stars")</f>
        <v>4 Stars</v>
      </c>
      <c r="M265" s="31">
        <f>IFERROR(__xludf.DUMMYFUNCTION("""COMPUTED_VALUE"""),43734.0)</f>
        <v>43734</v>
      </c>
      <c r="N265" s="32"/>
    </row>
    <row r="266" ht="112.5" customHeight="1">
      <c r="A266" s="21">
        <f t="shared" si="1"/>
        <v>84</v>
      </c>
      <c r="B266" s="34" t="s">
        <v>212</v>
      </c>
      <c r="C266" s="23"/>
      <c r="D266" s="24"/>
      <c r="E266" s="25" t="s">
        <v>758</v>
      </c>
      <c r="F266" s="26" t="s">
        <v>7</v>
      </c>
      <c r="G266" s="27" t="s">
        <v>169</v>
      </c>
      <c r="H266" s="36">
        <f>DATE(2019,9,19)</f>
        <v>43727</v>
      </c>
      <c r="I266" s="29" t="s">
        <v>759</v>
      </c>
      <c r="J266" s="29" t="str">
        <f>IFERROR(__xludf.DUMMYFUNCTION("""COMPUTED_VALUE"""),"https://i.postimg.cc/1zRtDxvf/Blue-Attacker.png")</f>
        <v>https://i.postimg.cc/1zRtDxvf/Blue-Attacker.png</v>
      </c>
      <c r="K266" s="30" t="s">
        <v>212</v>
      </c>
      <c r="L266" s="30" t="str">
        <f>IFERROR(__xludf.DUMMYFUNCTION("""COMPUTED_VALUE"""),"4 Stars")</f>
        <v>4 Stars</v>
      </c>
      <c r="M266" s="31">
        <f>IFERROR(__xludf.DUMMYFUNCTION("""COMPUTED_VALUE"""),43727.0)</f>
        <v>43727</v>
      </c>
      <c r="N266" s="32"/>
    </row>
    <row r="267" ht="112.5" customHeight="1">
      <c r="A267" s="21">
        <f t="shared" si="1"/>
        <v>83</v>
      </c>
      <c r="B267" s="34" t="s">
        <v>140</v>
      </c>
      <c r="C267" s="23"/>
      <c r="D267" s="24"/>
      <c r="E267" s="25" t="s">
        <v>760</v>
      </c>
      <c r="F267" s="26" t="s">
        <v>206</v>
      </c>
      <c r="G267" s="27" t="s">
        <v>761</v>
      </c>
      <c r="H267" s="35">
        <f>DATE(2019,9,10)</f>
        <v>43718</v>
      </c>
      <c r="I267" s="29" t="s">
        <v>762</v>
      </c>
      <c r="J267" s="29" t="str">
        <f>IFERROR(__xludf.DUMMYFUNCTION("""COMPUTED_VALUE"""),"https://i.postimg.cc/m2xg81dx/Blue-Defender.png")</f>
        <v>https://i.postimg.cc/m2xg81dx/Blue-Defender.png</v>
      </c>
      <c r="K267" s="30" t="s">
        <v>140</v>
      </c>
      <c r="L267" s="30" t="str">
        <f>IFERROR(__xludf.DUMMYFUNCTION("""COMPUTED_VALUE"""),"3 Stars")</f>
        <v>3 Stars</v>
      </c>
      <c r="M267" s="31">
        <f>IFERROR(__xludf.DUMMYFUNCTION("""COMPUTED_VALUE"""),43718.0)</f>
        <v>43718</v>
      </c>
      <c r="N267" s="32"/>
    </row>
    <row r="268" ht="112.5" customHeight="1">
      <c r="A268" s="21">
        <f t="shared" si="1"/>
        <v>82</v>
      </c>
      <c r="B268" s="34" t="s">
        <v>75</v>
      </c>
      <c r="C268" s="23"/>
      <c r="D268" s="24"/>
      <c r="E268" s="25" t="s">
        <v>763</v>
      </c>
      <c r="F268" s="26" t="s">
        <v>7</v>
      </c>
      <c r="G268" s="27" t="s">
        <v>764</v>
      </c>
      <c r="H268" s="37"/>
      <c r="I268" s="29" t="s">
        <v>765</v>
      </c>
      <c r="J268" s="29" t="str">
        <f>IFERROR(__xludf.DUMMYFUNCTION("""COMPUTED_VALUE"""),"https://i.postimg.cc/P5XhRWY7/Red-Defender.png")</f>
        <v>https://i.postimg.cc/P5XhRWY7/Red-Defender.png</v>
      </c>
      <c r="K268" s="30" t="s">
        <v>75</v>
      </c>
      <c r="L268" s="30" t="str">
        <f>IFERROR(__xludf.DUMMYFUNCTION("""COMPUTED_VALUE"""),"4 Stars")</f>
        <v>4 Stars</v>
      </c>
      <c r="M268" s="31">
        <f>IFERROR(__xludf.DUMMYFUNCTION("""COMPUTED_VALUE"""),43718.0)</f>
        <v>43718</v>
      </c>
      <c r="N268" s="32"/>
    </row>
    <row r="269" ht="112.5" customHeight="1">
      <c r="A269" s="21">
        <f t="shared" si="1"/>
        <v>81</v>
      </c>
      <c r="B269" s="34" t="s">
        <v>24</v>
      </c>
      <c r="C269" s="23"/>
      <c r="D269" s="24"/>
      <c r="E269" s="25" t="s">
        <v>766</v>
      </c>
      <c r="F269" s="26" t="s">
        <v>21</v>
      </c>
      <c r="G269" s="27" t="s">
        <v>767</v>
      </c>
      <c r="H269" s="35">
        <f>DATE(2019,8,29)</f>
        <v>43706</v>
      </c>
      <c r="I269" s="29" t="s">
        <v>768</v>
      </c>
      <c r="J269" s="29" t="str">
        <f>IFERROR(__xludf.DUMMYFUNCTION("""COMPUTED_VALUE"""),"https://i.postimg.cc/Hk6HDrtk/Red-Runner.png")</f>
        <v>https://i.postimg.cc/Hk6HDrtk/Red-Runner.png</v>
      </c>
      <c r="K269" s="30" t="s">
        <v>24</v>
      </c>
      <c r="L269" s="30" t="str">
        <f>IFERROR(__xludf.DUMMYFUNCTION("""COMPUTED_VALUE"""),"4 Stars")</f>
        <v>4 Stars</v>
      </c>
      <c r="M269" s="31">
        <f>IFERROR(__xludf.DUMMYFUNCTION("""COMPUTED_VALUE"""),43706.0)</f>
        <v>43706</v>
      </c>
      <c r="N269" s="32"/>
    </row>
    <row r="270" ht="112.5" customHeight="1">
      <c r="A270" s="21">
        <f t="shared" si="1"/>
        <v>80</v>
      </c>
      <c r="B270" s="34" t="s">
        <v>104</v>
      </c>
      <c r="C270" s="23"/>
      <c r="D270" s="24"/>
      <c r="E270" s="25" t="s">
        <v>769</v>
      </c>
      <c r="F270" s="26" t="s">
        <v>21</v>
      </c>
      <c r="G270" s="27" t="s">
        <v>397</v>
      </c>
      <c r="H270" s="37"/>
      <c r="I270" s="29" t="s">
        <v>770</v>
      </c>
      <c r="J270" s="29" t="str">
        <f>IFERROR(__xludf.DUMMYFUNCTION("""COMPUTED_VALUE"""),"https://i.postimg.cc/0NH8mz6B/Green-Attacker.png")</f>
        <v>https://i.postimg.cc/0NH8mz6B/Green-Attacker.png</v>
      </c>
      <c r="K270" s="30" t="s">
        <v>104</v>
      </c>
      <c r="L270" s="30" t="str">
        <f>IFERROR(__xludf.DUMMYFUNCTION("""COMPUTED_VALUE"""),"4 Stars")</f>
        <v>4 Stars</v>
      </c>
      <c r="M270" s="31">
        <f>IFERROR(__xludf.DUMMYFUNCTION("""COMPUTED_VALUE"""),43706.0)</f>
        <v>43706</v>
      </c>
      <c r="N270" s="32"/>
    </row>
    <row r="271" ht="112.5" customHeight="1">
      <c r="A271" s="21">
        <f t="shared" si="1"/>
        <v>79</v>
      </c>
      <c r="B271" s="34" t="s">
        <v>104</v>
      </c>
      <c r="C271" s="23"/>
      <c r="D271" s="24"/>
      <c r="E271" s="25" t="s">
        <v>771</v>
      </c>
      <c r="F271" s="26" t="s">
        <v>384</v>
      </c>
      <c r="G271" s="27" t="s">
        <v>691</v>
      </c>
      <c r="H271" s="36">
        <f>DATE(2019,8,22)</f>
        <v>43699</v>
      </c>
      <c r="I271" s="29" t="s">
        <v>772</v>
      </c>
      <c r="J271" s="29" t="str">
        <f>IFERROR(__xludf.DUMMYFUNCTION("""COMPUTED_VALUE"""),"https://i.postimg.cc/0NH8mz6B/Green-Attacker.png")</f>
        <v>https://i.postimg.cc/0NH8mz6B/Green-Attacker.png</v>
      </c>
      <c r="K271" s="30" t="s">
        <v>104</v>
      </c>
      <c r="L271" s="30" t="str">
        <f>IFERROR(__xludf.DUMMYFUNCTION("""COMPUTED_VALUE"""),"4 Stars")</f>
        <v>4 Stars</v>
      </c>
      <c r="M271" s="31">
        <f>IFERROR(__xludf.DUMMYFUNCTION("""COMPUTED_VALUE"""),43699.0)</f>
        <v>43699</v>
      </c>
      <c r="N271" s="32"/>
    </row>
    <row r="272" ht="112.5" customHeight="1">
      <c r="A272" s="21">
        <f t="shared" si="1"/>
        <v>78</v>
      </c>
      <c r="B272" s="34" t="s">
        <v>212</v>
      </c>
      <c r="C272" s="23"/>
      <c r="D272" s="24"/>
      <c r="E272" s="40" t="s">
        <v>773</v>
      </c>
      <c r="F272" s="26" t="s">
        <v>396</v>
      </c>
      <c r="G272" s="27" t="s">
        <v>397</v>
      </c>
      <c r="H272" s="35">
        <f>DATE(2019,8,6)</f>
        <v>43683</v>
      </c>
      <c r="I272" s="29" t="s">
        <v>774</v>
      </c>
      <c r="J272" s="29" t="str">
        <f>IFERROR(__xludf.DUMMYFUNCTION("""COMPUTED_VALUE"""),"https://i.postimg.cc/1zRtDxvf/Blue-Attacker.png")</f>
        <v>https://i.postimg.cc/1zRtDxvf/Blue-Attacker.png</v>
      </c>
      <c r="K272" s="30" t="s">
        <v>212</v>
      </c>
      <c r="L272" s="30" t="str">
        <f>IFERROR(__xludf.DUMMYFUNCTION("""COMPUTED_VALUE"""),"3 Stars")</f>
        <v>3 Stars</v>
      </c>
      <c r="M272" s="31">
        <f>IFERROR(__xludf.DUMMYFUNCTION("""COMPUTED_VALUE"""),43683.0)</f>
        <v>43683</v>
      </c>
      <c r="N272" s="32"/>
    </row>
    <row r="273" ht="112.5" customHeight="1">
      <c r="A273" s="21">
        <f t="shared" si="1"/>
        <v>77</v>
      </c>
      <c r="B273" s="34" t="s">
        <v>140</v>
      </c>
      <c r="C273" s="23"/>
      <c r="D273" s="24"/>
      <c r="E273" s="25" t="s">
        <v>775</v>
      </c>
      <c r="F273" s="26" t="s">
        <v>384</v>
      </c>
      <c r="G273" s="27" t="s">
        <v>776</v>
      </c>
      <c r="H273" s="37"/>
      <c r="I273" s="29" t="s">
        <v>777</v>
      </c>
      <c r="J273" s="29" t="str">
        <f>IFERROR(__xludf.DUMMYFUNCTION("""COMPUTED_VALUE"""),"https://i.postimg.cc/m2xg81dx/Blue-Defender.png")</f>
        <v>https://i.postimg.cc/m2xg81dx/Blue-Defender.png</v>
      </c>
      <c r="K273" s="30" t="s">
        <v>140</v>
      </c>
      <c r="L273" s="30" t="str">
        <f>IFERROR(__xludf.DUMMYFUNCTION("""COMPUTED_VALUE"""),"4 Stars")</f>
        <v>4 Stars</v>
      </c>
      <c r="M273" s="31">
        <f>IFERROR(__xludf.DUMMYFUNCTION("""COMPUTED_VALUE"""),43683.0)</f>
        <v>43683</v>
      </c>
      <c r="N273" s="32"/>
    </row>
    <row r="274" ht="112.5" customHeight="1">
      <c r="A274" s="21">
        <f t="shared" si="1"/>
        <v>76</v>
      </c>
      <c r="B274" s="34" t="s">
        <v>35</v>
      </c>
      <c r="C274" s="23"/>
      <c r="D274" s="24"/>
      <c r="E274" s="25" t="s">
        <v>778</v>
      </c>
      <c r="F274" s="26" t="s">
        <v>524</v>
      </c>
      <c r="G274" s="27" t="s">
        <v>437</v>
      </c>
      <c r="H274" s="35">
        <f>DATE(2019,8,11)</f>
        <v>43688</v>
      </c>
      <c r="I274" s="29" t="s">
        <v>779</v>
      </c>
      <c r="J274" s="29" t="str">
        <f>IFERROR(__xludf.DUMMYFUNCTION("""COMPUTED_VALUE"""),"https://i.postimg.cc/L6B2DCYf/Red-Attacker.png")</f>
        <v>https://i.postimg.cc/L6B2DCYf/Red-Attacker.png</v>
      </c>
      <c r="K274" s="30" t="s">
        <v>35</v>
      </c>
      <c r="L274" s="30" t="str">
        <f>IFERROR(__xludf.DUMMYFUNCTION("""COMPUTED_VALUE"""),"4 Stars")</f>
        <v>4 Stars</v>
      </c>
      <c r="M274" s="31">
        <f>IFERROR(__xludf.DUMMYFUNCTION("""COMPUTED_VALUE"""),43688.0)</f>
        <v>43688</v>
      </c>
      <c r="N274" s="32"/>
    </row>
    <row r="275" ht="112.5" customHeight="1">
      <c r="A275" s="21">
        <f t="shared" si="1"/>
        <v>75</v>
      </c>
      <c r="B275" s="34" t="s">
        <v>86</v>
      </c>
      <c r="C275" s="23"/>
      <c r="D275" s="24"/>
      <c r="E275" s="25" t="s">
        <v>780</v>
      </c>
      <c r="F275" s="26" t="s">
        <v>524</v>
      </c>
      <c r="G275" s="27" t="s">
        <v>781</v>
      </c>
      <c r="H275" s="37"/>
      <c r="I275" s="29" t="s">
        <v>782</v>
      </c>
      <c r="J275" s="29" t="str">
        <f>IFERROR(__xludf.DUMMYFUNCTION("""COMPUTED_VALUE"""),"https://i.postimg.cc/qRhpGpyM/Green-Defender.png")</f>
        <v>https://i.postimg.cc/qRhpGpyM/Green-Defender.png</v>
      </c>
      <c r="K275" s="30" t="s">
        <v>86</v>
      </c>
      <c r="L275" s="30" t="str">
        <f>IFERROR(__xludf.DUMMYFUNCTION("""COMPUTED_VALUE"""),"4 Stars")</f>
        <v>4 Stars</v>
      </c>
      <c r="M275" s="31">
        <f>IFERROR(__xludf.DUMMYFUNCTION("""COMPUTED_VALUE"""),43688.0)</f>
        <v>43688</v>
      </c>
      <c r="N275" s="32"/>
    </row>
    <row r="276" ht="112.5" customHeight="1">
      <c r="A276" s="21">
        <f t="shared" si="1"/>
        <v>74</v>
      </c>
      <c r="B276" s="34" t="s">
        <v>104</v>
      </c>
      <c r="C276" s="23"/>
      <c r="D276" s="24"/>
      <c r="E276" s="25" t="s">
        <v>783</v>
      </c>
      <c r="F276" s="26" t="s">
        <v>21</v>
      </c>
      <c r="G276" s="27" t="s">
        <v>784</v>
      </c>
      <c r="H276" s="35">
        <f>DATE(2019,7,30)</f>
        <v>43676</v>
      </c>
      <c r="I276" s="29" t="s">
        <v>785</v>
      </c>
      <c r="J276" s="29" t="str">
        <f>IFERROR(__xludf.DUMMYFUNCTION("""COMPUTED_VALUE"""),"https://i.postimg.cc/0NH8mz6B/Green-Attacker.png")</f>
        <v>https://i.postimg.cc/0NH8mz6B/Green-Attacker.png</v>
      </c>
      <c r="K276" s="30" t="s">
        <v>104</v>
      </c>
      <c r="L276" s="30" t="str">
        <f>IFERROR(__xludf.DUMMYFUNCTION("""COMPUTED_VALUE"""),"4 Stars")</f>
        <v>4 Stars</v>
      </c>
      <c r="M276" s="31">
        <f>IFERROR(__xludf.DUMMYFUNCTION("""COMPUTED_VALUE"""),43676.0)</f>
        <v>43676</v>
      </c>
      <c r="N276" s="32"/>
    </row>
    <row r="277" ht="112.5" customHeight="1">
      <c r="A277" s="21">
        <f t="shared" si="1"/>
        <v>73</v>
      </c>
      <c r="B277" s="34" t="s">
        <v>114</v>
      </c>
      <c r="C277" s="23"/>
      <c r="D277" s="24"/>
      <c r="E277" s="25" t="s">
        <v>786</v>
      </c>
      <c r="F277" s="26" t="s">
        <v>21</v>
      </c>
      <c r="G277" s="27" t="s">
        <v>302</v>
      </c>
      <c r="H277" s="37"/>
      <c r="I277" s="29" t="s">
        <v>787</v>
      </c>
      <c r="J277" s="29" t="str">
        <f>IFERROR(__xludf.DUMMYFUNCTION("""COMPUTED_VALUE"""),"https://i.postimg.cc/4NzNM4MY/Blue-Runner.png")</f>
        <v>https://i.postimg.cc/4NzNM4MY/Blue-Runner.png</v>
      </c>
      <c r="K277" s="30" t="s">
        <v>114</v>
      </c>
      <c r="L277" s="30" t="str">
        <f>IFERROR(__xludf.DUMMYFUNCTION("""COMPUTED_VALUE"""),"4 Stars")</f>
        <v>4 Stars</v>
      </c>
      <c r="M277" s="31">
        <f>IFERROR(__xludf.DUMMYFUNCTION("""COMPUTED_VALUE"""),43676.0)</f>
        <v>43676</v>
      </c>
      <c r="N277" s="32"/>
    </row>
    <row r="278" ht="112.5" customHeight="1">
      <c r="A278" s="21">
        <f t="shared" si="1"/>
        <v>72</v>
      </c>
      <c r="B278" s="34" t="s">
        <v>75</v>
      </c>
      <c r="C278" s="23"/>
      <c r="D278" s="24"/>
      <c r="E278" s="25" t="s">
        <v>788</v>
      </c>
      <c r="F278" s="26" t="s">
        <v>7</v>
      </c>
      <c r="G278" s="27" t="s">
        <v>545</v>
      </c>
      <c r="H278" s="36">
        <f>DATE(2019,7,23)</f>
        <v>43669</v>
      </c>
      <c r="I278" s="29" t="s">
        <v>789</v>
      </c>
      <c r="J278" s="29" t="str">
        <f>IFERROR(__xludf.DUMMYFUNCTION("""COMPUTED_VALUE"""),"https://i.postimg.cc/P5XhRWY7/Red-Defender.png")</f>
        <v>https://i.postimg.cc/P5XhRWY7/Red-Defender.png</v>
      </c>
      <c r="K278" s="30" t="s">
        <v>75</v>
      </c>
      <c r="L278" s="30" t="str">
        <f>IFERROR(__xludf.DUMMYFUNCTION("""COMPUTED_VALUE"""),"4 Stars")</f>
        <v>4 Stars</v>
      </c>
      <c r="M278" s="31">
        <f>IFERROR(__xludf.DUMMYFUNCTION("""COMPUTED_VALUE"""),43669.0)</f>
        <v>43669</v>
      </c>
      <c r="N278" s="32"/>
    </row>
    <row r="279" ht="112.5" customHeight="1">
      <c r="A279" s="21">
        <f t="shared" si="1"/>
        <v>71</v>
      </c>
      <c r="B279" s="34" t="s">
        <v>10</v>
      </c>
      <c r="C279" s="23"/>
      <c r="D279" s="24"/>
      <c r="E279" s="25" t="s">
        <v>790</v>
      </c>
      <c r="F279" s="26" t="s">
        <v>7</v>
      </c>
      <c r="G279" s="27" t="s">
        <v>476</v>
      </c>
      <c r="H279" s="36">
        <f>DATE(2019,7,16)</f>
        <v>43662</v>
      </c>
      <c r="I279" s="29" t="s">
        <v>791</v>
      </c>
      <c r="J279" s="29" t="str">
        <f>IFERROR(__xludf.DUMMYFUNCTION("""COMPUTED_VALUE"""),"https://i.postimg.cc/PxgT30Qb/Green-Runner.png")</f>
        <v>https://i.postimg.cc/PxgT30Qb/Green-Runner.png</v>
      </c>
      <c r="K279" s="30" t="s">
        <v>10</v>
      </c>
      <c r="L279" s="30" t="str">
        <f>IFERROR(__xludf.DUMMYFUNCTION("""COMPUTED_VALUE"""),"4 Stars")</f>
        <v>4 Stars</v>
      </c>
      <c r="M279" s="31">
        <f>IFERROR(__xludf.DUMMYFUNCTION("""COMPUTED_VALUE"""),43662.0)</f>
        <v>43662</v>
      </c>
      <c r="N279" s="32"/>
    </row>
    <row r="280" ht="112.5" customHeight="1">
      <c r="A280" s="21">
        <f t="shared" si="1"/>
        <v>70</v>
      </c>
      <c r="B280" s="34" t="s">
        <v>35</v>
      </c>
      <c r="C280" s="23"/>
      <c r="D280" s="24"/>
      <c r="E280" s="25" t="s">
        <v>792</v>
      </c>
      <c r="F280" s="26" t="s">
        <v>7</v>
      </c>
      <c r="G280" s="27" t="s">
        <v>60</v>
      </c>
      <c r="H280" s="36">
        <f>DATE(2019,7,9)</f>
        <v>43655</v>
      </c>
      <c r="I280" s="29" t="s">
        <v>793</v>
      </c>
      <c r="J280" s="29" t="str">
        <f>IFERROR(__xludf.DUMMYFUNCTION("""COMPUTED_VALUE"""),"https://i.postimg.cc/L6B2DCYf/Red-Attacker.png")</f>
        <v>https://i.postimg.cc/L6B2DCYf/Red-Attacker.png</v>
      </c>
      <c r="K280" s="30" t="s">
        <v>35</v>
      </c>
      <c r="L280" s="30" t="str">
        <f>IFERROR(__xludf.DUMMYFUNCTION("""COMPUTED_VALUE"""),"4 Stars")</f>
        <v>4 Stars</v>
      </c>
      <c r="M280" s="31">
        <f>IFERROR(__xludf.DUMMYFUNCTION("""COMPUTED_VALUE"""),43655.0)</f>
        <v>43655</v>
      </c>
      <c r="N280" s="32"/>
    </row>
    <row r="281" ht="112.5" customHeight="1">
      <c r="A281" s="21">
        <f t="shared" si="1"/>
        <v>69</v>
      </c>
      <c r="B281" s="34" t="s">
        <v>114</v>
      </c>
      <c r="C281" s="23"/>
      <c r="D281" s="24"/>
      <c r="E281" s="25" t="s">
        <v>794</v>
      </c>
      <c r="F281" s="26" t="s">
        <v>7</v>
      </c>
      <c r="G281" s="27" t="s">
        <v>795</v>
      </c>
      <c r="H281" s="36">
        <f>DATE(2019,7,2)</f>
        <v>43648</v>
      </c>
      <c r="I281" s="29" t="s">
        <v>796</v>
      </c>
      <c r="J281" s="29" t="str">
        <f>IFERROR(__xludf.DUMMYFUNCTION("""COMPUTED_VALUE"""),"https://i.postimg.cc/4NzNM4MY/Blue-Runner.png")</f>
        <v>https://i.postimg.cc/4NzNM4MY/Blue-Runner.png</v>
      </c>
      <c r="K281" s="30" t="s">
        <v>114</v>
      </c>
      <c r="L281" s="30" t="str">
        <f>IFERROR(__xludf.DUMMYFUNCTION("""COMPUTED_VALUE"""),"4 Stars")</f>
        <v>4 Stars</v>
      </c>
      <c r="M281" s="31">
        <f>IFERROR(__xludf.DUMMYFUNCTION("""COMPUTED_VALUE"""),43648.0)</f>
        <v>43648</v>
      </c>
      <c r="N281" s="32"/>
    </row>
    <row r="282" ht="112.5" customHeight="1">
      <c r="A282" s="21">
        <f t="shared" si="1"/>
        <v>68</v>
      </c>
      <c r="B282" s="34" t="s">
        <v>10</v>
      </c>
      <c r="C282" s="23"/>
      <c r="D282" s="24"/>
      <c r="E282" s="40" t="s">
        <v>797</v>
      </c>
      <c r="F282" s="26" t="s">
        <v>21</v>
      </c>
      <c r="G282" s="27" t="s">
        <v>798</v>
      </c>
      <c r="H282" s="36">
        <f>DATE(2019,6,27)</f>
        <v>43643</v>
      </c>
      <c r="I282" s="29" t="s">
        <v>799</v>
      </c>
      <c r="J282" s="29" t="str">
        <f>IFERROR(__xludf.DUMMYFUNCTION("""COMPUTED_VALUE"""),"https://i.postimg.cc/PxgT30Qb/Green-Runner.png")</f>
        <v>https://i.postimg.cc/PxgT30Qb/Green-Runner.png</v>
      </c>
      <c r="K282" s="30" t="s">
        <v>10</v>
      </c>
      <c r="L282" s="30" t="str">
        <f>IFERROR(__xludf.DUMMYFUNCTION("""COMPUTED_VALUE"""),"4 Stars")</f>
        <v>4 Stars</v>
      </c>
      <c r="M282" s="31">
        <f>IFERROR(__xludf.DUMMYFUNCTION("""COMPUTED_VALUE"""),43643.0)</f>
        <v>43643</v>
      </c>
      <c r="N282" s="32"/>
    </row>
    <row r="283" ht="112.5" customHeight="1">
      <c r="A283" s="21">
        <f t="shared" si="1"/>
        <v>67</v>
      </c>
      <c r="B283" s="34" t="s">
        <v>10</v>
      </c>
      <c r="C283" s="23"/>
      <c r="D283" s="24"/>
      <c r="E283" s="25" t="s">
        <v>800</v>
      </c>
      <c r="F283" s="26" t="s">
        <v>206</v>
      </c>
      <c r="G283" s="27" t="s">
        <v>801</v>
      </c>
      <c r="H283" s="35">
        <f>DATE(2019,6,19)</f>
        <v>43635</v>
      </c>
      <c r="I283" s="29" t="s">
        <v>802</v>
      </c>
      <c r="J283" s="29" t="str">
        <f>IFERROR(__xludf.DUMMYFUNCTION("""COMPUTED_VALUE"""),"https://i.postimg.cc/PxgT30Qb/Green-Runner.png")</f>
        <v>https://i.postimg.cc/PxgT30Qb/Green-Runner.png</v>
      </c>
      <c r="K283" s="30" t="s">
        <v>10</v>
      </c>
      <c r="L283" s="30" t="str">
        <f>IFERROR(__xludf.DUMMYFUNCTION("""COMPUTED_VALUE"""),"3 Stars")</f>
        <v>3 Stars</v>
      </c>
      <c r="M283" s="31">
        <f>IFERROR(__xludf.DUMMYFUNCTION("""COMPUTED_VALUE"""),43635.0)</f>
        <v>43635</v>
      </c>
      <c r="N283" s="32"/>
    </row>
    <row r="284" ht="112.5" customHeight="1">
      <c r="A284" s="21">
        <f t="shared" si="1"/>
        <v>66</v>
      </c>
      <c r="B284" s="34" t="s">
        <v>114</v>
      </c>
      <c r="C284" s="23"/>
      <c r="D284" s="24"/>
      <c r="E284" s="25" t="s">
        <v>803</v>
      </c>
      <c r="F284" s="26" t="s">
        <v>7</v>
      </c>
      <c r="G284" s="27" t="s">
        <v>302</v>
      </c>
      <c r="H284" s="37"/>
      <c r="I284" s="29" t="s">
        <v>804</v>
      </c>
      <c r="J284" s="29" t="str">
        <f>IFERROR(__xludf.DUMMYFUNCTION("""COMPUTED_VALUE"""),"https://i.postimg.cc/4NzNM4MY/Blue-Runner.png")</f>
        <v>https://i.postimg.cc/4NzNM4MY/Blue-Runner.png</v>
      </c>
      <c r="K284" s="30" t="s">
        <v>114</v>
      </c>
      <c r="L284" s="30" t="str">
        <f>IFERROR(__xludf.DUMMYFUNCTION("""COMPUTED_VALUE"""),"4 Stars")</f>
        <v>4 Stars</v>
      </c>
      <c r="M284" s="31">
        <f>IFERROR(__xludf.DUMMYFUNCTION("""COMPUTED_VALUE"""),43635.0)</f>
        <v>43635</v>
      </c>
      <c r="N284" s="32"/>
    </row>
    <row r="285" ht="112.5" customHeight="1">
      <c r="A285" s="21">
        <f t="shared" si="1"/>
        <v>65</v>
      </c>
      <c r="B285" s="34" t="s">
        <v>104</v>
      </c>
      <c r="C285" s="23"/>
      <c r="D285" s="24"/>
      <c r="E285" s="25" t="s">
        <v>805</v>
      </c>
      <c r="F285" s="26" t="s">
        <v>7</v>
      </c>
      <c r="G285" s="27" t="s">
        <v>806</v>
      </c>
      <c r="H285" s="36">
        <f>DATE(2019,6,6)</f>
        <v>43622</v>
      </c>
      <c r="I285" s="29" t="s">
        <v>807</v>
      </c>
      <c r="J285" s="29" t="str">
        <f>IFERROR(__xludf.DUMMYFUNCTION("""COMPUTED_VALUE"""),"https://i.postimg.cc/0NH8mz6B/Green-Attacker.png")</f>
        <v>https://i.postimg.cc/0NH8mz6B/Green-Attacker.png</v>
      </c>
      <c r="K285" s="30" t="s">
        <v>104</v>
      </c>
      <c r="L285" s="30" t="str">
        <f>IFERROR(__xludf.DUMMYFUNCTION("""COMPUTED_VALUE"""),"4 Stars")</f>
        <v>4 Stars</v>
      </c>
      <c r="M285" s="31">
        <f>IFERROR(__xludf.DUMMYFUNCTION("""COMPUTED_VALUE"""),43622.0)</f>
        <v>43622</v>
      </c>
      <c r="N285" s="32"/>
    </row>
    <row r="286" ht="112.5" customHeight="1">
      <c r="A286" s="21">
        <f t="shared" si="1"/>
        <v>64</v>
      </c>
      <c r="B286" s="34" t="s">
        <v>140</v>
      </c>
      <c r="C286" s="23"/>
      <c r="D286" s="24"/>
      <c r="E286" s="25" t="s">
        <v>808</v>
      </c>
      <c r="F286" s="26" t="s">
        <v>21</v>
      </c>
      <c r="G286" s="27" t="s">
        <v>125</v>
      </c>
      <c r="H286" s="36">
        <f>DATE(2019,5,30)</f>
        <v>43615</v>
      </c>
      <c r="I286" s="29" t="s">
        <v>809</v>
      </c>
      <c r="J286" s="29" t="str">
        <f>IFERROR(__xludf.DUMMYFUNCTION("""COMPUTED_VALUE"""),"https://i.postimg.cc/m2xg81dx/Blue-Defender.png")</f>
        <v>https://i.postimg.cc/m2xg81dx/Blue-Defender.png</v>
      </c>
      <c r="K286" s="30" t="s">
        <v>140</v>
      </c>
      <c r="L286" s="30" t="str">
        <f>IFERROR(__xludf.DUMMYFUNCTION("""COMPUTED_VALUE"""),"4 Stars")</f>
        <v>4 Stars</v>
      </c>
      <c r="M286" s="31">
        <f>IFERROR(__xludf.DUMMYFUNCTION("""COMPUTED_VALUE"""),43615.0)</f>
        <v>43615</v>
      </c>
      <c r="N286" s="32"/>
    </row>
    <row r="287" ht="112.5" customHeight="1">
      <c r="A287" s="21">
        <f t="shared" si="1"/>
        <v>63</v>
      </c>
      <c r="B287" s="34" t="s">
        <v>24</v>
      </c>
      <c r="C287" s="23"/>
      <c r="D287" s="24"/>
      <c r="E287" s="25" t="s">
        <v>810</v>
      </c>
      <c r="F287" s="26" t="s">
        <v>7</v>
      </c>
      <c r="G287" s="27" t="s">
        <v>70</v>
      </c>
      <c r="H287" s="36">
        <f>DATE(2019,5,23)</f>
        <v>43608</v>
      </c>
      <c r="I287" s="29" t="s">
        <v>811</v>
      </c>
      <c r="J287" s="29" t="str">
        <f>IFERROR(__xludf.DUMMYFUNCTION("""COMPUTED_VALUE"""),"https://i.postimg.cc/Hk6HDrtk/Red-Runner.png")</f>
        <v>https://i.postimg.cc/Hk6HDrtk/Red-Runner.png</v>
      </c>
      <c r="K287" s="30" t="s">
        <v>24</v>
      </c>
      <c r="L287" s="30" t="str">
        <f>IFERROR(__xludf.DUMMYFUNCTION("""COMPUTED_VALUE"""),"4 Stars")</f>
        <v>4 Stars</v>
      </c>
      <c r="M287" s="31">
        <f>IFERROR(__xludf.DUMMYFUNCTION("""COMPUTED_VALUE"""),43608.0)</f>
        <v>43608</v>
      </c>
      <c r="N287" s="32"/>
    </row>
    <row r="288" ht="112.5" customHeight="1">
      <c r="A288" s="21">
        <f t="shared" si="1"/>
        <v>62</v>
      </c>
      <c r="B288" s="34" t="s">
        <v>86</v>
      </c>
      <c r="C288" s="23"/>
      <c r="D288" s="24"/>
      <c r="E288" s="25" t="s">
        <v>812</v>
      </c>
      <c r="F288" s="26" t="s">
        <v>7</v>
      </c>
      <c r="G288" s="27" t="s">
        <v>806</v>
      </c>
      <c r="H288" s="36">
        <f>DATE(2019,5,18)</f>
        <v>43603</v>
      </c>
      <c r="I288" s="29" t="s">
        <v>813</v>
      </c>
      <c r="J288" s="29" t="str">
        <f>IFERROR(__xludf.DUMMYFUNCTION("""COMPUTED_VALUE"""),"https://i.postimg.cc/qRhpGpyM/Green-Defender.png")</f>
        <v>https://i.postimg.cc/qRhpGpyM/Green-Defender.png</v>
      </c>
      <c r="K288" s="30" t="s">
        <v>86</v>
      </c>
      <c r="L288" s="30" t="str">
        <f>IFERROR(__xludf.DUMMYFUNCTION("""COMPUTED_VALUE"""),"4 Stars")</f>
        <v>4 Stars</v>
      </c>
      <c r="M288" s="31">
        <f>IFERROR(__xludf.DUMMYFUNCTION("""COMPUTED_VALUE"""),43603.0)</f>
        <v>43603</v>
      </c>
      <c r="N288" s="32"/>
    </row>
    <row r="289" ht="112.5" customHeight="1">
      <c r="A289" s="21">
        <f t="shared" si="1"/>
        <v>61</v>
      </c>
      <c r="B289" s="34" t="s">
        <v>24</v>
      </c>
      <c r="C289" s="23"/>
      <c r="D289" s="24"/>
      <c r="E289" s="25" t="s">
        <v>814</v>
      </c>
      <c r="F289" s="26" t="s">
        <v>206</v>
      </c>
      <c r="G289" s="27" t="s">
        <v>815</v>
      </c>
      <c r="H289" s="36">
        <f>DATE(2019,5,17)</f>
        <v>43602</v>
      </c>
      <c r="I289" s="29" t="s">
        <v>816</v>
      </c>
      <c r="J289" s="29" t="str">
        <f>IFERROR(__xludf.DUMMYFUNCTION("""COMPUTED_VALUE"""),"https://i.postimg.cc/Hk6HDrtk/Red-Runner.png")</f>
        <v>https://i.postimg.cc/Hk6HDrtk/Red-Runner.png</v>
      </c>
      <c r="K289" s="30" t="s">
        <v>24</v>
      </c>
      <c r="L289" s="30" t="str">
        <f>IFERROR(__xludf.DUMMYFUNCTION("""COMPUTED_VALUE"""),"3 Stars")</f>
        <v>3 Stars</v>
      </c>
      <c r="M289" s="31">
        <f>IFERROR(__xludf.DUMMYFUNCTION("""COMPUTED_VALUE"""),43602.0)</f>
        <v>43602</v>
      </c>
      <c r="N289" s="32"/>
    </row>
    <row r="290" ht="112.5" customHeight="1">
      <c r="A290" s="21">
        <f t="shared" si="1"/>
        <v>60</v>
      </c>
      <c r="B290" s="34" t="s">
        <v>212</v>
      </c>
      <c r="C290" s="23"/>
      <c r="D290" s="24"/>
      <c r="E290" s="25" t="s">
        <v>817</v>
      </c>
      <c r="F290" s="26" t="s">
        <v>7</v>
      </c>
      <c r="G290" s="27" t="s">
        <v>397</v>
      </c>
      <c r="H290" s="36">
        <f>DATE(2019,5,5)</f>
        <v>43590</v>
      </c>
      <c r="I290" s="29" t="s">
        <v>818</v>
      </c>
      <c r="J290" s="29" t="str">
        <f>IFERROR(__xludf.DUMMYFUNCTION("""COMPUTED_VALUE"""),"https://i.postimg.cc/1zRtDxvf/Blue-Attacker.png")</f>
        <v>https://i.postimg.cc/1zRtDxvf/Blue-Attacker.png</v>
      </c>
      <c r="K290" s="30" t="s">
        <v>212</v>
      </c>
      <c r="L290" s="30" t="str">
        <f>IFERROR(__xludf.DUMMYFUNCTION("""COMPUTED_VALUE"""),"4 Stars")</f>
        <v>4 Stars</v>
      </c>
      <c r="M290" s="31">
        <f>IFERROR(__xludf.DUMMYFUNCTION("""COMPUTED_VALUE"""),43590.0)</f>
        <v>43590</v>
      </c>
      <c r="N290" s="32"/>
    </row>
    <row r="291" ht="112.5" customHeight="1">
      <c r="A291" s="21">
        <f t="shared" si="1"/>
        <v>59</v>
      </c>
      <c r="B291" s="34" t="s">
        <v>10</v>
      </c>
      <c r="C291" s="23"/>
      <c r="D291" s="24"/>
      <c r="E291" s="25" t="s">
        <v>819</v>
      </c>
      <c r="F291" s="26" t="s">
        <v>21</v>
      </c>
      <c r="G291" s="27" t="s">
        <v>801</v>
      </c>
      <c r="H291" s="35">
        <f>DATE(2019,4,24)</f>
        <v>43579</v>
      </c>
      <c r="I291" s="29" t="s">
        <v>820</v>
      </c>
      <c r="J291" s="29" t="str">
        <f>IFERROR(__xludf.DUMMYFUNCTION("""COMPUTED_VALUE"""),"https://i.postimg.cc/PxgT30Qb/Green-Runner.png")</f>
        <v>https://i.postimg.cc/PxgT30Qb/Green-Runner.png</v>
      </c>
      <c r="K291" s="30" t="s">
        <v>10</v>
      </c>
      <c r="L291" s="30" t="str">
        <f>IFERROR(__xludf.DUMMYFUNCTION("""COMPUTED_VALUE"""),"4 Stars")</f>
        <v>4 Stars</v>
      </c>
      <c r="M291" s="31">
        <f>IFERROR(__xludf.DUMMYFUNCTION("""COMPUTED_VALUE"""),43579.0)</f>
        <v>43579</v>
      </c>
      <c r="N291" s="32"/>
    </row>
    <row r="292" ht="112.5" customHeight="1">
      <c r="A292" s="21">
        <f t="shared" si="1"/>
        <v>58</v>
      </c>
      <c r="B292" s="34" t="s">
        <v>212</v>
      </c>
      <c r="C292" s="23"/>
      <c r="D292" s="24"/>
      <c r="E292" s="25" t="s">
        <v>821</v>
      </c>
      <c r="F292" s="26" t="s">
        <v>21</v>
      </c>
      <c r="G292" s="27" t="s">
        <v>822</v>
      </c>
      <c r="H292" s="37"/>
      <c r="I292" s="29" t="s">
        <v>823</v>
      </c>
      <c r="J292" s="29" t="str">
        <f>IFERROR(__xludf.DUMMYFUNCTION("""COMPUTED_VALUE"""),"https://i.postimg.cc/1zRtDxvf/Blue-Attacker.png")</f>
        <v>https://i.postimg.cc/1zRtDxvf/Blue-Attacker.png</v>
      </c>
      <c r="K292" s="30" t="s">
        <v>212</v>
      </c>
      <c r="L292" s="30" t="str">
        <f>IFERROR(__xludf.DUMMYFUNCTION("""COMPUTED_VALUE"""),"4 Stars")</f>
        <v>4 Stars</v>
      </c>
      <c r="M292" s="31">
        <f>IFERROR(__xludf.DUMMYFUNCTION("""COMPUTED_VALUE"""),43579.0)</f>
        <v>43579</v>
      </c>
      <c r="N292" s="32"/>
    </row>
    <row r="293" ht="112.5" customHeight="1">
      <c r="A293" s="21">
        <f t="shared" si="1"/>
        <v>57</v>
      </c>
      <c r="B293" s="34" t="s">
        <v>140</v>
      </c>
      <c r="C293" s="23"/>
      <c r="D293" s="24"/>
      <c r="E293" s="25" t="s">
        <v>824</v>
      </c>
      <c r="F293" s="26" t="s">
        <v>206</v>
      </c>
      <c r="G293" s="27" t="s">
        <v>88</v>
      </c>
      <c r="H293" s="36">
        <f>DATE(2019,4,12)</f>
        <v>43567</v>
      </c>
      <c r="I293" s="29" t="s">
        <v>825</v>
      </c>
      <c r="J293" s="29" t="str">
        <f>IFERROR(__xludf.DUMMYFUNCTION("""COMPUTED_VALUE"""),"https://i.postimg.cc/m2xg81dx/Blue-Defender.png")</f>
        <v>https://i.postimg.cc/m2xg81dx/Blue-Defender.png</v>
      </c>
      <c r="K293" s="30" t="s">
        <v>140</v>
      </c>
      <c r="L293" s="30" t="str">
        <f>IFERROR(__xludf.DUMMYFUNCTION("""COMPUTED_VALUE"""),"3 Stars")</f>
        <v>3 Stars</v>
      </c>
      <c r="M293" s="31">
        <f>IFERROR(__xludf.DUMMYFUNCTION("""COMPUTED_VALUE"""),43567.0)</f>
        <v>43567</v>
      </c>
      <c r="N293" s="32"/>
    </row>
    <row r="294" ht="112.5" customHeight="1">
      <c r="A294" s="21">
        <f t="shared" si="1"/>
        <v>56</v>
      </c>
      <c r="B294" s="34" t="s">
        <v>212</v>
      </c>
      <c r="C294" s="23"/>
      <c r="D294" s="24"/>
      <c r="E294" s="25" t="s">
        <v>826</v>
      </c>
      <c r="F294" s="26" t="s">
        <v>7</v>
      </c>
      <c r="G294" s="27" t="s">
        <v>827</v>
      </c>
      <c r="H294" s="35">
        <f>DATE(2019,4,11)</f>
        <v>43566</v>
      </c>
      <c r="I294" s="29" t="s">
        <v>828</v>
      </c>
      <c r="J294" s="29" t="str">
        <f>IFERROR(__xludf.DUMMYFUNCTION("""COMPUTED_VALUE"""),"https://i.postimg.cc/1zRtDxvf/Blue-Attacker.png")</f>
        <v>https://i.postimg.cc/1zRtDxvf/Blue-Attacker.png</v>
      </c>
      <c r="K294" s="30" t="s">
        <v>212</v>
      </c>
      <c r="L294" s="30" t="str">
        <f>IFERROR(__xludf.DUMMYFUNCTION("""COMPUTED_VALUE"""),"4 Stars")</f>
        <v>4 Stars</v>
      </c>
      <c r="M294" s="31">
        <f>IFERROR(__xludf.DUMMYFUNCTION("""COMPUTED_VALUE"""),43566.0)</f>
        <v>43566</v>
      </c>
      <c r="N294" s="32"/>
    </row>
    <row r="295" ht="112.5" customHeight="1">
      <c r="A295" s="21">
        <f t="shared" si="1"/>
        <v>55</v>
      </c>
      <c r="B295" s="34" t="s">
        <v>24</v>
      </c>
      <c r="C295" s="23"/>
      <c r="D295" s="24"/>
      <c r="E295" s="25" t="s">
        <v>829</v>
      </c>
      <c r="F295" s="26" t="s">
        <v>7</v>
      </c>
      <c r="G295" s="27" t="s">
        <v>683</v>
      </c>
      <c r="H295" s="37"/>
      <c r="I295" s="29" t="s">
        <v>830</v>
      </c>
      <c r="J295" s="29" t="str">
        <f>IFERROR(__xludf.DUMMYFUNCTION("""COMPUTED_VALUE"""),"https://i.postimg.cc/Hk6HDrtk/Red-Runner.png")</f>
        <v>https://i.postimg.cc/Hk6HDrtk/Red-Runner.png</v>
      </c>
      <c r="K295" s="30" t="s">
        <v>24</v>
      </c>
      <c r="L295" s="30" t="str">
        <f>IFERROR(__xludf.DUMMYFUNCTION("""COMPUTED_VALUE"""),"4 Stars")</f>
        <v>4 Stars</v>
      </c>
      <c r="M295" s="31">
        <f>IFERROR(__xludf.DUMMYFUNCTION("""COMPUTED_VALUE"""),43566.0)</f>
        <v>43566</v>
      </c>
      <c r="N295" s="32"/>
    </row>
    <row r="296" ht="112.5" customHeight="1">
      <c r="A296" s="21">
        <f t="shared" si="1"/>
        <v>54</v>
      </c>
      <c r="B296" s="34" t="s">
        <v>86</v>
      </c>
      <c r="C296" s="23"/>
      <c r="D296" s="24"/>
      <c r="E296" s="25" t="s">
        <v>831</v>
      </c>
      <c r="F296" s="26" t="s">
        <v>21</v>
      </c>
      <c r="G296" s="27" t="s">
        <v>832</v>
      </c>
      <c r="H296" s="35">
        <f>DATE(2019,3,28)</f>
        <v>43552</v>
      </c>
      <c r="I296" s="29" t="s">
        <v>833</v>
      </c>
      <c r="J296" s="29" t="str">
        <f>IFERROR(__xludf.DUMMYFUNCTION("""COMPUTED_VALUE"""),"https://i.postimg.cc/qRhpGpyM/Green-Defender.png")</f>
        <v>https://i.postimg.cc/qRhpGpyM/Green-Defender.png</v>
      </c>
      <c r="K296" s="30" t="s">
        <v>86</v>
      </c>
      <c r="L296" s="30" t="str">
        <f>IFERROR(__xludf.DUMMYFUNCTION("""COMPUTED_VALUE"""),"4 Stars")</f>
        <v>4 Stars</v>
      </c>
      <c r="M296" s="31">
        <f>IFERROR(__xludf.DUMMYFUNCTION("""COMPUTED_VALUE"""),43552.0)</f>
        <v>43552</v>
      </c>
      <c r="N296" s="32"/>
    </row>
    <row r="297" ht="112.5" customHeight="1">
      <c r="A297" s="21">
        <f t="shared" si="1"/>
        <v>53</v>
      </c>
      <c r="B297" s="34" t="s">
        <v>24</v>
      </c>
      <c r="C297" s="23"/>
      <c r="D297" s="24"/>
      <c r="E297" s="25" t="s">
        <v>834</v>
      </c>
      <c r="F297" s="26" t="s">
        <v>21</v>
      </c>
      <c r="G297" s="27" t="s">
        <v>835</v>
      </c>
      <c r="H297" s="37"/>
      <c r="I297" s="29" t="s">
        <v>836</v>
      </c>
      <c r="J297" s="29" t="str">
        <f>IFERROR(__xludf.DUMMYFUNCTION("""COMPUTED_VALUE"""),"https://i.postimg.cc/Hk6HDrtk/Red-Runner.png")</f>
        <v>https://i.postimg.cc/Hk6HDrtk/Red-Runner.png</v>
      </c>
      <c r="K297" s="30" t="s">
        <v>24</v>
      </c>
      <c r="L297" s="30" t="str">
        <f>IFERROR(__xludf.DUMMYFUNCTION("""COMPUTED_VALUE"""),"4 Stars")</f>
        <v>4 Stars</v>
      </c>
      <c r="M297" s="31">
        <f>IFERROR(__xludf.DUMMYFUNCTION("""COMPUTED_VALUE"""),43552.0)</f>
        <v>43552</v>
      </c>
      <c r="N297" s="32"/>
    </row>
    <row r="298" ht="112.5" customHeight="1">
      <c r="A298" s="21">
        <f t="shared" si="1"/>
        <v>52</v>
      </c>
      <c r="B298" s="34" t="s">
        <v>114</v>
      </c>
      <c r="C298" s="23"/>
      <c r="D298" s="24"/>
      <c r="E298" s="25" t="s">
        <v>837</v>
      </c>
      <c r="F298" s="26" t="s">
        <v>7</v>
      </c>
      <c r="G298" s="27" t="s">
        <v>12</v>
      </c>
      <c r="H298" s="35">
        <f>DATE(2019,3,19)</f>
        <v>43543</v>
      </c>
      <c r="I298" s="29" t="s">
        <v>838</v>
      </c>
      <c r="J298" s="29" t="str">
        <f>IFERROR(__xludf.DUMMYFUNCTION("""COMPUTED_VALUE"""),"https://i.postimg.cc/4NzNM4MY/Blue-Runner.png")</f>
        <v>https://i.postimg.cc/4NzNM4MY/Blue-Runner.png</v>
      </c>
      <c r="K298" s="30" t="s">
        <v>114</v>
      </c>
      <c r="L298" s="30" t="str">
        <f>IFERROR(__xludf.DUMMYFUNCTION("""COMPUTED_VALUE"""),"4 Stars")</f>
        <v>4 Stars</v>
      </c>
      <c r="M298" s="31">
        <f>IFERROR(__xludf.DUMMYFUNCTION("""COMPUTED_VALUE"""),43543.0)</f>
        <v>43543</v>
      </c>
      <c r="N298" s="32"/>
    </row>
    <row r="299" ht="112.5" customHeight="1">
      <c r="A299" s="21">
        <f t="shared" si="1"/>
        <v>51</v>
      </c>
      <c r="B299" s="34" t="s">
        <v>104</v>
      </c>
      <c r="C299" s="23"/>
      <c r="D299" s="24"/>
      <c r="E299" s="25" t="s">
        <v>839</v>
      </c>
      <c r="F299" s="26" t="s">
        <v>7</v>
      </c>
      <c r="G299" s="27" t="s">
        <v>835</v>
      </c>
      <c r="H299" s="37"/>
      <c r="I299" s="29" t="s">
        <v>840</v>
      </c>
      <c r="J299" s="29" t="str">
        <f>IFERROR(__xludf.DUMMYFUNCTION("""COMPUTED_VALUE"""),"https://i.postimg.cc/0NH8mz6B/Green-Attacker.png")</f>
        <v>https://i.postimg.cc/0NH8mz6B/Green-Attacker.png</v>
      </c>
      <c r="K299" s="30" t="s">
        <v>104</v>
      </c>
      <c r="L299" s="30" t="str">
        <f>IFERROR(__xludf.DUMMYFUNCTION("""COMPUTED_VALUE"""),"4 Stars")</f>
        <v>4 Stars</v>
      </c>
      <c r="M299" s="31">
        <f>IFERROR(__xludf.DUMMYFUNCTION("""COMPUTED_VALUE"""),43543.0)</f>
        <v>43543</v>
      </c>
      <c r="N299" s="32"/>
    </row>
    <row r="300" ht="112.5" customHeight="1">
      <c r="A300" s="21">
        <f t="shared" si="1"/>
        <v>50</v>
      </c>
      <c r="B300" s="34" t="s">
        <v>140</v>
      </c>
      <c r="C300" s="23"/>
      <c r="D300" s="24"/>
      <c r="E300" s="40" t="s">
        <v>841</v>
      </c>
      <c r="F300" s="26" t="s">
        <v>21</v>
      </c>
      <c r="G300" s="27" t="s">
        <v>842</v>
      </c>
      <c r="H300" s="35">
        <f>DATE(2019,2,27)</f>
        <v>43523</v>
      </c>
      <c r="I300" s="29" t="s">
        <v>843</v>
      </c>
      <c r="J300" s="29" t="str">
        <f>IFERROR(__xludf.DUMMYFUNCTION("""COMPUTED_VALUE"""),"https://i.postimg.cc/m2xg81dx/Blue-Defender.png")</f>
        <v>https://i.postimg.cc/m2xg81dx/Blue-Defender.png</v>
      </c>
      <c r="K300" s="30" t="s">
        <v>140</v>
      </c>
      <c r="L300" s="30" t="str">
        <f>IFERROR(__xludf.DUMMYFUNCTION("""COMPUTED_VALUE"""),"4 Stars")</f>
        <v>4 Stars</v>
      </c>
      <c r="M300" s="31">
        <f>IFERROR(__xludf.DUMMYFUNCTION("""COMPUTED_VALUE"""),43523.0)</f>
        <v>43523</v>
      </c>
      <c r="N300" s="32"/>
    </row>
    <row r="301" ht="112.5" customHeight="1">
      <c r="A301" s="21">
        <f t="shared" si="1"/>
        <v>49</v>
      </c>
      <c r="B301" s="34" t="s">
        <v>35</v>
      </c>
      <c r="C301" s="23"/>
      <c r="D301" s="24"/>
      <c r="E301" s="40" t="s">
        <v>844</v>
      </c>
      <c r="F301" s="26" t="s">
        <v>21</v>
      </c>
      <c r="G301" s="27" t="s">
        <v>81</v>
      </c>
      <c r="H301" s="37"/>
      <c r="I301" s="29" t="s">
        <v>845</v>
      </c>
      <c r="J301" s="29" t="str">
        <f>IFERROR(__xludf.DUMMYFUNCTION("""COMPUTED_VALUE"""),"https://i.postimg.cc/L6B2DCYf/Red-Attacker.png")</f>
        <v>https://i.postimg.cc/L6B2DCYf/Red-Attacker.png</v>
      </c>
      <c r="K301" s="30" t="s">
        <v>35</v>
      </c>
      <c r="L301" s="30" t="str">
        <f>IFERROR(__xludf.DUMMYFUNCTION("""COMPUTED_VALUE"""),"4 Stars")</f>
        <v>4 Stars</v>
      </c>
      <c r="M301" s="31">
        <f>IFERROR(__xludf.DUMMYFUNCTION("""COMPUTED_VALUE"""),43523.0)</f>
        <v>43523</v>
      </c>
      <c r="N301" s="32"/>
    </row>
    <row r="302" ht="112.5" customHeight="1">
      <c r="A302" s="21">
        <f t="shared" si="1"/>
        <v>48</v>
      </c>
      <c r="B302" s="34" t="s">
        <v>212</v>
      </c>
      <c r="C302" s="23"/>
      <c r="D302" s="24"/>
      <c r="E302" s="39" t="s">
        <v>846</v>
      </c>
      <c r="F302" s="26" t="s">
        <v>21</v>
      </c>
      <c r="G302" s="27" t="s">
        <v>847</v>
      </c>
      <c r="H302" s="35">
        <f>DATE(2019,2,8)</f>
        <v>43504</v>
      </c>
      <c r="I302" s="29" t="s">
        <v>848</v>
      </c>
      <c r="J302" s="29" t="str">
        <f>IFERROR(__xludf.DUMMYFUNCTION("""COMPUTED_VALUE"""),"https://i.postimg.cc/1zRtDxvf/Blue-Attacker.png")</f>
        <v>https://i.postimg.cc/1zRtDxvf/Blue-Attacker.png</v>
      </c>
      <c r="K302" s="30" t="s">
        <v>212</v>
      </c>
      <c r="L302" s="30" t="str">
        <f>IFERROR(__xludf.DUMMYFUNCTION("""COMPUTED_VALUE"""),"4 Stars")</f>
        <v>4 Stars</v>
      </c>
      <c r="M302" s="31">
        <f>IFERROR(__xludf.DUMMYFUNCTION("""COMPUTED_VALUE"""),43504.0)</f>
        <v>43504</v>
      </c>
      <c r="N302" s="32"/>
    </row>
    <row r="303" ht="112.5" customHeight="1">
      <c r="A303" s="21">
        <f t="shared" si="1"/>
        <v>47</v>
      </c>
      <c r="B303" s="34" t="s">
        <v>75</v>
      </c>
      <c r="C303" s="23"/>
      <c r="D303" s="24"/>
      <c r="E303" s="39" t="s">
        <v>849</v>
      </c>
      <c r="F303" s="26" t="s">
        <v>21</v>
      </c>
      <c r="G303" s="27" t="s">
        <v>850</v>
      </c>
      <c r="H303" s="37"/>
      <c r="I303" s="29" t="s">
        <v>851</v>
      </c>
      <c r="J303" s="29" t="str">
        <f>IFERROR(__xludf.DUMMYFUNCTION("""COMPUTED_VALUE"""),"https://i.postimg.cc/P5XhRWY7/Red-Defender.png")</f>
        <v>https://i.postimg.cc/P5XhRWY7/Red-Defender.png</v>
      </c>
      <c r="K303" s="30" t="s">
        <v>75</v>
      </c>
      <c r="L303" s="30" t="str">
        <f>IFERROR(__xludf.DUMMYFUNCTION("""COMPUTED_VALUE"""),"4 Stars")</f>
        <v>4 Stars</v>
      </c>
      <c r="M303" s="31">
        <f>IFERROR(__xludf.DUMMYFUNCTION("""COMPUTED_VALUE"""),43504.0)</f>
        <v>43504</v>
      </c>
      <c r="N303" s="32"/>
    </row>
    <row r="304" ht="112.5" customHeight="1">
      <c r="A304" s="21">
        <f t="shared" si="1"/>
        <v>46</v>
      </c>
      <c r="B304" s="34" t="s">
        <v>104</v>
      </c>
      <c r="C304" s="23"/>
      <c r="D304" s="24"/>
      <c r="E304" s="25" t="s">
        <v>852</v>
      </c>
      <c r="F304" s="26" t="s">
        <v>7</v>
      </c>
      <c r="G304" s="27" t="s">
        <v>853</v>
      </c>
      <c r="H304" s="42" t="s">
        <v>854</v>
      </c>
      <c r="I304" s="29" t="s">
        <v>855</v>
      </c>
      <c r="J304" s="29" t="str">
        <f>IFERROR(__xludf.DUMMYFUNCTION("""COMPUTED_VALUE"""),"https://i.postimg.cc/0NH8mz6B/Green-Attacker.png")</f>
        <v>https://i.postimg.cc/0NH8mz6B/Green-Attacker.png</v>
      </c>
      <c r="K304" s="30" t="s">
        <v>104</v>
      </c>
      <c r="L304" s="30" t="str">
        <f>IFERROR(__xludf.DUMMYFUNCTION("""COMPUTED_VALUE"""),"4 Stars")</f>
        <v>4 Stars</v>
      </c>
      <c r="M304" s="31" t="str">
        <f>IFERROR(__xludf.DUMMYFUNCTION("""COMPUTED_VALUE"""),"Beginning of the Game")</f>
        <v>Beginning of the Game</v>
      </c>
      <c r="N304" s="32"/>
    </row>
    <row r="305" ht="112.5" customHeight="1">
      <c r="A305" s="21">
        <f t="shared" si="1"/>
        <v>45</v>
      </c>
      <c r="B305" s="34" t="s">
        <v>140</v>
      </c>
      <c r="C305" s="23"/>
      <c r="D305" s="24"/>
      <c r="E305" s="25" t="s">
        <v>856</v>
      </c>
      <c r="F305" s="26" t="s">
        <v>7</v>
      </c>
      <c r="G305" s="27" t="s">
        <v>857</v>
      </c>
      <c r="H305" s="33"/>
      <c r="I305" s="29" t="s">
        <v>858</v>
      </c>
      <c r="J305" s="29" t="str">
        <f>IFERROR(__xludf.DUMMYFUNCTION("""COMPUTED_VALUE"""),"https://i.postimg.cc/m2xg81dx/Blue-Defender.png")</f>
        <v>https://i.postimg.cc/m2xg81dx/Blue-Defender.png</v>
      </c>
      <c r="K305" s="30" t="s">
        <v>140</v>
      </c>
      <c r="L305" s="30" t="str">
        <f>IFERROR(__xludf.DUMMYFUNCTION("""COMPUTED_VALUE"""),"4 Stars")</f>
        <v>4 Stars</v>
      </c>
      <c r="M305" s="31" t="str">
        <f>IFERROR(__xludf.DUMMYFUNCTION("""COMPUTED_VALUE"""),"Beginning of the Game")</f>
        <v>Beginning of the Game</v>
      </c>
      <c r="N305" s="32"/>
    </row>
    <row r="306" ht="112.5" customHeight="1">
      <c r="A306" s="21">
        <f t="shared" si="1"/>
        <v>44</v>
      </c>
      <c r="B306" s="34" t="s">
        <v>10</v>
      </c>
      <c r="C306" s="23"/>
      <c r="D306" s="24"/>
      <c r="E306" s="25" t="s">
        <v>859</v>
      </c>
      <c r="F306" s="26" t="s">
        <v>7</v>
      </c>
      <c r="G306" s="27" t="s">
        <v>508</v>
      </c>
      <c r="H306" s="33"/>
      <c r="I306" s="29" t="s">
        <v>860</v>
      </c>
      <c r="J306" s="29" t="str">
        <f>IFERROR(__xludf.DUMMYFUNCTION("""COMPUTED_VALUE"""),"https://i.postimg.cc/PxgT30Qb/Green-Runner.png")</f>
        <v>https://i.postimg.cc/PxgT30Qb/Green-Runner.png</v>
      </c>
      <c r="K306" s="30" t="s">
        <v>10</v>
      </c>
      <c r="L306" s="30" t="str">
        <f>IFERROR(__xludf.DUMMYFUNCTION("""COMPUTED_VALUE"""),"4 Stars")</f>
        <v>4 Stars</v>
      </c>
      <c r="M306" s="31" t="str">
        <f>IFERROR(__xludf.DUMMYFUNCTION("""COMPUTED_VALUE"""),"Beginning of the Game")</f>
        <v>Beginning of the Game</v>
      </c>
      <c r="N306" s="32"/>
    </row>
    <row r="307" ht="112.5" customHeight="1">
      <c r="A307" s="21">
        <f t="shared" si="1"/>
        <v>43</v>
      </c>
      <c r="B307" s="34" t="s">
        <v>75</v>
      </c>
      <c r="C307" s="23"/>
      <c r="D307" s="24"/>
      <c r="E307" s="25" t="s">
        <v>861</v>
      </c>
      <c r="F307" s="26" t="s">
        <v>7</v>
      </c>
      <c r="G307" s="27" t="s">
        <v>752</v>
      </c>
      <c r="H307" s="33"/>
      <c r="I307" s="29" t="s">
        <v>862</v>
      </c>
      <c r="J307" s="29" t="str">
        <f>IFERROR(__xludf.DUMMYFUNCTION("""COMPUTED_VALUE"""),"https://i.postimg.cc/P5XhRWY7/Red-Defender.png")</f>
        <v>https://i.postimg.cc/P5XhRWY7/Red-Defender.png</v>
      </c>
      <c r="K307" s="30" t="s">
        <v>75</v>
      </c>
      <c r="L307" s="30" t="str">
        <f>IFERROR(__xludf.DUMMYFUNCTION("""COMPUTED_VALUE"""),"4 Stars")</f>
        <v>4 Stars</v>
      </c>
      <c r="M307" s="31" t="str">
        <f>IFERROR(__xludf.DUMMYFUNCTION("""COMPUTED_VALUE"""),"Beginning of the Game")</f>
        <v>Beginning of the Game</v>
      </c>
      <c r="N307" s="32"/>
    </row>
    <row r="308" ht="112.5" customHeight="1">
      <c r="A308" s="21">
        <f t="shared" si="1"/>
        <v>42</v>
      </c>
      <c r="B308" s="34" t="s">
        <v>86</v>
      </c>
      <c r="C308" s="23"/>
      <c r="D308" s="24"/>
      <c r="E308" s="25" t="s">
        <v>863</v>
      </c>
      <c r="F308" s="26" t="s">
        <v>7</v>
      </c>
      <c r="G308" s="27" t="s">
        <v>864</v>
      </c>
      <c r="H308" s="33"/>
      <c r="I308" s="29" t="s">
        <v>865</v>
      </c>
      <c r="J308" s="29" t="str">
        <f>IFERROR(__xludf.DUMMYFUNCTION("""COMPUTED_VALUE"""),"https://i.postimg.cc/qRhpGpyM/Green-Defender.png")</f>
        <v>https://i.postimg.cc/qRhpGpyM/Green-Defender.png</v>
      </c>
      <c r="K308" s="30" t="s">
        <v>86</v>
      </c>
      <c r="L308" s="30" t="str">
        <f>IFERROR(__xludf.DUMMYFUNCTION("""COMPUTED_VALUE"""),"4 Stars")</f>
        <v>4 Stars</v>
      </c>
      <c r="M308" s="31" t="str">
        <f>IFERROR(__xludf.DUMMYFUNCTION("""COMPUTED_VALUE"""),"Beginning of the Game")</f>
        <v>Beginning of the Game</v>
      </c>
      <c r="N308" s="32"/>
    </row>
    <row r="309" ht="112.5" customHeight="1">
      <c r="A309" s="21">
        <f t="shared" si="1"/>
        <v>41</v>
      </c>
      <c r="B309" s="34" t="s">
        <v>86</v>
      </c>
      <c r="C309" s="23"/>
      <c r="D309" s="24"/>
      <c r="E309" s="25" t="s">
        <v>866</v>
      </c>
      <c r="F309" s="26" t="s">
        <v>7</v>
      </c>
      <c r="G309" s="27" t="s">
        <v>867</v>
      </c>
      <c r="H309" s="33"/>
      <c r="I309" s="29" t="s">
        <v>868</v>
      </c>
      <c r="J309" s="29" t="str">
        <f>IFERROR(__xludf.DUMMYFUNCTION("""COMPUTED_VALUE"""),"https://i.postimg.cc/qRhpGpyM/Green-Defender.png")</f>
        <v>https://i.postimg.cc/qRhpGpyM/Green-Defender.png</v>
      </c>
      <c r="K309" s="30" t="s">
        <v>86</v>
      </c>
      <c r="L309" s="30" t="str">
        <f>IFERROR(__xludf.DUMMYFUNCTION("""COMPUTED_VALUE"""),"4 Stars")</f>
        <v>4 Stars</v>
      </c>
      <c r="M309" s="31" t="str">
        <f>IFERROR(__xludf.DUMMYFUNCTION("""COMPUTED_VALUE"""),"Beginning of the Game")</f>
        <v>Beginning of the Game</v>
      </c>
      <c r="N309" s="32"/>
    </row>
    <row r="310" ht="112.5" customHeight="1">
      <c r="A310" s="21">
        <f t="shared" si="1"/>
        <v>40</v>
      </c>
      <c r="B310" s="34" t="s">
        <v>35</v>
      </c>
      <c r="C310" s="23"/>
      <c r="D310" s="24"/>
      <c r="E310" s="25" t="s">
        <v>869</v>
      </c>
      <c r="F310" s="26" t="s">
        <v>7</v>
      </c>
      <c r="G310" s="27" t="s">
        <v>91</v>
      </c>
      <c r="H310" s="33"/>
      <c r="I310" s="29" t="s">
        <v>870</v>
      </c>
      <c r="J310" s="29" t="str">
        <f>IFERROR(__xludf.DUMMYFUNCTION("""COMPUTED_VALUE"""),"https://i.postimg.cc/L6B2DCYf/Red-Attacker.png")</f>
        <v>https://i.postimg.cc/L6B2DCYf/Red-Attacker.png</v>
      </c>
      <c r="K310" s="30" t="s">
        <v>35</v>
      </c>
      <c r="L310" s="30" t="str">
        <f>IFERROR(__xludf.DUMMYFUNCTION("""COMPUTED_VALUE"""),"4 Stars")</f>
        <v>4 Stars</v>
      </c>
      <c r="M310" s="31" t="str">
        <f>IFERROR(__xludf.DUMMYFUNCTION("""COMPUTED_VALUE"""),"Beginning of the Game")</f>
        <v>Beginning of the Game</v>
      </c>
      <c r="N310" s="32"/>
    </row>
    <row r="311" ht="112.5" customHeight="1">
      <c r="A311" s="21">
        <f t="shared" si="1"/>
        <v>39</v>
      </c>
      <c r="B311" s="34" t="s">
        <v>212</v>
      </c>
      <c r="C311" s="23"/>
      <c r="D311" s="24"/>
      <c r="E311" s="25" t="s">
        <v>871</v>
      </c>
      <c r="F311" s="26" t="s">
        <v>7</v>
      </c>
      <c r="G311" s="27" t="s">
        <v>872</v>
      </c>
      <c r="H311" s="33"/>
      <c r="I311" s="29" t="s">
        <v>873</v>
      </c>
      <c r="J311" s="29" t="str">
        <f>IFERROR(__xludf.DUMMYFUNCTION("""COMPUTED_VALUE"""),"https://i.postimg.cc/1zRtDxvf/Blue-Attacker.png")</f>
        <v>https://i.postimg.cc/1zRtDxvf/Blue-Attacker.png</v>
      </c>
      <c r="K311" s="30" t="s">
        <v>212</v>
      </c>
      <c r="L311" s="30" t="str">
        <f>IFERROR(__xludf.DUMMYFUNCTION("""COMPUTED_VALUE"""),"4 Stars")</f>
        <v>4 Stars</v>
      </c>
      <c r="M311" s="31" t="str">
        <f>IFERROR(__xludf.DUMMYFUNCTION("""COMPUTED_VALUE"""),"Beginning of the Game")</f>
        <v>Beginning of the Game</v>
      </c>
      <c r="N311" s="32"/>
    </row>
    <row r="312" ht="112.5" customHeight="1">
      <c r="A312" s="21">
        <f t="shared" si="1"/>
        <v>38</v>
      </c>
      <c r="B312" s="34" t="s">
        <v>35</v>
      </c>
      <c r="C312" s="23"/>
      <c r="D312" s="24"/>
      <c r="E312" s="25" t="s">
        <v>874</v>
      </c>
      <c r="F312" s="26" t="s">
        <v>7</v>
      </c>
      <c r="G312" s="27" t="s">
        <v>875</v>
      </c>
      <c r="H312" s="33"/>
      <c r="I312" s="29" t="s">
        <v>876</v>
      </c>
      <c r="J312" s="29" t="str">
        <f>IFERROR(__xludf.DUMMYFUNCTION("""COMPUTED_VALUE"""),"https://i.postimg.cc/L6B2DCYf/Red-Attacker.png")</f>
        <v>https://i.postimg.cc/L6B2DCYf/Red-Attacker.png</v>
      </c>
      <c r="K312" s="30" t="s">
        <v>35</v>
      </c>
      <c r="L312" s="30" t="str">
        <f>IFERROR(__xludf.DUMMYFUNCTION("""COMPUTED_VALUE"""),"4 Stars")</f>
        <v>4 Stars</v>
      </c>
      <c r="M312" s="31" t="str">
        <f>IFERROR(__xludf.DUMMYFUNCTION("""COMPUTED_VALUE"""),"Beginning of the Game")</f>
        <v>Beginning of the Game</v>
      </c>
      <c r="N312" s="32"/>
    </row>
    <row r="313" ht="112.5" customHeight="1">
      <c r="A313" s="21">
        <f t="shared" si="1"/>
        <v>37</v>
      </c>
      <c r="B313" s="34" t="s">
        <v>140</v>
      </c>
      <c r="C313" s="23"/>
      <c r="D313" s="24"/>
      <c r="E313" s="25" t="s">
        <v>877</v>
      </c>
      <c r="F313" s="26" t="s">
        <v>7</v>
      </c>
      <c r="G313" s="27" t="s">
        <v>542</v>
      </c>
      <c r="H313" s="33"/>
      <c r="I313" s="29" t="s">
        <v>878</v>
      </c>
      <c r="J313" s="29" t="str">
        <f>IFERROR(__xludf.DUMMYFUNCTION("""COMPUTED_VALUE"""),"https://i.postimg.cc/m2xg81dx/Blue-Defender.png")</f>
        <v>https://i.postimg.cc/m2xg81dx/Blue-Defender.png</v>
      </c>
      <c r="K313" s="30" t="s">
        <v>140</v>
      </c>
      <c r="L313" s="30" t="str">
        <f>IFERROR(__xludf.DUMMYFUNCTION("""COMPUTED_VALUE"""),"4 Stars")</f>
        <v>4 Stars</v>
      </c>
      <c r="M313" s="31" t="str">
        <f>IFERROR(__xludf.DUMMYFUNCTION("""COMPUTED_VALUE"""),"Beginning of the Game")</f>
        <v>Beginning of the Game</v>
      </c>
      <c r="N313" s="32"/>
    </row>
    <row r="314" ht="112.5" customHeight="1">
      <c r="A314" s="21">
        <f t="shared" si="1"/>
        <v>36</v>
      </c>
      <c r="B314" s="34" t="s">
        <v>10</v>
      </c>
      <c r="C314" s="23"/>
      <c r="D314" s="24"/>
      <c r="E314" s="25" t="s">
        <v>879</v>
      </c>
      <c r="F314" s="26" t="s">
        <v>7</v>
      </c>
      <c r="G314" s="27" t="s">
        <v>880</v>
      </c>
      <c r="H314" s="33"/>
      <c r="I314" s="29" t="s">
        <v>881</v>
      </c>
      <c r="J314" s="29" t="str">
        <f>IFERROR(__xludf.DUMMYFUNCTION("""COMPUTED_VALUE"""),"https://i.postimg.cc/PxgT30Qb/Green-Runner.png")</f>
        <v>https://i.postimg.cc/PxgT30Qb/Green-Runner.png</v>
      </c>
      <c r="K314" s="30" t="s">
        <v>10</v>
      </c>
      <c r="L314" s="30" t="str">
        <f>IFERROR(__xludf.DUMMYFUNCTION("""COMPUTED_VALUE"""),"4 Stars")</f>
        <v>4 Stars</v>
      </c>
      <c r="M314" s="31" t="str">
        <f>IFERROR(__xludf.DUMMYFUNCTION("""COMPUTED_VALUE"""),"Beginning of the Game")</f>
        <v>Beginning of the Game</v>
      </c>
      <c r="N314" s="32"/>
    </row>
    <row r="315" ht="112.5" customHeight="1">
      <c r="A315" s="21">
        <f t="shared" si="1"/>
        <v>35</v>
      </c>
      <c r="B315" s="34" t="s">
        <v>75</v>
      </c>
      <c r="C315" s="23"/>
      <c r="D315" s="24"/>
      <c r="E315" s="39" t="s">
        <v>882</v>
      </c>
      <c r="F315" s="26" t="s">
        <v>353</v>
      </c>
      <c r="G315" s="27" t="s">
        <v>393</v>
      </c>
      <c r="H315" s="33"/>
      <c r="I315" s="29" t="s">
        <v>883</v>
      </c>
      <c r="J315" s="29" t="str">
        <f>IFERROR(__xludf.DUMMYFUNCTION("""COMPUTED_VALUE"""),"https://i.postimg.cc/P5XhRWY7/Red-Defender.png")</f>
        <v>https://i.postimg.cc/P5XhRWY7/Red-Defender.png</v>
      </c>
      <c r="K315" s="30" t="s">
        <v>75</v>
      </c>
      <c r="L315" s="30" t="str">
        <f>IFERROR(__xludf.DUMMYFUNCTION("""COMPUTED_VALUE"""),"4 Stars")</f>
        <v>4 Stars</v>
      </c>
      <c r="M315" s="31" t="str">
        <f>IFERROR(__xludf.DUMMYFUNCTION("""COMPUTED_VALUE"""),"Beginning of the Game")</f>
        <v>Beginning of the Game</v>
      </c>
      <c r="N315" s="32"/>
    </row>
    <row r="316" ht="112.5" customHeight="1">
      <c r="A316" s="21">
        <f t="shared" si="1"/>
        <v>34</v>
      </c>
      <c r="B316" s="34" t="s">
        <v>104</v>
      </c>
      <c r="C316" s="23"/>
      <c r="D316" s="24"/>
      <c r="E316" s="25" t="s">
        <v>884</v>
      </c>
      <c r="F316" s="26" t="s">
        <v>206</v>
      </c>
      <c r="G316" s="27" t="s">
        <v>885</v>
      </c>
      <c r="H316" s="33"/>
      <c r="I316" s="29" t="s">
        <v>886</v>
      </c>
      <c r="J316" s="29" t="str">
        <f>IFERROR(__xludf.DUMMYFUNCTION("""COMPUTED_VALUE"""),"https://i.postimg.cc/0NH8mz6B/Green-Attacker.png")</f>
        <v>https://i.postimg.cc/0NH8mz6B/Green-Attacker.png</v>
      </c>
      <c r="K316" s="30" t="s">
        <v>104</v>
      </c>
      <c r="L316" s="30" t="str">
        <f>IFERROR(__xludf.DUMMYFUNCTION("""COMPUTED_VALUE"""),"3 Stars")</f>
        <v>3 Stars</v>
      </c>
      <c r="M316" s="31" t="str">
        <f>IFERROR(__xludf.DUMMYFUNCTION("""COMPUTED_VALUE"""),"Beginning of the Game")</f>
        <v>Beginning of the Game</v>
      </c>
      <c r="N316" s="32"/>
    </row>
    <row r="317" ht="112.5" customHeight="1">
      <c r="A317" s="21">
        <f t="shared" si="1"/>
        <v>33</v>
      </c>
      <c r="B317" s="34" t="s">
        <v>140</v>
      </c>
      <c r="C317" s="23"/>
      <c r="D317" s="24"/>
      <c r="E317" s="25" t="s">
        <v>887</v>
      </c>
      <c r="F317" s="26" t="s">
        <v>888</v>
      </c>
      <c r="G317" s="27" t="s">
        <v>889</v>
      </c>
      <c r="H317" s="33"/>
      <c r="I317" s="29" t="s">
        <v>890</v>
      </c>
      <c r="J317" s="29" t="str">
        <f>IFERROR(__xludf.DUMMYFUNCTION("""COMPUTED_VALUE"""),"https://i.postimg.cc/m2xg81dx/Blue-Defender.png")</f>
        <v>https://i.postimg.cc/m2xg81dx/Blue-Defender.png</v>
      </c>
      <c r="K317" s="30" t="s">
        <v>140</v>
      </c>
      <c r="L317" s="30" t="str">
        <f>IFERROR(__xludf.DUMMYFUNCTION("""COMPUTED_VALUE"""),"3 Stars")</f>
        <v>3 Stars</v>
      </c>
      <c r="M317" s="31" t="str">
        <f>IFERROR(__xludf.DUMMYFUNCTION("""COMPUTED_VALUE"""),"Beginning of the Game")</f>
        <v>Beginning of the Game</v>
      </c>
      <c r="N317" s="32"/>
    </row>
    <row r="318" ht="112.5" customHeight="1">
      <c r="A318" s="21">
        <f t="shared" si="1"/>
        <v>32</v>
      </c>
      <c r="B318" s="34" t="s">
        <v>212</v>
      </c>
      <c r="C318" s="23"/>
      <c r="D318" s="24"/>
      <c r="E318" s="25" t="s">
        <v>891</v>
      </c>
      <c r="F318" s="26" t="s">
        <v>888</v>
      </c>
      <c r="G318" s="27" t="s">
        <v>885</v>
      </c>
      <c r="H318" s="33"/>
      <c r="I318" s="29" t="s">
        <v>892</v>
      </c>
      <c r="J318" s="29" t="str">
        <f>IFERROR(__xludf.DUMMYFUNCTION("""COMPUTED_VALUE"""),"https://i.postimg.cc/1zRtDxvf/Blue-Attacker.png")</f>
        <v>https://i.postimg.cc/1zRtDxvf/Blue-Attacker.png</v>
      </c>
      <c r="K318" s="30" t="s">
        <v>212</v>
      </c>
      <c r="L318" s="30" t="str">
        <f>IFERROR(__xludf.DUMMYFUNCTION("""COMPUTED_VALUE"""),"3 Stars")</f>
        <v>3 Stars</v>
      </c>
      <c r="M318" s="31" t="str">
        <f>IFERROR(__xludf.DUMMYFUNCTION("""COMPUTED_VALUE"""),"Beginning of the Game")</f>
        <v>Beginning of the Game</v>
      </c>
      <c r="N318" s="32"/>
    </row>
    <row r="319" ht="112.5" customHeight="1">
      <c r="A319" s="21">
        <f t="shared" si="1"/>
        <v>31</v>
      </c>
      <c r="B319" s="34" t="s">
        <v>104</v>
      </c>
      <c r="C319" s="23"/>
      <c r="D319" s="24"/>
      <c r="E319" s="25" t="s">
        <v>893</v>
      </c>
      <c r="F319" s="26" t="s">
        <v>888</v>
      </c>
      <c r="G319" s="27" t="s">
        <v>744</v>
      </c>
      <c r="H319" s="33"/>
      <c r="I319" s="29" t="s">
        <v>894</v>
      </c>
      <c r="J319" s="29" t="str">
        <f>IFERROR(__xludf.DUMMYFUNCTION("""COMPUTED_VALUE"""),"https://i.postimg.cc/0NH8mz6B/Green-Attacker.png")</f>
        <v>https://i.postimg.cc/0NH8mz6B/Green-Attacker.png</v>
      </c>
      <c r="K319" s="30" t="s">
        <v>104</v>
      </c>
      <c r="L319" s="30" t="str">
        <f>IFERROR(__xludf.DUMMYFUNCTION("""COMPUTED_VALUE"""),"3 Stars")</f>
        <v>3 Stars</v>
      </c>
      <c r="M319" s="31" t="str">
        <f>IFERROR(__xludf.DUMMYFUNCTION("""COMPUTED_VALUE"""),"Beginning of the Game")</f>
        <v>Beginning of the Game</v>
      </c>
      <c r="N319" s="32"/>
    </row>
    <row r="320" ht="112.5" customHeight="1">
      <c r="A320" s="21">
        <f t="shared" si="1"/>
        <v>30</v>
      </c>
      <c r="B320" s="34" t="s">
        <v>114</v>
      </c>
      <c r="C320" s="23"/>
      <c r="D320" s="24"/>
      <c r="E320" s="25" t="s">
        <v>895</v>
      </c>
      <c r="F320" s="26" t="s">
        <v>888</v>
      </c>
      <c r="G320" s="27" t="s">
        <v>514</v>
      </c>
      <c r="H320" s="33"/>
      <c r="I320" s="29" t="s">
        <v>896</v>
      </c>
      <c r="J320" s="29" t="str">
        <f>IFERROR(__xludf.DUMMYFUNCTION("""COMPUTED_VALUE"""),"https://i.postimg.cc/4NzNM4MY/Blue-Runner.png")</f>
        <v>https://i.postimg.cc/4NzNM4MY/Blue-Runner.png</v>
      </c>
      <c r="K320" s="30" t="s">
        <v>114</v>
      </c>
      <c r="L320" s="30" t="str">
        <f>IFERROR(__xludf.DUMMYFUNCTION("""COMPUTED_VALUE"""),"3 Stars")</f>
        <v>3 Stars</v>
      </c>
      <c r="M320" s="31" t="str">
        <f>IFERROR(__xludf.DUMMYFUNCTION("""COMPUTED_VALUE"""),"Beginning of the Game")</f>
        <v>Beginning of the Game</v>
      </c>
      <c r="N320" s="32"/>
    </row>
    <row r="321" ht="112.5" customHeight="1">
      <c r="A321" s="21">
        <f t="shared" si="1"/>
        <v>29</v>
      </c>
      <c r="B321" s="34" t="s">
        <v>10</v>
      </c>
      <c r="C321" s="23"/>
      <c r="D321" s="24"/>
      <c r="E321" s="25" t="s">
        <v>897</v>
      </c>
      <c r="F321" s="26" t="s">
        <v>888</v>
      </c>
      <c r="G321" s="27" t="s">
        <v>409</v>
      </c>
      <c r="H321" s="33"/>
      <c r="I321" s="29" t="s">
        <v>898</v>
      </c>
      <c r="J321" s="29" t="str">
        <f>IFERROR(__xludf.DUMMYFUNCTION("""COMPUTED_VALUE"""),"https://i.postimg.cc/PxgT30Qb/Green-Runner.png")</f>
        <v>https://i.postimg.cc/PxgT30Qb/Green-Runner.png</v>
      </c>
      <c r="K321" s="30" t="s">
        <v>10</v>
      </c>
      <c r="L321" s="30" t="str">
        <f>IFERROR(__xludf.DUMMYFUNCTION("""COMPUTED_VALUE"""),"3 Stars")</f>
        <v>3 Stars</v>
      </c>
      <c r="M321" s="31" t="str">
        <f>IFERROR(__xludf.DUMMYFUNCTION("""COMPUTED_VALUE"""),"Beginning of the Game")</f>
        <v>Beginning of the Game</v>
      </c>
      <c r="N321" s="32"/>
    </row>
    <row r="322" ht="112.5" customHeight="1">
      <c r="A322" s="21">
        <f t="shared" si="1"/>
        <v>28</v>
      </c>
      <c r="B322" s="34" t="s">
        <v>114</v>
      </c>
      <c r="C322" s="23"/>
      <c r="D322" s="24"/>
      <c r="E322" s="25" t="s">
        <v>899</v>
      </c>
      <c r="F322" s="26" t="s">
        <v>888</v>
      </c>
      <c r="G322" s="27" t="s">
        <v>498</v>
      </c>
      <c r="H322" s="33"/>
      <c r="I322" s="29" t="s">
        <v>900</v>
      </c>
      <c r="J322" s="29" t="str">
        <f>IFERROR(__xludf.DUMMYFUNCTION("""COMPUTED_VALUE"""),"https://i.postimg.cc/4NzNM4MY/Blue-Runner.png")</f>
        <v>https://i.postimg.cc/4NzNM4MY/Blue-Runner.png</v>
      </c>
      <c r="K322" s="30" t="s">
        <v>114</v>
      </c>
      <c r="L322" s="30" t="str">
        <f>IFERROR(__xludf.DUMMYFUNCTION("""COMPUTED_VALUE"""),"3 Stars")</f>
        <v>3 Stars</v>
      </c>
      <c r="M322" s="31" t="str">
        <f>IFERROR(__xludf.DUMMYFUNCTION("""COMPUTED_VALUE"""),"Beginning of the Game")</f>
        <v>Beginning of the Game</v>
      </c>
      <c r="N322" s="32"/>
    </row>
    <row r="323" ht="112.5" customHeight="1">
      <c r="A323" s="21">
        <f t="shared" si="1"/>
        <v>27</v>
      </c>
      <c r="B323" s="34" t="s">
        <v>104</v>
      </c>
      <c r="C323" s="23"/>
      <c r="D323" s="24"/>
      <c r="E323" s="25" t="s">
        <v>901</v>
      </c>
      <c r="F323" s="26" t="s">
        <v>888</v>
      </c>
      <c r="G323" s="27" t="s">
        <v>902</v>
      </c>
      <c r="H323" s="33"/>
      <c r="I323" s="29" t="s">
        <v>903</v>
      </c>
      <c r="J323" s="29" t="str">
        <f>IFERROR(__xludf.DUMMYFUNCTION("""COMPUTED_VALUE"""),"https://i.postimg.cc/0NH8mz6B/Green-Attacker.png")</f>
        <v>https://i.postimg.cc/0NH8mz6B/Green-Attacker.png</v>
      </c>
      <c r="K323" s="30" t="s">
        <v>104</v>
      </c>
      <c r="L323" s="30" t="str">
        <f>IFERROR(__xludf.DUMMYFUNCTION("""COMPUTED_VALUE"""),"3 Stars")</f>
        <v>3 Stars</v>
      </c>
      <c r="M323" s="31" t="str">
        <f>IFERROR(__xludf.DUMMYFUNCTION("""COMPUTED_VALUE"""),"Beginning of the Game")</f>
        <v>Beginning of the Game</v>
      </c>
      <c r="N323" s="32"/>
    </row>
    <row r="324" ht="112.5" customHeight="1">
      <c r="A324" s="21">
        <f t="shared" si="1"/>
        <v>26</v>
      </c>
      <c r="B324" s="34" t="s">
        <v>140</v>
      </c>
      <c r="C324" s="23"/>
      <c r="D324" s="24"/>
      <c r="E324" s="25" t="s">
        <v>904</v>
      </c>
      <c r="F324" s="26" t="s">
        <v>888</v>
      </c>
      <c r="G324" s="27" t="s">
        <v>905</v>
      </c>
      <c r="H324" s="33"/>
      <c r="I324" s="29" t="s">
        <v>906</v>
      </c>
      <c r="J324" s="29" t="str">
        <f>IFERROR(__xludf.DUMMYFUNCTION("""COMPUTED_VALUE"""),"https://i.postimg.cc/m2xg81dx/Blue-Defender.png")</f>
        <v>https://i.postimg.cc/m2xg81dx/Blue-Defender.png</v>
      </c>
      <c r="K324" s="30" t="s">
        <v>140</v>
      </c>
      <c r="L324" s="30" t="str">
        <f>IFERROR(__xludf.DUMMYFUNCTION("""COMPUTED_VALUE"""),"3 Stars")</f>
        <v>3 Stars</v>
      </c>
      <c r="M324" s="31" t="str">
        <f>IFERROR(__xludf.DUMMYFUNCTION("""COMPUTED_VALUE"""),"Beginning of the Game")</f>
        <v>Beginning of the Game</v>
      </c>
      <c r="N324" s="32"/>
    </row>
    <row r="325" ht="112.5" customHeight="1">
      <c r="A325" s="21">
        <f t="shared" si="1"/>
        <v>25</v>
      </c>
      <c r="B325" s="34" t="s">
        <v>35</v>
      </c>
      <c r="C325" s="23"/>
      <c r="D325" s="24"/>
      <c r="E325" s="25" t="s">
        <v>907</v>
      </c>
      <c r="F325" s="26" t="s">
        <v>888</v>
      </c>
      <c r="G325" s="27" t="s">
        <v>908</v>
      </c>
      <c r="H325" s="33"/>
      <c r="I325" s="29" t="s">
        <v>909</v>
      </c>
      <c r="J325" s="29" t="str">
        <f>IFERROR(__xludf.DUMMYFUNCTION("""COMPUTED_VALUE"""),"https://i.postimg.cc/L6B2DCYf/Red-Attacker.png")</f>
        <v>https://i.postimg.cc/L6B2DCYf/Red-Attacker.png</v>
      </c>
      <c r="K325" s="30" t="s">
        <v>35</v>
      </c>
      <c r="L325" s="30" t="str">
        <f>IFERROR(__xludf.DUMMYFUNCTION("""COMPUTED_VALUE"""),"3 Stars")</f>
        <v>3 Stars</v>
      </c>
      <c r="M325" s="31" t="str">
        <f>IFERROR(__xludf.DUMMYFUNCTION("""COMPUTED_VALUE"""),"Beginning of the Game")</f>
        <v>Beginning of the Game</v>
      </c>
      <c r="N325" s="32"/>
    </row>
    <row r="326" ht="112.5" customHeight="1">
      <c r="A326" s="21">
        <f t="shared" si="1"/>
        <v>24</v>
      </c>
      <c r="B326" s="34" t="s">
        <v>86</v>
      </c>
      <c r="C326" s="23"/>
      <c r="D326" s="24"/>
      <c r="E326" s="25" t="s">
        <v>910</v>
      </c>
      <c r="F326" s="26" t="s">
        <v>888</v>
      </c>
      <c r="G326" s="27" t="s">
        <v>911</v>
      </c>
      <c r="H326" s="33"/>
      <c r="I326" s="29" t="s">
        <v>912</v>
      </c>
      <c r="J326" s="29" t="str">
        <f>IFERROR(__xludf.DUMMYFUNCTION("""COMPUTED_VALUE"""),"https://i.postimg.cc/qRhpGpyM/Green-Defender.png")</f>
        <v>https://i.postimg.cc/qRhpGpyM/Green-Defender.png</v>
      </c>
      <c r="K326" s="30" t="s">
        <v>86</v>
      </c>
      <c r="L326" s="30" t="str">
        <f>IFERROR(__xludf.DUMMYFUNCTION("""COMPUTED_VALUE"""),"3 Stars")</f>
        <v>3 Stars</v>
      </c>
      <c r="M326" s="31" t="str">
        <f>IFERROR(__xludf.DUMMYFUNCTION("""COMPUTED_VALUE"""),"Beginning of the Game")</f>
        <v>Beginning of the Game</v>
      </c>
      <c r="N326" s="32"/>
    </row>
    <row r="327" ht="112.5" customHeight="1">
      <c r="A327" s="21">
        <f t="shared" si="1"/>
        <v>23</v>
      </c>
      <c r="B327" s="34" t="s">
        <v>35</v>
      </c>
      <c r="C327" s="23"/>
      <c r="D327" s="24"/>
      <c r="E327" s="25" t="s">
        <v>913</v>
      </c>
      <c r="F327" s="26" t="s">
        <v>888</v>
      </c>
      <c r="G327" s="27" t="s">
        <v>914</v>
      </c>
      <c r="H327" s="33"/>
      <c r="I327" s="29" t="s">
        <v>915</v>
      </c>
      <c r="J327" s="29" t="str">
        <f>IFERROR(__xludf.DUMMYFUNCTION("""COMPUTED_VALUE"""),"https://i.postimg.cc/L6B2DCYf/Red-Attacker.png")</f>
        <v>https://i.postimg.cc/L6B2DCYf/Red-Attacker.png</v>
      </c>
      <c r="K327" s="30" t="s">
        <v>35</v>
      </c>
      <c r="L327" s="30" t="str">
        <f>IFERROR(__xludf.DUMMYFUNCTION("""COMPUTED_VALUE"""),"3 Stars")</f>
        <v>3 Stars</v>
      </c>
      <c r="M327" s="31" t="str">
        <f>IFERROR(__xludf.DUMMYFUNCTION("""COMPUTED_VALUE"""),"Beginning of the Game")</f>
        <v>Beginning of the Game</v>
      </c>
      <c r="N327" s="32"/>
    </row>
    <row r="328" ht="112.5" customHeight="1">
      <c r="A328" s="21">
        <f t="shared" si="1"/>
        <v>22</v>
      </c>
      <c r="B328" s="34" t="s">
        <v>75</v>
      </c>
      <c r="C328" s="23"/>
      <c r="D328" s="24"/>
      <c r="E328" s="25" t="s">
        <v>916</v>
      </c>
      <c r="F328" s="26" t="s">
        <v>888</v>
      </c>
      <c r="G328" s="27" t="s">
        <v>542</v>
      </c>
      <c r="H328" s="33"/>
      <c r="I328" s="29" t="s">
        <v>917</v>
      </c>
      <c r="J328" s="29" t="str">
        <f>IFERROR(__xludf.DUMMYFUNCTION("""COMPUTED_VALUE"""),"https://i.postimg.cc/P5XhRWY7/Red-Defender.png")</f>
        <v>https://i.postimg.cc/P5XhRWY7/Red-Defender.png</v>
      </c>
      <c r="K328" s="30" t="s">
        <v>75</v>
      </c>
      <c r="L328" s="30" t="str">
        <f>IFERROR(__xludf.DUMMYFUNCTION("""COMPUTED_VALUE"""),"3 Stars")</f>
        <v>3 Stars</v>
      </c>
      <c r="M328" s="31" t="str">
        <f>IFERROR(__xludf.DUMMYFUNCTION("""COMPUTED_VALUE"""),"Beginning of the Game")</f>
        <v>Beginning of the Game</v>
      </c>
      <c r="N328" s="32"/>
    </row>
    <row r="329" ht="112.5" customHeight="1">
      <c r="A329" s="21">
        <f t="shared" si="1"/>
        <v>21</v>
      </c>
      <c r="B329" s="34" t="s">
        <v>104</v>
      </c>
      <c r="C329" s="23"/>
      <c r="D329" s="24"/>
      <c r="E329" s="25" t="s">
        <v>918</v>
      </c>
      <c r="F329" s="26" t="s">
        <v>888</v>
      </c>
      <c r="G329" s="27" t="s">
        <v>919</v>
      </c>
      <c r="H329" s="33"/>
      <c r="I329" s="29" t="s">
        <v>920</v>
      </c>
      <c r="J329" s="29" t="str">
        <f>IFERROR(__xludf.DUMMYFUNCTION("""COMPUTED_VALUE"""),"https://i.postimg.cc/0NH8mz6B/Green-Attacker.png")</f>
        <v>https://i.postimg.cc/0NH8mz6B/Green-Attacker.png</v>
      </c>
      <c r="K329" s="30" t="s">
        <v>104</v>
      </c>
      <c r="L329" s="30" t="str">
        <f>IFERROR(__xludf.DUMMYFUNCTION("""COMPUTED_VALUE"""),"3 Stars")</f>
        <v>3 Stars</v>
      </c>
      <c r="M329" s="31" t="str">
        <f>IFERROR(__xludf.DUMMYFUNCTION("""COMPUTED_VALUE"""),"Beginning of the Game")</f>
        <v>Beginning of the Game</v>
      </c>
      <c r="N329" s="32"/>
    </row>
    <row r="330" ht="112.5" customHeight="1">
      <c r="A330" s="21">
        <f t="shared" si="1"/>
        <v>20</v>
      </c>
      <c r="B330" s="34" t="s">
        <v>24</v>
      </c>
      <c r="C330" s="23"/>
      <c r="D330" s="24"/>
      <c r="E330" s="25" t="s">
        <v>921</v>
      </c>
      <c r="F330" s="26" t="s">
        <v>888</v>
      </c>
      <c r="G330" s="27" t="s">
        <v>922</v>
      </c>
      <c r="H330" s="33"/>
      <c r="I330" s="29" t="s">
        <v>923</v>
      </c>
      <c r="J330" s="29" t="str">
        <f>IFERROR(__xludf.DUMMYFUNCTION("""COMPUTED_VALUE"""),"https://i.postimg.cc/Hk6HDrtk/Red-Runner.png")</f>
        <v>https://i.postimg.cc/Hk6HDrtk/Red-Runner.png</v>
      </c>
      <c r="K330" s="30" t="s">
        <v>24</v>
      </c>
      <c r="L330" s="30" t="str">
        <f>IFERROR(__xludf.DUMMYFUNCTION("""COMPUTED_VALUE"""),"3 Stars")</f>
        <v>3 Stars</v>
      </c>
      <c r="M330" s="31" t="str">
        <f>IFERROR(__xludf.DUMMYFUNCTION("""COMPUTED_VALUE"""),"Beginning of the Game")</f>
        <v>Beginning of the Game</v>
      </c>
      <c r="N330" s="32"/>
    </row>
    <row r="331" ht="112.5" customHeight="1">
      <c r="A331" s="21">
        <f t="shared" si="1"/>
        <v>19</v>
      </c>
      <c r="B331" s="34" t="s">
        <v>114</v>
      </c>
      <c r="C331" s="23"/>
      <c r="D331" s="24"/>
      <c r="E331" s="25" t="s">
        <v>924</v>
      </c>
      <c r="F331" s="26" t="s">
        <v>101</v>
      </c>
      <c r="G331" s="27" t="s">
        <v>925</v>
      </c>
      <c r="H331" s="33"/>
      <c r="I331" s="29" t="s">
        <v>926</v>
      </c>
      <c r="J331" s="29" t="str">
        <f>IFERROR(__xludf.DUMMYFUNCTION("""COMPUTED_VALUE"""),"https://i.postimg.cc/4NzNM4MY/Blue-Runner.png")</f>
        <v>https://i.postimg.cc/4NzNM4MY/Blue-Runner.png</v>
      </c>
      <c r="K331" s="30" t="s">
        <v>114</v>
      </c>
      <c r="L331" s="30" t="str">
        <f>IFERROR(__xludf.DUMMYFUNCTION("""COMPUTED_VALUE"""),"2 Stars")</f>
        <v>2 Stars</v>
      </c>
      <c r="M331" s="31" t="str">
        <f>IFERROR(__xludf.DUMMYFUNCTION("""COMPUTED_VALUE"""),"Beginning of the Game")</f>
        <v>Beginning of the Game</v>
      </c>
      <c r="N331" s="32"/>
    </row>
    <row r="332" ht="112.5" customHeight="1">
      <c r="A332" s="21">
        <f t="shared" si="1"/>
        <v>18</v>
      </c>
      <c r="B332" s="34" t="s">
        <v>24</v>
      </c>
      <c r="C332" s="23"/>
      <c r="D332" s="24"/>
      <c r="E332" s="25" t="s">
        <v>927</v>
      </c>
      <c r="F332" s="26" t="s">
        <v>101</v>
      </c>
      <c r="G332" s="27" t="s">
        <v>925</v>
      </c>
      <c r="H332" s="33"/>
      <c r="I332" s="29" t="s">
        <v>928</v>
      </c>
      <c r="J332" s="29" t="str">
        <f>IFERROR(__xludf.DUMMYFUNCTION("""COMPUTED_VALUE"""),"https://i.postimg.cc/Hk6HDrtk/Red-Runner.png")</f>
        <v>https://i.postimg.cc/Hk6HDrtk/Red-Runner.png</v>
      </c>
      <c r="K332" s="30" t="s">
        <v>24</v>
      </c>
      <c r="L332" s="30" t="str">
        <f>IFERROR(__xludf.DUMMYFUNCTION("""COMPUTED_VALUE"""),"2 Stars")</f>
        <v>2 Stars</v>
      </c>
      <c r="M332" s="31" t="str">
        <f>IFERROR(__xludf.DUMMYFUNCTION("""COMPUTED_VALUE"""),"Beginning of the Game")</f>
        <v>Beginning of the Game</v>
      </c>
      <c r="N332" s="32"/>
    </row>
    <row r="333" ht="112.5" customHeight="1">
      <c r="A333" s="21">
        <f t="shared" si="1"/>
        <v>17</v>
      </c>
      <c r="B333" s="34" t="s">
        <v>140</v>
      </c>
      <c r="C333" s="23"/>
      <c r="D333" s="24"/>
      <c r="E333" s="25" t="s">
        <v>929</v>
      </c>
      <c r="F333" s="26" t="s">
        <v>101</v>
      </c>
      <c r="G333" s="27" t="s">
        <v>542</v>
      </c>
      <c r="H333" s="33"/>
      <c r="I333" s="29" t="s">
        <v>930</v>
      </c>
      <c r="J333" s="29" t="str">
        <f>IFERROR(__xludf.DUMMYFUNCTION("""COMPUTED_VALUE"""),"https://i.postimg.cc/m2xg81dx/Blue-Defender.png")</f>
        <v>https://i.postimg.cc/m2xg81dx/Blue-Defender.png</v>
      </c>
      <c r="K333" s="30" t="s">
        <v>140</v>
      </c>
      <c r="L333" s="30" t="str">
        <f>IFERROR(__xludf.DUMMYFUNCTION("""COMPUTED_VALUE"""),"2 Stars")</f>
        <v>2 Stars</v>
      </c>
      <c r="M333" s="31" t="str">
        <f>IFERROR(__xludf.DUMMYFUNCTION("""COMPUTED_VALUE"""),"Beginning of the Game")</f>
        <v>Beginning of the Game</v>
      </c>
      <c r="N333" s="32"/>
    </row>
    <row r="334" ht="112.5" customHeight="1">
      <c r="A334" s="21">
        <f t="shared" si="1"/>
        <v>16</v>
      </c>
      <c r="B334" s="34" t="s">
        <v>75</v>
      </c>
      <c r="C334" s="23"/>
      <c r="D334" s="24"/>
      <c r="E334" s="25" t="s">
        <v>931</v>
      </c>
      <c r="F334" s="26" t="s">
        <v>101</v>
      </c>
      <c r="G334" s="27" t="s">
        <v>919</v>
      </c>
      <c r="H334" s="33"/>
      <c r="I334" s="29" t="s">
        <v>932</v>
      </c>
      <c r="J334" s="29" t="str">
        <f>IFERROR(__xludf.DUMMYFUNCTION("""COMPUTED_VALUE"""),"https://i.postimg.cc/P5XhRWY7/Red-Defender.png")</f>
        <v>https://i.postimg.cc/P5XhRWY7/Red-Defender.png</v>
      </c>
      <c r="K334" s="30" t="s">
        <v>75</v>
      </c>
      <c r="L334" s="30" t="str">
        <f>IFERROR(__xludf.DUMMYFUNCTION("""COMPUTED_VALUE"""),"2 Stars")</f>
        <v>2 Stars</v>
      </c>
      <c r="M334" s="31" t="str">
        <f>IFERROR(__xludf.DUMMYFUNCTION("""COMPUTED_VALUE"""),"Beginning of the Game")</f>
        <v>Beginning of the Game</v>
      </c>
      <c r="N334" s="32"/>
    </row>
    <row r="335" ht="112.5" customHeight="1">
      <c r="A335" s="21">
        <f t="shared" si="1"/>
        <v>15</v>
      </c>
      <c r="B335" s="34" t="s">
        <v>10</v>
      </c>
      <c r="C335" s="23"/>
      <c r="D335" s="24"/>
      <c r="E335" s="25" t="s">
        <v>933</v>
      </c>
      <c r="F335" s="26" t="s">
        <v>101</v>
      </c>
      <c r="G335" s="27" t="s">
        <v>925</v>
      </c>
      <c r="H335" s="33"/>
      <c r="I335" s="29" t="s">
        <v>934</v>
      </c>
      <c r="J335" s="29" t="str">
        <f>IFERROR(__xludf.DUMMYFUNCTION("""COMPUTED_VALUE"""),"https://i.postimg.cc/PxgT30Qb/Green-Runner.png")</f>
        <v>https://i.postimg.cc/PxgT30Qb/Green-Runner.png</v>
      </c>
      <c r="K335" s="30" t="s">
        <v>10</v>
      </c>
      <c r="L335" s="30" t="str">
        <f>IFERROR(__xludf.DUMMYFUNCTION("""COMPUTED_VALUE"""),"2 Stars")</f>
        <v>2 Stars</v>
      </c>
      <c r="M335" s="31" t="str">
        <f>IFERROR(__xludf.DUMMYFUNCTION("""COMPUTED_VALUE"""),"Beginning of the Game")</f>
        <v>Beginning of the Game</v>
      </c>
      <c r="N335" s="32"/>
    </row>
    <row r="336" ht="112.5" customHeight="1">
      <c r="A336" s="21">
        <f t="shared" si="1"/>
        <v>14</v>
      </c>
      <c r="B336" s="34" t="s">
        <v>140</v>
      </c>
      <c r="C336" s="23"/>
      <c r="D336" s="24"/>
      <c r="E336" s="25" t="s">
        <v>935</v>
      </c>
      <c r="F336" s="26" t="s">
        <v>101</v>
      </c>
      <c r="G336" s="27" t="s">
        <v>936</v>
      </c>
      <c r="H336" s="33"/>
      <c r="I336" s="29" t="s">
        <v>937</v>
      </c>
      <c r="J336" s="29" t="str">
        <f>IFERROR(__xludf.DUMMYFUNCTION("""COMPUTED_VALUE"""),"https://i.postimg.cc/m2xg81dx/Blue-Defender.png")</f>
        <v>https://i.postimg.cc/m2xg81dx/Blue-Defender.png</v>
      </c>
      <c r="K336" s="30" t="s">
        <v>140</v>
      </c>
      <c r="L336" s="30" t="str">
        <f>IFERROR(__xludf.DUMMYFUNCTION("""COMPUTED_VALUE"""),"2 Stars")</f>
        <v>2 Stars</v>
      </c>
      <c r="M336" s="31" t="str">
        <f>IFERROR(__xludf.DUMMYFUNCTION("""COMPUTED_VALUE"""),"Beginning of the Game")</f>
        <v>Beginning of the Game</v>
      </c>
      <c r="N336" s="32"/>
    </row>
    <row r="337" ht="112.5" customHeight="1">
      <c r="A337" s="21">
        <f t="shared" si="1"/>
        <v>13</v>
      </c>
      <c r="B337" s="34" t="s">
        <v>10</v>
      </c>
      <c r="C337" s="23"/>
      <c r="D337" s="24"/>
      <c r="E337" s="25" t="s">
        <v>938</v>
      </c>
      <c r="F337" s="26" t="s">
        <v>101</v>
      </c>
      <c r="G337" s="27" t="s">
        <v>939</v>
      </c>
      <c r="H337" s="33"/>
      <c r="I337" s="29" t="s">
        <v>940</v>
      </c>
      <c r="J337" s="29" t="str">
        <f>IFERROR(__xludf.DUMMYFUNCTION("""COMPUTED_VALUE"""),"https://i.postimg.cc/PxgT30Qb/Green-Runner.png")</f>
        <v>https://i.postimg.cc/PxgT30Qb/Green-Runner.png</v>
      </c>
      <c r="K337" s="30" t="s">
        <v>10</v>
      </c>
      <c r="L337" s="30" t="str">
        <f>IFERROR(__xludf.DUMMYFUNCTION("""COMPUTED_VALUE"""),"2 Stars")</f>
        <v>2 Stars</v>
      </c>
      <c r="M337" s="31" t="str">
        <f>IFERROR(__xludf.DUMMYFUNCTION("""COMPUTED_VALUE"""),"Beginning of the Game")</f>
        <v>Beginning of the Game</v>
      </c>
      <c r="N337" s="32"/>
    </row>
    <row r="338" ht="112.5" customHeight="1">
      <c r="A338" s="21">
        <f t="shared" si="1"/>
        <v>12</v>
      </c>
      <c r="B338" s="34" t="s">
        <v>86</v>
      </c>
      <c r="C338" s="23"/>
      <c r="D338" s="24"/>
      <c r="E338" s="25" t="s">
        <v>941</v>
      </c>
      <c r="F338" s="26" t="s">
        <v>101</v>
      </c>
      <c r="G338" s="27" t="s">
        <v>911</v>
      </c>
      <c r="H338" s="33"/>
      <c r="I338" s="29" t="s">
        <v>942</v>
      </c>
      <c r="J338" s="29" t="str">
        <f>IFERROR(__xludf.DUMMYFUNCTION("""COMPUTED_VALUE"""),"https://i.postimg.cc/qRhpGpyM/Green-Defender.png")</f>
        <v>https://i.postimg.cc/qRhpGpyM/Green-Defender.png</v>
      </c>
      <c r="K338" s="30" t="s">
        <v>86</v>
      </c>
      <c r="L338" s="30" t="str">
        <f>IFERROR(__xludf.DUMMYFUNCTION("""COMPUTED_VALUE"""),"2 Stars")</f>
        <v>2 Stars</v>
      </c>
      <c r="M338" s="31" t="str">
        <f>IFERROR(__xludf.DUMMYFUNCTION("""COMPUTED_VALUE"""),"Beginning of the Game")</f>
        <v>Beginning of the Game</v>
      </c>
      <c r="N338" s="32"/>
    </row>
    <row r="339" ht="112.5" customHeight="1">
      <c r="A339" s="21">
        <f t="shared" si="1"/>
        <v>11</v>
      </c>
      <c r="B339" s="34" t="s">
        <v>75</v>
      </c>
      <c r="C339" s="23"/>
      <c r="D339" s="24"/>
      <c r="E339" s="25" t="s">
        <v>943</v>
      </c>
      <c r="F339" s="26" t="s">
        <v>101</v>
      </c>
      <c r="G339" s="27" t="s">
        <v>542</v>
      </c>
      <c r="H339" s="33"/>
      <c r="I339" s="29" t="s">
        <v>944</v>
      </c>
      <c r="J339" s="29" t="str">
        <f>IFERROR(__xludf.DUMMYFUNCTION("""COMPUTED_VALUE"""),"https://i.postimg.cc/P5XhRWY7/Red-Defender.png")</f>
        <v>https://i.postimg.cc/P5XhRWY7/Red-Defender.png</v>
      </c>
      <c r="K339" s="30" t="s">
        <v>75</v>
      </c>
      <c r="L339" s="30" t="str">
        <f>IFERROR(__xludf.DUMMYFUNCTION("""COMPUTED_VALUE"""),"2 Stars")</f>
        <v>2 Stars</v>
      </c>
      <c r="M339" s="31" t="str">
        <f>IFERROR(__xludf.DUMMYFUNCTION("""COMPUTED_VALUE"""),"Beginning of the Game")</f>
        <v>Beginning of the Game</v>
      </c>
      <c r="N339" s="32"/>
    </row>
    <row r="340" ht="112.5" customHeight="1">
      <c r="A340" s="21">
        <f t="shared" si="1"/>
        <v>10</v>
      </c>
      <c r="B340" s="34" t="s">
        <v>35</v>
      </c>
      <c r="C340" s="23"/>
      <c r="D340" s="24"/>
      <c r="E340" s="25" t="s">
        <v>945</v>
      </c>
      <c r="F340" s="26" t="s">
        <v>101</v>
      </c>
      <c r="G340" s="27" t="s">
        <v>914</v>
      </c>
      <c r="H340" s="33"/>
      <c r="I340" s="29" t="s">
        <v>946</v>
      </c>
      <c r="J340" s="29" t="str">
        <f>IFERROR(__xludf.DUMMYFUNCTION("""COMPUTED_VALUE"""),"https://i.postimg.cc/L6B2DCYf/Red-Attacker.png")</f>
        <v>https://i.postimg.cc/L6B2DCYf/Red-Attacker.png</v>
      </c>
      <c r="K340" s="30" t="s">
        <v>35</v>
      </c>
      <c r="L340" s="30" t="str">
        <f>IFERROR(__xludf.DUMMYFUNCTION("""COMPUTED_VALUE"""),"2 Stars")</f>
        <v>2 Stars</v>
      </c>
      <c r="M340" s="31" t="str">
        <f>IFERROR(__xludf.DUMMYFUNCTION("""COMPUTED_VALUE"""),"Beginning of the Game")</f>
        <v>Beginning of the Game</v>
      </c>
      <c r="N340" s="32"/>
    </row>
    <row r="341" ht="112.5" customHeight="1">
      <c r="A341" s="21">
        <f t="shared" si="1"/>
        <v>9</v>
      </c>
      <c r="B341" s="34" t="s">
        <v>10</v>
      </c>
      <c r="C341" s="23"/>
      <c r="D341" s="24"/>
      <c r="E341" s="25" t="s">
        <v>947</v>
      </c>
      <c r="F341" s="26" t="s">
        <v>101</v>
      </c>
      <c r="G341" s="27" t="s">
        <v>948</v>
      </c>
      <c r="H341" s="33"/>
      <c r="I341" s="29" t="s">
        <v>949</v>
      </c>
      <c r="J341" s="29" t="str">
        <f>IFERROR(__xludf.DUMMYFUNCTION("""COMPUTED_VALUE"""),"https://i.postimg.cc/PxgT30Qb/Green-Runner.png")</f>
        <v>https://i.postimg.cc/PxgT30Qb/Green-Runner.png</v>
      </c>
      <c r="K341" s="30" t="s">
        <v>10</v>
      </c>
      <c r="L341" s="30" t="str">
        <f>IFERROR(__xludf.DUMMYFUNCTION("""COMPUTED_VALUE"""),"2 Stars")</f>
        <v>2 Stars</v>
      </c>
      <c r="M341" s="31" t="str">
        <f>IFERROR(__xludf.DUMMYFUNCTION("""COMPUTED_VALUE"""),"Beginning of the Game")</f>
        <v>Beginning of the Game</v>
      </c>
      <c r="N341" s="32"/>
    </row>
    <row r="342" ht="112.5" customHeight="1">
      <c r="A342" s="21">
        <f t="shared" si="1"/>
        <v>8</v>
      </c>
      <c r="B342" s="34" t="s">
        <v>75</v>
      </c>
      <c r="C342" s="23"/>
      <c r="D342" s="24"/>
      <c r="E342" s="25" t="s">
        <v>950</v>
      </c>
      <c r="F342" s="26" t="s">
        <v>101</v>
      </c>
      <c r="G342" s="27" t="s">
        <v>889</v>
      </c>
      <c r="H342" s="33"/>
      <c r="I342" s="29" t="s">
        <v>951</v>
      </c>
      <c r="J342" s="29" t="str">
        <f>IFERROR(__xludf.DUMMYFUNCTION("""COMPUTED_VALUE"""),"https://i.postimg.cc/P5XhRWY7/Red-Defender.png")</f>
        <v>https://i.postimg.cc/P5XhRWY7/Red-Defender.png</v>
      </c>
      <c r="K342" s="30" t="s">
        <v>75</v>
      </c>
      <c r="L342" s="30" t="str">
        <f>IFERROR(__xludf.DUMMYFUNCTION("""COMPUTED_VALUE"""),"2 Stars")</f>
        <v>2 Stars</v>
      </c>
      <c r="M342" s="31" t="str">
        <f>IFERROR(__xludf.DUMMYFUNCTION("""COMPUTED_VALUE"""),"Beginning of the Game")</f>
        <v>Beginning of the Game</v>
      </c>
      <c r="N342" s="32"/>
    </row>
    <row r="343" ht="112.5" customHeight="1">
      <c r="A343" s="21">
        <f t="shared" si="1"/>
        <v>7</v>
      </c>
      <c r="B343" s="34" t="s">
        <v>104</v>
      </c>
      <c r="C343" s="23"/>
      <c r="D343" s="24"/>
      <c r="E343" s="25" t="s">
        <v>952</v>
      </c>
      <c r="F343" s="26" t="s">
        <v>101</v>
      </c>
      <c r="G343" s="27" t="s">
        <v>953</v>
      </c>
      <c r="H343" s="33"/>
      <c r="I343" s="29" t="s">
        <v>954</v>
      </c>
      <c r="J343" s="29" t="str">
        <f>IFERROR(__xludf.DUMMYFUNCTION("""COMPUTED_VALUE"""),"https://i.postimg.cc/0NH8mz6B/Green-Attacker.png")</f>
        <v>https://i.postimg.cc/0NH8mz6B/Green-Attacker.png</v>
      </c>
      <c r="K343" s="30" t="s">
        <v>104</v>
      </c>
      <c r="L343" s="30" t="str">
        <f>IFERROR(__xludf.DUMMYFUNCTION("""COMPUTED_VALUE"""),"2 Stars")</f>
        <v>2 Stars</v>
      </c>
      <c r="M343" s="31" t="str">
        <f>IFERROR(__xludf.DUMMYFUNCTION("""COMPUTED_VALUE"""),"Beginning of the Game")</f>
        <v>Beginning of the Game</v>
      </c>
      <c r="N343" s="32"/>
    </row>
    <row r="344" ht="112.5" customHeight="1">
      <c r="A344" s="21">
        <f t="shared" si="1"/>
        <v>6</v>
      </c>
      <c r="B344" s="34" t="s">
        <v>24</v>
      </c>
      <c r="C344" s="23"/>
      <c r="D344" s="24"/>
      <c r="E344" s="25" t="s">
        <v>955</v>
      </c>
      <c r="F344" s="26" t="s">
        <v>101</v>
      </c>
      <c r="G344" s="27" t="s">
        <v>956</v>
      </c>
      <c r="H344" s="33"/>
      <c r="I344" s="29" t="s">
        <v>957</v>
      </c>
      <c r="J344" s="29" t="str">
        <f>IFERROR(__xludf.DUMMYFUNCTION("""COMPUTED_VALUE"""),"https://i.postimg.cc/Hk6HDrtk/Red-Runner.png")</f>
        <v>https://i.postimg.cc/Hk6HDrtk/Red-Runner.png</v>
      </c>
      <c r="K344" s="30" t="s">
        <v>24</v>
      </c>
      <c r="L344" s="30" t="str">
        <f>IFERROR(__xludf.DUMMYFUNCTION("""COMPUTED_VALUE"""),"2 Stars")</f>
        <v>2 Stars</v>
      </c>
      <c r="M344" s="31" t="str">
        <f>IFERROR(__xludf.DUMMYFUNCTION("""COMPUTED_VALUE"""),"Beginning of the Game")</f>
        <v>Beginning of the Game</v>
      </c>
      <c r="N344" s="32"/>
    </row>
    <row r="345" ht="112.5" customHeight="1">
      <c r="A345" s="21">
        <f t="shared" si="1"/>
        <v>5</v>
      </c>
      <c r="B345" s="34" t="s">
        <v>212</v>
      </c>
      <c r="C345" s="23"/>
      <c r="D345" s="24"/>
      <c r="E345" s="25" t="s">
        <v>958</v>
      </c>
      <c r="F345" s="26" t="s">
        <v>101</v>
      </c>
      <c r="G345" s="27" t="s">
        <v>959</v>
      </c>
      <c r="H345" s="33"/>
      <c r="I345" s="29" t="s">
        <v>960</v>
      </c>
      <c r="J345" s="29" t="str">
        <f>IFERROR(__xludf.DUMMYFUNCTION("""COMPUTED_VALUE"""),"https://i.postimg.cc/1zRtDxvf/Blue-Attacker.png")</f>
        <v>https://i.postimg.cc/1zRtDxvf/Blue-Attacker.png</v>
      </c>
      <c r="K345" s="30" t="s">
        <v>212</v>
      </c>
      <c r="L345" s="30" t="str">
        <f>IFERROR(__xludf.DUMMYFUNCTION("""COMPUTED_VALUE"""),"2 Stars")</f>
        <v>2 Stars</v>
      </c>
      <c r="M345" s="31" t="str">
        <f>IFERROR(__xludf.DUMMYFUNCTION("""COMPUTED_VALUE"""),"Beginning of the Game")</f>
        <v>Beginning of the Game</v>
      </c>
      <c r="N345" s="32"/>
    </row>
    <row r="346" ht="112.5" customHeight="1">
      <c r="A346" s="21">
        <f t="shared" si="1"/>
        <v>4</v>
      </c>
      <c r="B346" s="34" t="s">
        <v>114</v>
      </c>
      <c r="C346" s="23"/>
      <c r="D346" s="24"/>
      <c r="E346" s="25" t="s">
        <v>961</v>
      </c>
      <c r="F346" s="26" t="s">
        <v>101</v>
      </c>
      <c r="G346" s="27" t="s">
        <v>962</v>
      </c>
      <c r="H346" s="33"/>
      <c r="I346" s="29" t="s">
        <v>963</v>
      </c>
      <c r="J346" s="29" t="str">
        <f>IFERROR(__xludf.DUMMYFUNCTION("""COMPUTED_VALUE"""),"https://i.postimg.cc/4NzNM4MY/Blue-Runner.png")</f>
        <v>https://i.postimg.cc/4NzNM4MY/Blue-Runner.png</v>
      </c>
      <c r="K346" s="30" t="s">
        <v>114</v>
      </c>
      <c r="L346" s="30" t="str">
        <f>IFERROR(__xludf.DUMMYFUNCTION("""COMPUTED_VALUE"""),"2 Stars")</f>
        <v>2 Stars</v>
      </c>
      <c r="M346" s="31" t="str">
        <f>IFERROR(__xludf.DUMMYFUNCTION("""COMPUTED_VALUE"""),"Beginning of the Game")</f>
        <v>Beginning of the Game</v>
      </c>
      <c r="N346" s="32"/>
    </row>
    <row r="347" ht="112.5" customHeight="1">
      <c r="A347" s="21">
        <f t="shared" si="1"/>
        <v>3</v>
      </c>
      <c r="B347" s="34" t="s">
        <v>10</v>
      </c>
      <c r="C347" s="23"/>
      <c r="D347" s="24"/>
      <c r="E347" s="25" t="s">
        <v>964</v>
      </c>
      <c r="F347" s="26" t="s">
        <v>101</v>
      </c>
      <c r="G347" s="27" t="s">
        <v>965</v>
      </c>
      <c r="H347" s="33"/>
      <c r="I347" s="29" t="s">
        <v>966</v>
      </c>
      <c r="J347" s="29" t="str">
        <f>IFERROR(__xludf.DUMMYFUNCTION("""COMPUTED_VALUE"""),"https://i.postimg.cc/PxgT30Qb/Green-Runner.png")</f>
        <v>https://i.postimg.cc/PxgT30Qb/Green-Runner.png</v>
      </c>
      <c r="K347" s="30" t="s">
        <v>10</v>
      </c>
      <c r="L347" s="30" t="str">
        <f>IFERROR(__xludf.DUMMYFUNCTION("""COMPUTED_VALUE"""),"2 Stars")</f>
        <v>2 Stars</v>
      </c>
      <c r="M347" s="31" t="str">
        <f>IFERROR(__xludf.DUMMYFUNCTION("""COMPUTED_VALUE"""),"Beginning of the Game")</f>
        <v>Beginning of the Game</v>
      </c>
      <c r="N347" s="32"/>
    </row>
    <row r="348" ht="112.5" customHeight="1">
      <c r="A348" s="21">
        <f t="shared" si="1"/>
        <v>2</v>
      </c>
      <c r="B348" s="43" t="s">
        <v>86</v>
      </c>
      <c r="C348" s="23"/>
      <c r="D348" s="24"/>
      <c r="E348" s="25" t="s">
        <v>967</v>
      </c>
      <c r="F348" s="26" t="s">
        <v>101</v>
      </c>
      <c r="G348" s="27" t="s">
        <v>959</v>
      </c>
      <c r="H348" s="33"/>
      <c r="I348" s="29" t="s">
        <v>968</v>
      </c>
      <c r="J348" s="29" t="str">
        <f>IFERROR(__xludf.DUMMYFUNCTION("""COMPUTED_VALUE"""),"https://i.postimg.cc/qRhpGpyM/Green-Defender.png")</f>
        <v>https://i.postimg.cc/qRhpGpyM/Green-Defender.png</v>
      </c>
      <c r="K348" s="30" t="s">
        <v>86</v>
      </c>
      <c r="L348" s="30" t="str">
        <f>IFERROR(__xludf.DUMMYFUNCTION("""COMPUTED_VALUE"""),"2 Stars")</f>
        <v>2 Stars</v>
      </c>
      <c r="M348" s="31" t="str">
        <f>IFERROR(__xludf.DUMMYFUNCTION("""COMPUTED_VALUE"""),"Beginning of the Game")</f>
        <v>Beginning of the Game</v>
      </c>
      <c r="N348" s="32"/>
    </row>
    <row r="349" ht="112.5" customHeight="1">
      <c r="A349" s="21">
        <f>1</f>
        <v>1</v>
      </c>
      <c r="B349" s="44" t="s">
        <v>35</v>
      </c>
      <c r="C349" s="45"/>
      <c r="D349" s="24"/>
      <c r="E349" s="25" t="s">
        <v>969</v>
      </c>
      <c r="F349" s="26" t="s">
        <v>101</v>
      </c>
      <c r="G349" s="27" t="s">
        <v>970</v>
      </c>
      <c r="H349" s="37"/>
      <c r="I349" s="29" t="s">
        <v>971</v>
      </c>
      <c r="J349" s="29" t="str">
        <f>IFERROR(__xludf.DUMMYFUNCTION("""COMPUTED_VALUE"""),"https://i.postimg.cc/L6B2DCYf/Red-Attacker.png")</f>
        <v>https://i.postimg.cc/L6B2DCYf/Red-Attacker.png</v>
      </c>
      <c r="K349" s="30" t="s">
        <v>35</v>
      </c>
      <c r="L349" s="30" t="str">
        <f>IFERROR(__xludf.DUMMYFUNCTION("""COMPUTED_VALUE"""),"2 Stars")</f>
        <v>2 Stars</v>
      </c>
      <c r="M349" s="31" t="str">
        <f>IFERROR(__xludf.DUMMYFUNCTION("""COMPUTED_VALUE"""),"Beginning of the Game")</f>
        <v>Beginning of the Game</v>
      </c>
      <c r="N349" s="32"/>
    </row>
    <row r="350" ht="37.5" customHeight="1">
      <c r="A350" s="46"/>
      <c r="B350" s="47"/>
      <c r="C350" s="48" t="s">
        <v>972</v>
      </c>
      <c r="D350" s="49" t="s">
        <v>972</v>
      </c>
      <c r="E350" s="50"/>
      <c r="F350" s="51"/>
      <c r="G350" s="52"/>
      <c r="H350" s="53"/>
      <c r="I350" s="5"/>
      <c r="J350" s="54"/>
      <c r="K350" s="55"/>
      <c r="L350" s="55"/>
      <c r="M350" s="20"/>
      <c r="N350" s="32"/>
    </row>
  </sheetData>
  <mergeCells count="86">
    <mergeCell ref="H188:H189"/>
    <mergeCell ref="H192:H193"/>
    <mergeCell ref="H197:H200"/>
    <mergeCell ref="H202:H203"/>
    <mergeCell ref="H204:H205"/>
    <mergeCell ref="H208:H209"/>
    <mergeCell ref="H211:H212"/>
    <mergeCell ref="H215:H216"/>
    <mergeCell ref="H218:H219"/>
    <mergeCell ref="H220:H221"/>
    <mergeCell ref="H224:H225"/>
    <mergeCell ref="H226:H227"/>
    <mergeCell ref="H229:H230"/>
    <mergeCell ref="H232:H233"/>
    <mergeCell ref="H235:H236"/>
    <mergeCell ref="H238:H239"/>
    <mergeCell ref="H241:H242"/>
    <mergeCell ref="H245:H246"/>
    <mergeCell ref="H248:H249"/>
    <mergeCell ref="H253:H254"/>
    <mergeCell ref="H257:H258"/>
    <mergeCell ref="H260:H261"/>
    <mergeCell ref="H262:H263"/>
    <mergeCell ref="H264:H265"/>
    <mergeCell ref="H267:H268"/>
    <mergeCell ref="H269:H270"/>
    <mergeCell ref="H272:H273"/>
    <mergeCell ref="H274:H275"/>
    <mergeCell ref="H302:H303"/>
    <mergeCell ref="H304:H349"/>
    <mergeCell ref="H276:H277"/>
    <mergeCell ref="H283:H284"/>
    <mergeCell ref="H291:H292"/>
    <mergeCell ref="H294:H295"/>
    <mergeCell ref="H296:H297"/>
    <mergeCell ref="H298:H299"/>
    <mergeCell ref="H300:H301"/>
    <mergeCell ref="A1:L1"/>
    <mergeCell ref="A2:H2"/>
    <mergeCell ref="A3:H3"/>
    <mergeCell ref="A4:H4"/>
    <mergeCell ref="A5:L5"/>
    <mergeCell ref="H7:H8"/>
    <mergeCell ref="H13:H14"/>
    <mergeCell ref="H15:H16"/>
    <mergeCell ref="H18:H19"/>
    <mergeCell ref="H22:H23"/>
    <mergeCell ref="H24:H25"/>
    <mergeCell ref="H28:H29"/>
    <mergeCell ref="H30:H31"/>
    <mergeCell ref="H33:H34"/>
    <mergeCell ref="H35:H37"/>
    <mergeCell ref="H45:H46"/>
    <mergeCell ref="H52:H53"/>
    <mergeCell ref="H56:H57"/>
    <mergeCell ref="H58:H59"/>
    <mergeCell ref="H60:H61"/>
    <mergeCell ref="H64:H65"/>
    <mergeCell ref="H67:H68"/>
    <mergeCell ref="H70:H71"/>
    <mergeCell ref="H76:H77"/>
    <mergeCell ref="H79:H80"/>
    <mergeCell ref="H82:H83"/>
    <mergeCell ref="H86:H87"/>
    <mergeCell ref="H92:H93"/>
    <mergeCell ref="H98:H99"/>
    <mergeCell ref="H101:H102"/>
    <mergeCell ref="H106:H107"/>
    <mergeCell ref="H110:H111"/>
    <mergeCell ref="H113:H114"/>
    <mergeCell ref="H118:H119"/>
    <mergeCell ref="H124:H125"/>
    <mergeCell ref="H127:H128"/>
    <mergeCell ref="H131:H132"/>
    <mergeCell ref="H133:H134"/>
    <mergeCell ref="H139:H140"/>
    <mergeCell ref="H141:H142"/>
    <mergeCell ref="H146:H147"/>
    <mergeCell ref="H150:H151"/>
    <mergeCell ref="H154:H155"/>
    <mergeCell ref="H162:H163"/>
    <mergeCell ref="H166:H167"/>
    <mergeCell ref="H170:H172"/>
    <mergeCell ref="H175:H176"/>
    <mergeCell ref="H179:H180"/>
    <mergeCell ref="H183:H184"/>
  </mergeCells>
  <conditionalFormatting sqref="B349:B350">
    <cfRule type="containsText" dxfId="0" priority="1" operator="containsText" text="Red|Blue|Green">
      <formula>NOT(ISERROR(SEARCH(("Red|Blue|Green"),(B349))))</formula>
    </cfRule>
  </conditionalFormatting>
  <conditionalFormatting sqref="B6:B350">
    <cfRule type="beginsWith" dxfId="1" priority="2" operator="beginsWith" text="Red">
      <formula>LEFT((B6),LEN("Red"))=("Red")</formula>
    </cfRule>
  </conditionalFormatting>
  <conditionalFormatting sqref="B6:B350">
    <cfRule type="beginsWith" dxfId="2" priority="3" operator="beginsWith" text="Blue">
      <formula>LEFT((B6),LEN("Blue"))=("Blue")</formula>
    </cfRule>
  </conditionalFormatting>
  <conditionalFormatting sqref="B6:B350">
    <cfRule type="beginsWith" dxfId="3" priority="4" operator="beginsWith" text="Green">
      <formula>LEFT((B6),LEN("Green"))=("Green")</formula>
    </cfRule>
  </conditionalFormatting>
  <conditionalFormatting sqref="B6:B350">
    <cfRule type="beginsWith" dxfId="4" priority="5" operator="beginsWith" text="Light">
      <formula>LEFT((B6),LEN("Light"))=("Light")</formula>
    </cfRule>
  </conditionalFormatting>
  <conditionalFormatting sqref="D6:D350">
    <cfRule type="expression" dxfId="5" priority="6">
      <formula>REGEXMATCH(B6, "^Red")</formula>
    </cfRule>
  </conditionalFormatting>
  <conditionalFormatting sqref="D6:D350">
    <cfRule type="expression" dxfId="6" priority="7">
      <formula>REGEXMATCH(B6, "^Blue")</formula>
    </cfRule>
  </conditionalFormatting>
  <conditionalFormatting sqref="D6:D350">
    <cfRule type="expression" dxfId="7" priority="8">
      <formula>REGEXMATCH(B6, "^Green")</formula>
    </cfRule>
  </conditionalFormatting>
  <conditionalFormatting sqref="E6:E350">
    <cfRule type="expression" dxfId="8" priority="9">
      <formula>REGEXMATCH(B6, "^Red")</formula>
    </cfRule>
  </conditionalFormatting>
  <conditionalFormatting sqref="E6:E350">
    <cfRule type="expression" dxfId="9" priority="10">
      <formula>REGEXMATCH(B6, "^Blue")</formula>
    </cfRule>
  </conditionalFormatting>
  <conditionalFormatting sqref="E6:E350">
    <cfRule type="expression" dxfId="10" priority="11">
      <formula>REGEXMATCH(B6, "^Green")</formula>
    </cfRule>
  </conditionalFormatting>
  <conditionalFormatting sqref="C6:C350">
    <cfRule type="expression" dxfId="11" priority="12">
      <formula>REGEXMATCH(B6, "^Red")</formula>
    </cfRule>
  </conditionalFormatting>
  <conditionalFormatting sqref="C6:C350">
    <cfRule type="expression" dxfId="12" priority="13">
      <formula>REGEXMATCH(B6, "^Blue")</formula>
    </cfRule>
  </conditionalFormatting>
  <conditionalFormatting sqref="C6:C350">
    <cfRule type="expression" dxfId="13" priority="14">
      <formula>REGEXMATCH(B6, "^Green")</formula>
    </cfRule>
  </conditionalFormatting>
  <conditionalFormatting sqref="B6:B350">
    <cfRule type="beginsWith" dxfId="14" priority="15" operator="beginsWith" text="Dark">
      <formula>LEFT((B6),LEN("Dark"))=("Dark")</formula>
    </cfRule>
  </conditionalFormatting>
  <conditionalFormatting sqref="C6:C350">
    <cfRule type="expression" dxfId="15" priority="16">
      <formula>REGEXMATCH(B6, "^Light")</formula>
    </cfRule>
  </conditionalFormatting>
  <conditionalFormatting sqref="D6:D350">
    <cfRule type="expression" dxfId="16" priority="17">
      <formula>REGEXMATCH(B6, "^Light")</formula>
    </cfRule>
  </conditionalFormatting>
  <conditionalFormatting sqref="E6:E350">
    <cfRule type="expression" dxfId="17" priority="18">
      <formula>REGEXMATCH(B6, "^Light")</formula>
    </cfRule>
  </conditionalFormatting>
  <conditionalFormatting sqref="C6:C350">
    <cfRule type="expression" dxfId="18" priority="19">
      <formula>REGEXMATCH(B6, "^Dark")</formula>
    </cfRule>
  </conditionalFormatting>
  <conditionalFormatting sqref="D6:D350">
    <cfRule type="expression" dxfId="19" priority="20">
      <formula>REGEXMATCH(B6, "^Dark")</formula>
    </cfRule>
  </conditionalFormatting>
  <conditionalFormatting sqref="E6:E350">
    <cfRule type="expression" dxfId="20" priority="21">
      <formula>REGEXMATCH(B6, "^Dark")</formula>
    </cfRule>
  </conditionalFormatting>
  <conditionalFormatting sqref="F6:G350">
    <cfRule type="containsText" dxfId="21" priority="22" operator="containsText" text="Cola">
      <formula>NOT(ISERROR(SEARCH(("Cola"),(F6))))</formula>
    </cfRule>
  </conditionalFormatting>
  <conditionalFormatting sqref="F6:G350">
    <cfRule type="containsText" dxfId="22" priority="23" operator="containsText" text="Extreme">
      <formula>NOT(ISERROR(SEARCH(("Extreme"),(F6))))</formula>
    </cfRule>
  </conditionalFormatting>
  <conditionalFormatting sqref="F6:G350">
    <cfRule type="containsText" dxfId="23" priority="24" operator="containsText" text="Bounty Festival">
      <formula>NOT(ISERROR(SEARCH(("Bounty Festival"),(F6))))</formula>
    </cfRule>
  </conditionalFormatting>
  <conditionalFormatting sqref="F6:G350">
    <cfRule type="containsText" dxfId="24" priority="25" operator="containsText" text="Step Up">
      <formula>NOT(ISERROR(SEARCH(("Step Up"),(F6))))</formula>
    </cfRule>
  </conditionalFormatting>
  <conditionalFormatting sqref="F6:G350">
    <cfRule type="containsText" dxfId="25" priority="26" operator="containsText" text="4 Stars">
      <formula>NOT(ISERROR(SEARCH(("4 Stars"),(F6))))</formula>
    </cfRule>
  </conditionalFormatting>
  <conditionalFormatting sqref="F6:G350">
    <cfRule type="containsText" dxfId="26" priority="27" operator="containsText" text="3 Stars">
      <formula>NOT(ISERROR(SEARCH(("3 Stars"),(F6))))</formula>
    </cfRule>
  </conditionalFormatting>
  <conditionalFormatting sqref="F6:G350">
    <cfRule type="containsText" dxfId="27" priority="28" operator="containsText" text="2 Stars">
      <formula>NOT(ISERROR(SEARCH(("2 Stars"),(F6))))</formula>
    </cfRule>
  </conditionalFormatting>
  <hyperlinks>
    <hyperlink r:id="rId4" ref="A2"/>
    <hyperlink r:id="rId5" ref="A3"/>
    <hyperlink r:id="rId6" ref="A4"/>
    <hyperlink r:id="rId7" ref="A5"/>
    <hyperlink r:id="rId8" ref="I7"/>
    <hyperlink r:id="rId9" ref="J7"/>
    <hyperlink r:id="rId10" ref="I8"/>
    <hyperlink r:id="rId11" ref="J8"/>
    <hyperlink r:id="rId12" ref="I9"/>
    <hyperlink r:id="rId13" ref="J9"/>
    <hyperlink r:id="rId14" ref="I10"/>
    <hyperlink r:id="rId15" ref="J10"/>
    <hyperlink r:id="rId16" ref="I11"/>
    <hyperlink r:id="rId17" ref="J11"/>
    <hyperlink r:id="rId18" ref="I12"/>
    <hyperlink r:id="rId19" ref="J12"/>
    <hyperlink r:id="rId20" ref="I13"/>
    <hyperlink r:id="rId21" ref="J13"/>
    <hyperlink r:id="rId22" ref="I14"/>
    <hyperlink r:id="rId23" ref="J14"/>
    <hyperlink r:id="rId24" ref="I15"/>
    <hyperlink r:id="rId25" ref="J15"/>
    <hyperlink r:id="rId26" ref="I16"/>
    <hyperlink r:id="rId27" ref="J16"/>
    <hyperlink r:id="rId28" ref="I17"/>
    <hyperlink r:id="rId29" ref="J17"/>
    <hyperlink r:id="rId30" ref="I18"/>
    <hyperlink r:id="rId31" ref="J18"/>
    <hyperlink r:id="rId32" ref="I19"/>
    <hyperlink r:id="rId33" ref="J19"/>
    <hyperlink r:id="rId34" ref="I20"/>
    <hyperlink r:id="rId35" ref="J20"/>
    <hyperlink r:id="rId36" ref="I21"/>
    <hyperlink r:id="rId37" ref="J21"/>
    <hyperlink r:id="rId38" ref="I22"/>
    <hyperlink r:id="rId39" ref="J22"/>
    <hyperlink r:id="rId40" ref="I23"/>
    <hyperlink r:id="rId41" ref="J23"/>
    <hyperlink r:id="rId42" ref="I24"/>
    <hyperlink r:id="rId43" ref="J24"/>
    <hyperlink r:id="rId44" ref="I25"/>
    <hyperlink r:id="rId45" ref="J25"/>
    <hyperlink r:id="rId46" ref="I26"/>
    <hyperlink r:id="rId47" ref="J26"/>
    <hyperlink r:id="rId48" ref="I27"/>
    <hyperlink r:id="rId49" ref="J27"/>
    <hyperlink r:id="rId50" ref="I28"/>
    <hyperlink r:id="rId51" ref="J28"/>
    <hyperlink r:id="rId52" ref="I29"/>
    <hyperlink r:id="rId53" ref="J29"/>
    <hyperlink r:id="rId54" ref="I30"/>
    <hyperlink r:id="rId55" ref="J30"/>
    <hyperlink r:id="rId56" ref="I31"/>
    <hyperlink r:id="rId57" ref="J31"/>
    <hyperlink r:id="rId58" ref="I32"/>
    <hyperlink r:id="rId59" ref="J32"/>
    <hyperlink r:id="rId60" ref="I33"/>
    <hyperlink r:id="rId61" ref="J33"/>
    <hyperlink r:id="rId62" ref="I34"/>
    <hyperlink r:id="rId63" ref="J34"/>
    <hyperlink r:id="rId64" ref="I35"/>
    <hyperlink r:id="rId65" ref="J35"/>
    <hyperlink r:id="rId66" ref="I36"/>
    <hyperlink r:id="rId67" ref="J36"/>
    <hyperlink r:id="rId68" ref="I37"/>
    <hyperlink r:id="rId69" ref="J37"/>
    <hyperlink r:id="rId70" ref="I38"/>
    <hyperlink r:id="rId71" ref="J38"/>
    <hyperlink r:id="rId72" ref="I39"/>
    <hyperlink r:id="rId73" ref="J39"/>
    <hyperlink r:id="rId74" ref="I40"/>
    <hyperlink r:id="rId75" ref="J40"/>
    <hyperlink r:id="rId76" ref="I41"/>
    <hyperlink r:id="rId77" ref="J41"/>
    <hyperlink r:id="rId78" ref="I42"/>
    <hyperlink r:id="rId79" ref="J42"/>
    <hyperlink r:id="rId80" ref="I43"/>
    <hyperlink r:id="rId81" ref="J43"/>
    <hyperlink r:id="rId82" ref="I44"/>
    <hyperlink r:id="rId83" ref="J44"/>
    <hyperlink r:id="rId84" ref="I45"/>
    <hyperlink r:id="rId85" ref="J45"/>
    <hyperlink r:id="rId86" ref="I46"/>
    <hyperlink r:id="rId87" ref="J46"/>
    <hyperlink r:id="rId88" ref="I47"/>
    <hyperlink r:id="rId89" ref="J47"/>
    <hyperlink r:id="rId90" ref="I48"/>
    <hyperlink r:id="rId91" ref="J48"/>
    <hyperlink r:id="rId92" ref="I49"/>
    <hyperlink r:id="rId93" ref="J49"/>
    <hyperlink r:id="rId94" ref="I50"/>
    <hyperlink r:id="rId95" ref="J50"/>
    <hyperlink r:id="rId96" ref="I51"/>
    <hyperlink r:id="rId97" ref="J51"/>
    <hyperlink r:id="rId98" ref="I52"/>
    <hyperlink r:id="rId99" ref="J52"/>
    <hyperlink r:id="rId100" ref="I53"/>
    <hyperlink r:id="rId101" ref="J53"/>
    <hyperlink r:id="rId102" ref="I54"/>
    <hyperlink r:id="rId103" ref="J54"/>
    <hyperlink r:id="rId104" ref="I55"/>
    <hyperlink r:id="rId105" ref="J55"/>
    <hyperlink r:id="rId106" ref="I56"/>
    <hyperlink r:id="rId107" ref="J56"/>
    <hyperlink r:id="rId108" ref="I57"/>
    <hyperlink r:id="rId109" ref="J57"/>
    <hyperlink r:id="rId110" ref="I58"/>
    <hyperlink r:id="rId111" ref="J58"/>
    <hyperlink r:id="rId112" ref="I59"/>
    <hyperlink r:id="rId113" ref="J59"/>
    <hyperlink r:id="rId114" ref="I60"/>
    <hyperlink r:id="rId115" ref="J60"/>
    <hyperlink r:id="rId116" ref="I61"/>
    <hyperlink r:id="rId117" ref="J61"/>
    <hyperlink r:id="rId118" ref="I62"/>
    <hyperlink r:id="rId119" ref="J62"/>
    <hyperlink r:id="rId120" ref="I63"/>
    <hyperlink r:id="rId121" ref="J63"/>
    <hyperlink r:id="rId122" ref="I64"/>
    <hyperlink r:id="rId123" ref="J64"/>
    <hyperlink r:id="rId124" ref="I65"/>
    <hyperlink r:id="rId125" ref="J65"/>
    <hyperlink r:id="rId126" ref="I66"/>
    <hyperlink r:id="rId127" ref="J66"/>
    <hyperlink r:id="rId128" ref="I67"/>
    <hyperlink r:id="rId129" ref="J67"/>
    <hyperlink r:id="rId130" ref="I68"/>
    <hyperlink r:id="rId131" ref="J68"/>
    <hyperlink r:id="rId132" ref="I69"/>
    <hyperlink r:id="rId133" ref="J69"/>
    <hyperlink r:id="rId134" ref="I70"/>
    <hyperlink r:id="rId135" ref="J70"/>
    <hyperlink r:id="rId136" ref="I71"/>
    <hyperlink r:id="rId137" ref="J71"/>
    <hyperlink r:id="rId138" ref="I72"/>
    <hyperlink r:id="rId139" ref="J72"/>
    <hyperlink r:id="rId140" ref="I73"/>
    <hyperlink r:id="rId141" ref="J73"/>
    <hyperlink r:id="rId142" ref="I74"/>
    <hyperlink r:id="rId143" ref="J74"/>
    <hyperlink r:id="rId144" ref="I75"/>
    <hyperlink r:id="rId145" ref="J75"/>
    <hyperlink r:id="rId146" ref="I76"/>
    <hyperlink r:id="rId147" ref="J76"/>
    <hyperlink r:id="rId148" ref="I77"/>
    <hyperlink r:id="rId149" ref="J77"/>
    <hyperlink r:id="rId150" ref="I78"/>
    <hyperlink r:id="rId151" ref="J78"/>
    <hyperlink r:id="rId152" ref="I79"/>
    <hyperlink r:id="rId153" ref="J79"/>
    <hyperlink r:id="rId154" ref="I80"/>
    <hyperlink r:id="rId155" ref="J80"/>
    <hyperlink r:id="rId156" ref="I81"/>
    <hyperlink r:id="rId157" ref="J81"/>
    <hyperlink r:id="rId158" ref="I82"/>
    <hyperlink r:id="rId159" ref="J82"/>
    <hyperlink r:id="rId160" ref="I83"/>
    <hyperlink r:id="rId161" ref="J83"/>
    <hyperlink r:id="rId162" ref="I84"/>
    <hyperlink r:id="rId163" ref="J84"/>
    <hyperlink r:id="rId164" ref="I85"/>
    <hyperlink r:id="rId165" ref="J85"/>
    <hyperlink r:id="rId166" ref="I86"/>
    <hyperlink r:id="rId167" ref="J86"/>
    <hyperlink r:id="rId168" ref="I87"/>
    <hyperlink r:id="rId169" ref="J87"/>
    <hyperlink r:id="rId170" ref="I88"/>
    <hyperlink r:id="rId171" ref="J88"/>
    <hyperlink r:id="rId172" ref="I89"/>
    <hyperlink r:id="rId173" ref="J89"/>
    <hyperlink r:id="rId174" ref="I90"/>
    <hyperlink r:id="rId175" ref="J90"/>
    <hyperlink r:id="rId176" ref="I91"/>
    <hyperlink r:id="rId177" ref="J91"/>
    <hyperlink r:id="rId178" ref="I92"/>
    <hyperlink r:id="rId179" ref="J92"/>
    <hyperlink r:id="rId180" ref="I93"/>
    <hyperlink r:id="rId181" ref="J93"/>
    <hyperlink r:id="rId182" ref="I94"/>
    <hyperlink r:id="rId183" ref="J94"/>
    <hyperlink r:id="rId184" ref="I95"/>
    <hyperlink r:id="rId185" ref="J95"/>
    <hyperlink r:id="rId186" ref="I96"/>
    <hyperlink r:id="rId187" ref="J96"/>
    <hyperlink r:id="rId188" ref="I97"/>
    <hyperlink r:id="rId189" ref="J97"/>
    <hyperlink r:id="rId190" ref="I98"/>
    <hyperlink r:id="rId191" ref="J98"/>
    <hyperlink r:id="rId192" ref="I99"/>
    <hyperlink r:id="rId193" ref="J99"/>
    <hyperlink r:id="rId194" ref="I100"/>
    <hyperlink r:id="rId195" ref="J100"/>
    <hyperlink r:id="rId196" ref="I101"/>
    <hyperlink r:id="rId197" ref="J101"/>
    <hyperlink r:id="rId198" ref="I102"/>
    <hyperlink r:id="rId199" ref="J102"/>
    <hyperlink r:id="rId200" ref="I103"/>
    <hyperlink r:id="rId201" ref="J103"/>
    <hyperlink r:id="rId202" ref="I104"/>
    <hyperlink r:id="rId203" ref="J104"/>
    <hyperlink r:id="rId204" ref="I105"/>
    <hyperlink r:id="rId205" ref="J105"/>
    <hyperlink r:id="rId206" ref="I106"/>
    <hyperlink r:id="rId207" ref="J106"/>
    <hyperlink r:id="rId208" ref="I107"/>
    <hyperlink r:id="rId209" ref="J107"/>
    <hyperlink r:id="rId210" ref="I108"/>
    <hyperlink r:id="rId211" ref="J108"/>
    <hyperlink r:id="rId212" ref="I109"/>
    <hyperlink r:id="rId213" ref="J109"/>
    <hyperlink r:id="rId214" ref="I110"/>
    <hyperlink r:id="rId215" ref="J110"/>
    <hyperlink r:id="rId216" ref="I111"/>
    <hyperlink r:id="rId217" ref="J111"/>
    <hyperlink r:id="rId218" ref="I112"/>
    <hyperlink r:id="rId219" ref="J112"/>
    <hyperlink r:id="rId220" ref="I113"/>
    <hyperlink r:id="rId221" ref="J113"/>
    <hyperlink r:id="rId222" ref="I114"/>
    <hyperlink r:id="rId223" ref="J114"/>
    <hyperlink r:id="rId224" ref="I115"/>
    <hyperlink r:id="rId225" ref="J115"/>
    <hyperlink r:id="rId226" ref="I116"/>
    <hyperlink r:id="rId227" ref="J116"/>
    <hyperlink r:id="rId228" ref="I117"/>
    <hyperlink r:id="rId229" ref="J117"/>
    <hyperlink r:id="rId230" ref="I118"/>
    <hyperlink r:id="rId231" ref="J118"/>
    <hyperlink r:id="rId232" ref="I119"/>
    <hyperlink r:id="rId233" ref="J119"/>
    <hyperlink r:id="rId234" ref="I120"/>
    <hyperlink r:id="rId235" ref="J120"/>
    <hyperlink r:id="rId236" ref="I121"/>
    <hyperlink r:id="rId237" ref="J121"/>
    <hyperlink r:id="rId238" ref="I122"/>
    <hyperlink r:id="rId239" ref="J122"/>
    <hyperlink r:id="rId240" ref="I123"/>
    <hyperlink r:id="rId241" ref="J123"/>
    <hyperlink r:id="rId242" ref="I124"/>
    <hyperlink r:id="rId243" ref="J124"/>
    <hyperlink r:id="rId244" ref="I125"/>
    <hyperlink r:id="rId245" ref="J125"/>
    <hyperlink r:id="rId246" ref="I126"/>
    <hyperlink r:id="rId247" ref="J126"/>
    <hyperlink r:id="rId248" ref="I127"/>
    <hyperlink r:id="rId249" ref="J127"/>
    <hyperlink r:id="rId250" ref="I128"/>
    <hyperlink r:id="rId251" ref="J128"/>
    <hyperlink r:id="rId252" ref="I129"/>
    <hyperlink r:id="rId253" ref="J129"/>
    <hyperlink r:id="rId254" ref="I130"/>
    <hyperlink r:id="rId255" ref="J130"/>
    <hyperlink r:id="rId256" ref="I131"/>
    <hyperlink r:id="rId257" ref="J131"/>
    <hyperlink r:id="rId258" ref="I132"/>
    <hyperlink r:id="rId259" ref="J132"/>
    <hyperlink r:id="rId260" ref="I133"/>
    <hyperlink r:id="rId261" ref="J133"/>
    <hyperlink r:id="rId262" ref="I134"/>
    <hyperlink r:id="rId263" ref="J134"/>
    <hyperlink r:id="rId264" ref="I135"/>
    <hyperlink r:id="rId265" ref="J135"/>
    <hyperlink r:id="rId266" ref="I136"/>
    <hyperlink r:id="rId267" ref="J136"/>
    <hyperlink r:id="rId268" ref="I137"/>
    <hyperlink r:id="rId269" ref="J137"/>
    <hyperlink r:id="rId270" ref="I138"/>
    <hyperlink r:id="rId271" ref="J138"/>
    <hyperlink r:id="rId272" ref="I139"/>
    <hyperlink r:id="rId273" ref="J139"/>
    <hyperlink r:id="rId274" ref="I140"/>
    <hyperlink r:id="rId275" ref="J140"/>
    <hyperlink r:id="rId276" ref="I141"/>
    <hyperlink r:id="rId277" ref="J141"/>
    <hyperlink r:id="rId278" ref="I142"/>
    <hyperlink r:id="rId279" ref="J142"/>
    <hyperlink r:id="rId280" ref="I143"/>
    <hyperlink r:id="rId281" ref="J143"/>
    <hyperlink r:id="rId282" ref="I144"/>
    <hyperlink r:id="rId283" ref="J144"/>
    <hyperlink r:id="rId284" ref="I145"/>
    <hyperlink r:id="rId285" ref="J145"/>
    <hyperlink r:id="rId286" ref="I146"/>
    <hyperlink r:id="rId287" ref="J146"/>
    <hyperlink r:id="rId288" ref="I147"/>
    <hyperlink r:id="rId289" ref="J147"/>
    <hyperlink r:id="rId290" ref="I148"/>
    <hyperlink r:id="rId291" ref="J148"/>
    <hyperlink r:id="rId292" ref="I149"/>
    <hyperlink r:id="rId293" ref="J149"/>
    <hyperlink r:id="rId294" ref="I150"/>
    <hyperlink r:id="rId295" ref="J150"/>
    <hyperlink r:id="rId296" ref="I151"/>
    <hyperlink r:id="rId297" ref="J151"/>
    <hyperlink r:id="rId298" ref="I152"/>
    <hyperlink r:id="rId299" ref="J152"/>
    <hyperlink r:id="rId300" ref="I153"/>
    <hyperlink r:id="rId301" ref="J153"/>
    <hyperlink r:id="rId302" ref="I154"/>
    <hyperlink r:id="rId303" ref="J154"/>
    <hyperlink r:id="rId304" ref="I155"/>
    <hyperlink r:id="rId305" ref="J155"/>
    <hyperlink r:id="rId306" ref="I156"/>
    <hyperlink r:id="rId307" ref="J156"/>
    <hyperlink r:id="rId308" ref="I157"/>
    <hyperlink r:id="rId309" ref="J157"/>
    <hyperlink r:id="rId310" ref="I158"/>
    <hyperlink r:id="rId311" ref="J158"/>
    <hyperlink r:id="rId312" ref="I159"/>
    <hyperlink r:id="rId313" ref="J159"/>
    <hyperlink r:id="rId314" ref="I160"/>
    <hyperlink r:id="rId315" ref="J160"/>
    <hyperlink r:id="rId316" ref="I161"/>
    <hyperlink r:id="rId317" ref="J161"/>
    <hyperlink r:id="rId318" ref="I162"/>
    <hyperlink r:id="rId319" ref="J162"/>
    <hyperlink r:id="rId320" ref="I163"/>
    <hyperlink r:id="rId321" ref="J163"/>
    <hyperlink r:id="rId322" ref="I164"/>
    <hyperlink r:id="rId323" ref="J164"/>
    <hyperlink r:id="rId324" ref="I165"/>
    <hyperlink r:id="rId325" ref="J165"/>
    <hyperlink r:id="rId326" ref="I166"/>
    <hyperlink r:id="rId327" ref="J166"/>
    <hyperlink r:id="rId328" ref="I167"/>
    <hyperlink r:id="rId329" ref="J167"/>
    <hyperlink r:id="rId330" ref="I168"/>
    <hyperlink r:id="rId331" ref="J168"/>
    <hyperlink r:id="rId332" ref="I169"/>
    <hyperlink r:id="rId333" ref="J169"/>
    <hyperlink r:id="rId334" ref="I170"/>
    <hyperlink r:id="rId335" ref="J170"/>
    <hyperlink r:id="rId336" ref="I171"/>
    <hyperlink r:id="rId337" ref="J171"/>
    <hyperlink r:id="rId338" ref="I172"/>
    <hyperlink r:id="rId339" ref="J172"/>
    <hyperlink r:id="rId340" ref="I173"/>
    <hyperlink r:id="rId341" ref="J173"/>
    <hyperlink r:id="rId342" ref="I174"/>
    <hyperlink r:id="rId343" ref="J174"/>
    <hyperlink r:id="rId344" ref="I175"/>
    <hyperlink r:id="rId345" ref="J175"/>
    <hyperlink r:id="rId346" ref="I176"/>
    <hyperlink r:id="rId347" ref="J176"/>
    <hyperlink r:id="rId348" ref="I177"/>
    <hyperlink r:id="rId349" ref="J177"/>
    <hyperlink r:id="rId350" ref="I178"/>
    <hyperlink r:id="rId351" ref="J178"/>
    <hyperlink r:id="rId352" ref="I179"/>
    <hyperlink r:id="rId353" ref="J179"/>
    <hyperlink r:id="rId354" ref="I180"/>
    <hyperlink r:id="rId355" ref="J180"/>
    <hyperlink r:id="rId356" ref="I181"/>
    <hyperlink r:id="rId357" ref="J181"/>
    <hyperlink r:id="rId358" ref="I182"/>
    <hyperlink r:id="rId359" ref="J182"/>
    <hyperlink r:id="rId360" ref="I183"/>
    <hyperlink r:id="rId361" ref="J183"/>
    <hyperlink r:id="rId362" ref="I184"/>
    <hyperlink r:id="rId363" ref="J184"/>
    <hyperlink r:id="rId364" ref="I185"/>
    <hyperlink r:id="rId365" ref="J185"/>
    <hyperlink r:id="rId366" ref="I186"/>
    <hyperlink r:id="rId367" ref="J186"/>
    <hyperlink r:id="rId368" ref="I187"/>
    <hyperlink r:id="rId369" ref="J187"/>
    <hyperlink r:id="rId370" ref="I188"/>
    <hyperlink r:id="rId371" ref="J188"/>
    <hyperlink r:id="rId372" ref="I189"/>
    <hyperlink r:id="rId373" ref="J189"/>
    <hyperlink r:id="rId374" ref="I190"/>
    <hyperlink r:id="rId375" ref="J190"/>
    <hyperlink r:id="rId376" ref="I191"/>
    <hyperlink r:id="rId377" ref="J191"/>
    <hyperlink r:id="rId378" ref="I192"/>
    <hyperlink r:id="rId379" ref="J192"/>
    <hyperlink r:id="rId380" ref="I193"/>
    <hyperlink r:id="rId381" ref="J193"/>
    <hyperlink r:id="rId382" ref="I194"/>
    <hyperlink r:id="rId383" ref="J194"/>
    <hyperlink r:id="rId384" ref="I195"/>
    <hyperlink r:id="rId385" ref="J195"/>
    <hyperlink r:id="rId386" ref="I196"/>
    <hyperlink r:id="rId387" ref="J196"/>
    <hyperlink r:id="rId388" ref="I197"/>
    <hyperlink r:id="rId389" ref="J197"/>
    <hyperlink r:id="rId390" ref="I198"/>
    <hyperlink r:id="rId391" ref="J198"/>
    <hyperlink r:id="rId392" ref="I199"/>
    <hyperlink r:id="rId393" ref="J199"/>
    <hyperlink r:id="rId394" ref="I200"/>
    <hyperlink r:id="rId395" ref="J200"/>
    <hyperlink r:id="rId396" ref="I201"/>
    <hyperlink r:id="rId397" ref="J201"/>
    <hyperlink r:id="rId398" ref="I202"/>
    <hyperlink r:id="rId399" ref="J202"/>
    <hyperlink r:id="rId400" ref="I203"/>
    <hyperlink r:id="rId401" ref="J203"/>
    <hyperlink r:id="rId402" ref="I204"/>
    <hyperlink r:id="rId403" ref="J204"/>
    <hyperlink r:id="rId404" ref="I205"/>
    <hyperlink r:id="rId405" ref="J205"/>
    <hyperlink r:id="rId406" ref="I206"/>
    <hyperlink r:id="rId407" ref="J206"/>
    <hyperlink r:id="rId408" ref="I207"/>
    <hyperlink r:id="rId409" ref="J207"/>
    <hyperlink r:id="rId410" ref="I208"/>
    <hyperlink r:id="rId411" ref="J208"/>
    <hyperlink r:id="rId412" ref="I209"/>
    <hyperlink r:id="rId413" ref="J209"/>
    <hyperlink r:id="rId414" ref="I210"/>
    <hyperlink r:id="rId415" ref="J210"/>
    <hyperlink r:id="rId416" ref="I211"/>
    <hyperlink r:id="rId417" ref="J211"/>
    <hyperlink r:id="rId418" ref="I212"/>
    <hyperlink r:id="rId419" ref="J212"/>
    <hyperlink r:id="rId420" ref="I213"/>
    <hyperlink r:id="rId421" ref="J213"/>
    <hyperlink r:id="rId422" ref="I214"/>
    <hyperlink r:id="rId423" ref="J214"/>
    <hyperlink r:id="rId424" ref="I215"/>
    <hyperlink r:id="rId425" ref="J215"/>
    <hyperlink r:id="rId426" ref="I216"/>
    <hyperlink r:id="rId427" ref="J216"/>
    <hyperlink r:id="rId428" ref="I217"/>
    <hyperlink r:id="rId429" ref="J217"/>
    <hyperlink r:id="rId430" ref="I218"/>
    <hyperlink r:id="rId431" ref="J218"/>
    <hyperlink r:id="rId432" ref="I219"/>
    <hyperlink r:id="rId433" ref="J219"/>
    <hyperlink r:id="rId434" ref="I220"/>
    <hyperlink r:id="rId435" ref="J220"/>
    <hyperlink r:id="rId436" ref="I221"/>
    <hyperlink r:id="rId437" ref="J221"/>
    <hyperlink r:id="rId438" ref="I222"/>
    <hyperlink r:id="rId439" ref="J222"/>
    <hyperlink r:id="rId440" ref="I223"/>
    <hyperlink r:id="rId441" ref="J223"/>
    <hyperlink r:id="rId442" ref="I224"/>
    <hyperlink r:id="rId443" ref="J224"/>
    <hyperlink r:id="rId444" ref="I225"/>
    <hyperlink r:id="rId445" ref="J225"/>
    <hyperlink r:id="rId446" ref="I226"/>
    <hyperlink r:id="rId447" ref="J226"/>
    <hyperlink r:id="rId448" ref="I227"/>
    <hyperlink r:id="rId449" ref="J227"/>
    <hyperlink r:id="rId450" ref="I228"/>
    <hyperlink r:id="rId451" ref="J228"/>
    <hyperlink r:id="rId452" ref="I229"/>
    <hyperlink r:id="rId453" ref="J229"/>
    <hyperlink r:id="rId454" ref="I230"/>
    <hyperlink r:id="rId455" ref="J230"/>
    <hyperlink r:id="rId456" ref="I231"/>
    <hyperlink r:id="rId457" ref="J231"/>
    <hyperlink r:id="rId458" ref="I232"/>
    <hyperlink r:id="rId459" ref="J232"/>
    <hyperlink r:id="rId460" ref="I233"/>
    <hyperlink r:id="rId461" ref="J233"/>
    <hyperlink r:id="rId462" ref="I234"/>
    <hyperlink r:id="rId463" ref="J234"/>
    <hyperlink r:id="rId464" ref="I235"/>
    <hyperlink r:id="rId465" ref="J235"/>
    <hyperlink r:id="rId466" ref="I236"/>
    <hyperlink r:id="rId467" ref="J236"/>
    <hyperlink r:id="rId468" ref="I237"/>
    <hyperlink r:id="rId469" ref="J237"/>
    <hyperlink r:id="rId470" ref="I238"/>
    <hyperlink r:id="rId471" ref="J238"/>
    <hyperlink r:id="rId472" ref="I239"/>
    <hyperlink r:id="rId473" ref="J239"/>
    <hyperlink r:id="rId474" ref="I240"/>
    <hyperlink r:id="rId475" ref="J240"/>
    <hyperlink r:id="rId476" ref="I241"/>
    <hyperlink r:id="rId477" ref="J241"/>
    <hyperlink r:id="rId478" ref="I242"/>
    <hyperlink r:id="rId479" ref="J242"/>
    <hyperlink r:id="rId480" ref="I243"/>
    <hyperlink r:id="rId481" ref="J243"/>
    <hyperlink r:id="rId482" ref="I244"/>
    <hyperlink r:id="rId483" ref="J244"/>
    <hyperlink r:id="rId484" ref="I245"/>
    <hyperlink r:id="rId485" ref="J245"/>
    <hyperlink r:id="rId486" ref="I246"/>
    <hyperlink r:id="rId487" ref="J246"/>
    <hyperlink r:id="rId488" ref="I247"/>
    <hyperlink r:id="rId489" ref="J247"/>
    <hyperlink r:id="rId490" ref="I248"/>
    <hyperlink r:id="rId491" ref="J248"/>
    <hyperlink r:id="rId492" ref="I249"/>
    <hyperlink r:id="rId493" ref="J249"/>
    <hyperlink r:id="rId494" ref="I250"/>
    <hyperlink r:id="rId495" ref="J250"/>
    <hyperlink r:id="rId496" ref="I251"/>
    <hyperlink r:id="rId497" ref="J251"/>
    <hyperlink r:id="rId498" ref="I252"/>
    <hyperlink r:id="rId499" ref="J252"/>
    <hyperlink r:id="rId500" ref="I253"/>
    <hyperlink r:id="rId501" ref="J253"/>
    <hyperlink r:id="rId502" ref="I254"/>
    <hyperlink r:id="rId503" ref="J254"/>
    <hyperlink r:id="rId504" ref="I255"/>
    <hyperlink r:id="rId505" ref="J255"/>
    <hyperlink r:id="rId506" ref="I256"/>
    <hyperlink r:id="rId507" ref="J256"/>
    <hyperlink r:id="rId508" ref="I257"/>
    <hyperlink r:id="rId509" ref="J257"/>
    <hyperlink r:id="rId510" ref="I258"/>
    <hyperlink r:id="rId511" ref="J258"/>
    <hyperlink r:id="rId512" ref="I259"/>
    <hyperlink r:id="rId513" ref="J259"/>
    <hyperlink r:id="rId514" ref="I260"/>
    <hyperlink r:id="rId515" ref="J260"/>
    <hyperlink r:id="rId516" ref="I261"/>
    <hyperlink r:id="rId517" ref="J261"/>
    <hyperlink r:id="rId518" ref="I262"/>
    <hyperlink r:id="rId519" ref="J262"/>
    <hyperlink r:id="rId520" ref="I263"/>
    <hyperlink r:id="rId521" ref="J263"/>
    <hyperlink r:id="rId522" ref="I264"/>
    <hyperlink r:id="rId523" ref="J264"/>
    <hyperlink r:id="rId524" ref="I265"/>
    <hyperlink r:id="rId525" ref="J265"/>
    <hyperlink r:id="rId526" ref="I266"/>
    <hyperlink r:id="rId527" ref="J266"/>
    <hyperlink r:id="rId528" ref="I267"/>
    <hyperlink r:id="rId529" ref="J267"/>
    <hyperlink r:id="rId530" ref="I268"/>
    <hyperlink r:id="rId531" ref="J268"/>
    <hyperlink r:id="rId532" ref="I269"/>
    <hyperlink r:id="rId533" ref="J269"/>
    <hyperlink r:id="rId534" ref="I270"/>
    <hyperlink r:id="rId535" ref="J270"/>
    <hyperlink r:id="rId536" ref="I271"/>
    <hyperlink r:id="rId537" ref="J271"/>
    <hyperlink r:id="rId538" ref="I272"/>
    <hyperlink r:id="rId539" ref="J272"/>
    <hyperlink r:id="rId540" ref="I273"/>
    <hyperlink r:id="rId541" ref="J273"/>
    <hyperlink r:id="rId542" ref="I274"/>
    <hyperlink r:id="rId543" ref="J274"/>
    <hyperlink r:id="rId544" ref="I275"/>
    <hyperlink r:id="rId545" ref="J275"/>
    <hyperlink r:id="rId546" ref="I276"/>
    <hyperlink r:id="rId547" ref="J276"/>
    <hyperlink r:id="rId548" ref="I277"/>
    <hyperlink r:id="rId549" ref="J277"/>
    <hyperlink r:id="rId550" ref="I278"/>
    <hyperlink r:id="rId551" ref="J278"/>
    <hyperlink r:id="rId552" ref="I279"/>
    <hyperlink r:id="rId553" ref="J279"/>
    <hyperlink r:id="rId554" ref="I280"/>
    <hyperlink r:id="rId555" ref="J280"/>
    <hyperlink r:id="rId556" ref="I281"/>
    <hyperlink r:id="rId557" ref="J281"/>
    <hyperlink r:id="rId558" ref="I282"/>
    <hyperlink r:id="rId559" ref="J282"/>
    <hyperlink r:id="rId560" ref="I283"/>
    <hyperlink r:id="rId561" ref="J283"/>
    <hyperlink r:id="rId562" ref="I284"/>
    <hyperlink r:id="rId563" ref="J284"/>
    <hyperlink r:id="rId564" ref="I285"/>
    <hyperlink r:id="rId565" ref="J285"/>
    <hyperlink r:id="rId566" ref="I286"/>
    <hyperlink r:id="rId567" ref="J286"/>
    <hyperlink r:id="rId568" ref="I287"/>
    <hyperlink r:id="rId569" ref="J287"/>
    <hyperlink r:id="rId570" ref="I288"/>
    <hyperlink r:id="rId571" ref="J288"/>
    <hyperlink r:id="rId572" ref="I289"/>
    <hyperlink r:id="rId573" ref="J289"/>
    <hyperlink r:id="rId574" ref="I290"/>
    <hyperlink r:id="rId575" ref="J290"/>
    <hyperlink r:id="rId576" ref="I291"/>
    <hyperlink r:id="rId577" ref="J291"/>
    <hyperlink r:id="rId578" ref="I292"/>
    <hyperlink r:id="rId579" ref="J292"/>
    <hyperlink r:id="rId580" ref="I293"/>
    <hyperlink r:id="rId581" ref="J293"/>
    <hyperlink r:id="rId582" ref="I294"/>
    <hyperlink r:id="rId583" ref="J294"/>
    <hyperlink r:id="rId584" ref="I295"/>
    <hyperlink r:id="rId585" ref="J295"/>
    <hyperlink r:id="rId586" ref="I296"/>
    <hyperlink r:id="rId587" ref="J296"/>
    <hyperlink r:id="rId588" ref="I297"/>
    <hyperlink r:id="rId589" ref="J297"/>
    <hyperlink r:id="rId590" ref="I298"/>
    <hyperlink r:id="rId591" ref="J298"/>
    <hyperlink r:id="rId592" ref="I299"/>
    <hyperlink r:id="rId593" ref="J299"/>
    <hyperlink r:id="rId594" ref="I300"/>
    <hyperlink r:id="rId595" ref="J300"/>
    <hyperlink r:id="rId596" ref="I301"/>
    <hyperlink r:id="rId597" ref="J301"/>
    <hyperlink r:id="rId598" ref="I302"/>
    <hyperlink r:id="rId599" ref="J302"/>
    <hyperlink r:id="rId600" ref="I303"/>
    <hyperlink r:id="rId601" ref="J303"/>
    <hyperlink r:id="rId602" ref="I304"/>
    <hyperlink r:id="rId603" ref="J304"/>
    <hyperlink r:id="rId604" ref="I305"/>
    <hyperlink r:id="rId605" ref="J305"/>
    <hyperlink r:id="rId606" ref="I306"/>
    <hyperlink r:id="rId607" ref="J306"/>
    <hyperlink r:id="rId608" ref="I307"/>
    <hyperlink r:id="rId609" ref="J307"/>
    <hyperlink r:id="rId610" ref="I308"/>
    <hyperlink r:id="rId611" ref="J308"/>
    <hyperlink r:id="rId612" ref="I309"/>
    <hyperlink r:id="rId613" ref="J309"/>
    <hyperlink r:id="rId614" ref="I310"/>
    <hyperlink r:id="rId615" ref="J310"/>
    <hyperlink r:id="rId616" ref="I311"/>
    <hyperlink r:id="rId617" ref="J311"/>
    <hyperlink r:id="rId618" ref="I312"/>
    <hyperlink r:id="rId619" ref="J312"/>
    <hyperlink r:id="rId620" ref="I313"/>
    <hyperlink r:id="rId621" ref="J313"/>
    <hyperlink r:id="rId622" ref="I314"/>
    <hyperlink r:id="rId623" ref="J314"/>
    <hyperlink r:id="rId624" ref="I315"/>
    <hyperlink r:id="rId625" ref="J315"/>
    <hyperlink r:id="rId626" ref="I316"/>
    <hyperlink r:id="rId627" ref="J316"/>
    <hyperlink r:id="rId628" ref="I317"/>
    <hyperlink r:id="rId629" ref="J317"/>
    <hyperlink r:id="rId630" ref="I318"/>
    <hyperlink r:id="rId631" ref="J318"/>
    <hyperlink r:id="rId632" ref="I319"/>
    <hyperlink r:id="rId633" ref="J319"/>
    <hyperlink r:id="rId634" ref="I320"/>
    <hyperlink r:id="rId635" ref="J320"/>
    <hyperlink r:id="rId636" ref="I321"/>
    <hyperlink r:id="rId637" ref="J321"/>
    <hyperlink r:id="rId638" ref="I322"/>
    <hyperlink r:id="rId639" ref="J322"/>
    <hyperlink r:id="rId640" ref="I323"/>
    <hyperlink r:id="rId641" ref="J323"/>
    <hyperlink r:id="rId642" ref="I324"/>
    <hyperlink r:id="rId643" ref="J324"/>
    <hyperlink r:id="rId644" ref="I325"/>
    <hyperlink r:id="rId645" ref="J325"/>
    <hyperlink r:id="rId646" ref="I326"/>
    <hyperlink r:id="rId647" ref="J326"/>
    <hyperlink r:id="rId648" ref="I327"/>
    <hyperlink r:id="rId649" ref="J327"/>
    <hyperlink r:id="rId650" ref="I328"/>
    <hyperlink r:id="rId651" ref="J328"/>
    <hyperlink r:id="rId652" ref="I329"/>
    <hyperlink r:id="rId653" ref="J329"/>
    <hyperlink r:id="rId654" ref="I330"/>
    <hyperlink r:id="rId655" ref="J330"/>
    <hyperlink r:id="rId656" ref="I331"/>
    <hyperlink r:id="rId657" ref="J331"/>
    <hyperlink r:id="rId658" ref="I332"/>
    <hyperlink r:id="rId659" ref="J332"/>
    <hyperlink r:id="rId660" ref="I333"/>
    <hyperlink r:id="rId661" ref="J333"/>
    <hyperlink r:id="rId662" ref="I334"/>
    <hyperlink r:id="rId663" ref="J334"/>
    <hyperlink r:id="rId664" ref="I335"/>
    <hyperlink r:id="rId665" ref="J335"/>
    <hyperlink r:id="rId666" ref="I336"/>
    <hyperlink r:id="rId667" ref="J336"/>
    <hyperlink r:id="rId668" ref="I337"/>
    <hyperlink r:id="rId669" ref="J337"/>
    <hyperlink r:id="rId670" ref="I338"/>
    <hyperlink r:id="rId671" ref="J338"/>
    <hyperlink r:id="rId672" ref="I339"/>
    <hyperlink r:id="rId673" ref="J339"/>
    <hyperlink r:id="rId674" ref="I340"/>
    <hyperlink r:id="rId675" ref="J340"/>
    <hyperlink r:id="rId676" ref="I341"/>
    <hyperlink r:id="rId677" ref="J341"/>
    <hyperlink r:id="rId678" ref="I342"/>
    <hyperlink r:id="rId679" ref="J342"/>
    <hyperlink r:id="rId680" ref="I343"/>
    <hyperlink r:id="rId681" ref="J343"/>
    <hyperlink r:id="rId682" ref="I344"/>
    <hyperlink r:id="rId683" ref="J344"/>
    <hyperlink r:id="rId684" ref="I345"/>
    <hyperlink r:id="rId685" ref="J345"/>
    <hyperlink r:id="rId686" ref="I346"/>
    <hyperlink r:id="rId687" ref="J346"/>
    <hyperlink r:id="rId688" ref="I347"/>
    <hyperlink r:id="rId689" ref="J347"/>
    <hyperlink r:id="rId690" ref="I348"/>
    <hyperlink r:id="rId691" ref="J348"/>
    <hyperlink r:id="rId692" ref="I349"/>
    <hyperlink r:id="rId693" ref="J349"/>
  </hyperlinks>
  <printOptions gridLines="1" horizontalCentered="1"/>
  <pageMargins bottom="0.0" footer="0.0" header="0.0" left="0.0" right="0.0" top="0.0"/>
  <pageSetup fitToWidth="0" cellComments="atEnd" orientation="landscape" pageOrder="overThenDown" paperHeight="6in" paperWidth="23in"/>
  <drawing r:id="rId694"/>
  <legacyDrawing r:id="rId69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6.38"/>
    <col customWidth="1" min="3" max="134" width="25.13"/>
    <col customWidth="1" min="135" max="135" width="6.38"/>
  </cols>
  <sheetData>
    <row r="1" ht="7.5" customHeight="1">
      <c r="A1" s="56"/>
      <c r="B1" s="56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  <c r="CG1" s="57"/>
      <c r="CH1" s="57"/>
      <c r="CI1" s="57"/>
      <c r="CJ1" s="57"/>
      <c r="CK1" s="57"/>
      <c r="CL1" s="57"/>
      <c r="CM1" s="57"/>
      <c r="CN1" s="57"/>
      <c r="CO1" s="57"/>
      <c r="CP1" s="57"/>
      <c r="CQ1" s="57"/>
      <c r="CR1" s="57"/>
      <c r="CS1" s="57"/>
      <c r="CT1" s="57"/>
      <c r="CU1" s="57"/>
      <c r="CV1" s="57"/>
      <c r="CW1" s="57"/>
      <c r="CX1" s="57"/>
      <c r="CY1" s="57"/>
      <c r="CZ1" s="57"/>
      <c r="DA1" s="57"/>
      <c r="DB1" s="57"/>
      <c r="DC1" s="57"/>
      <c r="DD1" s="57"/>
      <c r="DE1" s="57"/>
      <c r="DF1" s="57"/>
      <c r="DG1" s="57"/>
      <c r="DH1" s="57"/>
      <c r="DI1" s="57"/>
      <c r="DJ1" s="57"/>
      <c r="DK1" s="57"/>
      <c r="DL1" s="57"/>
      <c r="DM1" s="57"/>
      <c r="DN1" s="57"/>
      <c r="DO1" s="57"/>
      <c r="DP1" s="57"/>
      <c r="DQ1" s="57"/>
      <c r="DR1" s="57"/>
      <c r="DS1" s="57"/>
      <c r="DT1" s="57"/>
      <c r="DU1" s="57"/>
      <c r="DV1" s="57"/>
      <c r="DW1" s="57"/>
      <c r="DX1" s="57"/>
      <c r="DY1" s="57"/>
      <c r="DZ1" s="57"/>
      <c r="EA1" s="57"/>
      <c r="EB1" s="57"/>
      <c r="EC1" s="57"/>
      <c r="ED1" s="57"/>
      <c r="EE1" s="57"/>
    </row>
    <row r="2" ht="75.0" customHeight="1">
      <c r="A2" s="58" t="s">
        <v>101</v>
      </c>
      <c r="B2" s="59">
        <f>COUNTIF(4:4,"*")</f>
        <v>20</v>
      </c>
      <c r="C2" s="60" t="str">
        <f t="array" ref="C2:EE2">IF(C4:EE4 &lt;&gt; "", IF(VLOOKUP(C4:EE4,'Characters Database'!$E$6:$I45, 5, False) = "", "-", IMAGE(VLOOKUP(C4:EE4,'Characters Database'!$E$6:$I45, 5, False))), )</f>
        <v/>
      </c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1"/>
    </row>
    <row r="3" ht="22.5" customHeight="1">
      <c r="A3" s="62"/>
      <c r="B3" s="63"/>
      <c r="C3" s="64" t="str">
        <f t="array" ref="C3:EE3">IF(C4:EE4 &lt;&gt; "", IMAGE(VLOOKUP(C4:EE4,'Characters Database'!$E$6:$K45, 6, False)), )</f>
        <v/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4"/>
      <c r="BV3" s="64"/>
      <c r="BW3" s="64"/>
      <c r="BX3" s="64"/>
      <c r="BY3" s="64"/>
      <c r="BZ3" s="64"/>
      <c r="CA3" s="64"/>
      <c r="CB3" s="64"/>
      <c r="CC3" s="64"/>
      <c r="CD3" s="64"/>
      <c r="CE3" s="64"/>
      <c r="CF3" s="64"/>
      <c r="CG3" s="64"/>
      <c r="CH3" s="64"/>
      <c r="CI3" s="64"/>
      <c r="CJ3" s="64"/>
      <c r="CK3" s="64"/>
      <c r="CL3" s="64"/>
      <c r="CM3" s="64"/>
      <c r="CN3" s="64"/>
      <c r="CO3" s="64"/>
      <c r="CP3" s="64"/>
      <c r="CQ3" s="64"/>
      <c r="CR3" s="64"/>
      <c r="CS3" s="64"/>
      <c r="CT3" s="64"/>
      <c r="CU3" s="64"/>
      <c r="CV3" s="64"/>
      <c r="CW3" s="64"/>
      <c r="CX3" s="64"/>
      <c r="CY3" s="64"/>
      <c r="CZ3" s="64"/>
      <c r="DA3" s="64"/>
      <c r="DB3" s="64"/>
      <c r="DC3" s="64"/>
      <c r="DD3" s="64"/>
      <c r="DE3" s="64"/>
      <c r="DF3" s="64"/>
      <c r="DG3" s="64"/>
      <c r="DH3" s="64"/>
      <c r="DI3" s="64"/>
      <c r="DJ3" s="64"/>
      <c r="DK3" s="64"/>
      <c r="DL3" s="64"/>
      <c r="DM3" s="64"/>
      <c r="DN3" s="64"/>
      <c r="DO3" s="64"/>
      <c r="DP3" s="64"/>
      <c r="DQ3" s="64"/>
      <c r="DR3" s="64"/>
      <c r="DS3" s="64"/>
      <c r="DT3" s="64"/>
      <c r="DU3" s="64"/>
      <c r="DV3" s="64"/>
      <c r="DW3" s="64"/>
      <c r="DX3" s="64"/>
      <c r="DY3" s="64"/>
      <c r="DZ3" s="64"/>
      <c r="EA3" s="64"/>
      <c r="EB3" s="64"/>
      <c r="EC3" s="64"/>
      <c r="ED3" s="64"/>
      <c r="EE3" s="65"/>
    </row>
    <row r="4" ht="22.5" customHeight="1">
      <c r="A4" s="66"/>
      <c r="B4" s="67"/>
      <c r="C4" s="68" t="str">
        <f>IFERROR(__xludf.DUMMYFUNCTION("TRANSPOSE(QUERY('Characters Database'!A$6:K45, ""Select E Where F = '"" &amp;  A2 &amp; ""'""))"),"Celestial Dragon
St. Charlos")</f>
        <v>Celestial Dragon
St. Charlos</v>
      </c>
      <c r="D4" s="69" t="str">
        <f>IFERROR(__xludf.DUMMYFUNCTION("""COMPUTED_VALUE"""),"Bounty Hunter
Johnny")</f>
        <v>Bounty Hunter
Johnny</v>
      </c>
      <c r="E4" s="69" t="str">
        <f>IFERROR(__xludf.DUMMYFUNCTION("""COMPUTED_VALUE"""),"Bounty Hunter
Yosaku")</f>
        <v>Bounty Hunter
Yosaku</v>
      </c>
      <c r="F4" s="69" t="str">
        <f>IFERROR(__xludf.DUMMYFUNCTION("""COMPUTED_VALUE"""),"Black Cat Pirates / Guard
Butchie")</f>
        <v>Black Cat Pirates / Guard
Butchie</v>
      </c>
      <c r="G4" s="69" t="str">
        <f>IFERROR(__xludf.DUMMYFUNCTION("""COMPUTED_VALUE"""),"Black Cat Pirates / Captain
Django")</f>
        <v>Black Cat Pirates / Captain
Django</v>
      </c>
      <c r="H4" s="69" t="str">
        <f>IFERROR(__xludf.DUMMYFUNCTION("""COMPUTED_VALUE"""),"Buggy Pirates / Chief of Staff
Cabaji")</f>
        <v>Buggy Pirates / Chief of Staff
Cabaji</v>
      </c>
      <c r="I4" s="69" t="str">
        <f>IFERROR(__xludf.DUMMYFUNCTION("""COMPUTED_VALUE"""),"Navy Captain
Morgan")</f>
        <v>Navy Captain
Morgan</v>
      </c>
      <c r="J4" s="69" t="str">
        <f>IFERROR(__xludf.DUMMYFUNCTION("""COMPUTED_VALUE"""),"The Idiot Son
Helmeppo")</f>
        <v>The Idiot Son
Helmeppo</v>
      </c>
      <c r="K4" s="69" t="str">
        <f>IFERROR(__xludf.DUMMYFUNCTION("""COMPUTED_VALUE"""),"Alvida Pirates / Captain
Alvida")</f>
        <v>Alvida Pirates / Captain
Alvida</v>
      </c>
      <c r="L4" s="69" t="str">
        <f>IFERROR(__xludf.DUMMYFUNCTION("""COMPUTED_VALUE"""),"Chore Boy
Koby")</f>
        <v>Chore Boy
Koby</v>
      </c>
      <c r="M4" s="69" t="str">
        <f>IFERROR(__xludf.DUMMYFUNCTION("""COMPUTED_VALUE"""),"Mountain Bandits / Leader
Higuma the Bear")</f>
        <v>Mountain Bandits / Leader
Higuma the Bear</v>
      </c>
      <c r="N4" s="69" t="str">
        <f>IFERROR(__xludf.DUMMYFUNCTION("""COMPUTED_VALUE"""),"Straw Hat Pirates / Musician
Brook")</f>
        <v>Straw Hat Pirates / Musician
Brook</v>
      </c>
      <c r="O4" s="69" t="str">
        <f>IFERROR(__xludf.DUMMYFUNCTION("""COMPUTED_VALUE"""),"Straw Hat Pirates / Ship Carpenter
Franky")</f>
        <v>Straw Hat Pirates / Ship Carpenter
Franky</v>
      </c>
      <c r="P4" s="69" t="str">
        <f>IFERROR(__xludf.DUMMYFUNCTION("""COMPUTED_VALUE"""),"Straw Hat Pirates / Archaeologist
Nico Robin")</f>
        <v>Straw Hat Pirates / Archaeologist
Nico Robin</v>
      </c>
      <c r="Q4" s="69" t="str">
        <f>IFERROR(__xludf.DUMMYFUNCTION("""COMPUTED_VALUE"""),"Straw Hat Pirates / Doctor
Tony Tony Chopper")</f>
        <v>Straw Hat Pirates / Doctor
Tony Tony Chopper</v>
      </c>
      <c r="R4" s="69" t="str">
        <f>IFERROR(__xludf.DUMMYFUNCTION("""COMPUTED_VALUE"""),"Straw Hat Pirates / Cook
Sanji")</f>
        <v>Straw Hat Pirates / Cook
Sanji</v>
      </c>
      <c r="S4" s="69" t="str">
        <f>IFERROR(__xludf.DUMMYFUNCTION("""COMPUTED_VALUE"""),"Straw Hat Pirates / Sharp Shooter
Usopp")</f>
        <v>Straw Hat Pirates / Sharp Shooter
Usopp</v>
      </c>
      <c r="T4" s="69" t="str">
        <f>IFERROR(__xludf.DUMMYFUNCTION("""COMPUTED_VALUE"""),"Straw Hat Pirates / Navigator
Nami")</f>
        <v>Straw Hat Pirates / Navigator
Nami</v>
      </c>
      <c r="U4" s="69" t="str">
        <f>IFERROR(__xludf.DUMMYFUNCTION("""COMPUTED_VALUE"""),"Straw Hat Pirates / Combatant
Roronoa Zoro")</f>
        <v>Straw Hat Pirates / Combatant
Roronoa Zoro</v>
      </c>
      <c r="V4" s="70" t="str">
        <f>IFERROR(__xludf.DUMMYFUNCTION("""COMPUTED_VALUE"""),"Straw Hat Pirates / Captain
Monkey D. Luffy")</f>
        <v>Straw Hat Pirates / Captain
Monkey D. Luffy</v>
      </c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70"/>
      <c r="BK4" s="70"/>
      <c r="BL4" s="70"/>
      <c r="BM4" s="70"/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  <c r="CQ4" s="70"/>
      <c r="CR4" s="70"/>
      <c r="CS4" s="70"/>
      <c r="CT4" s="70"/>
      <c r="CU4" s="70"/>
      <c r="CV4" s="70"/>
      <c r="CW4" s="70"/>
      <c r="CX4" s="70"/>
      <c r="CY4" s="70"/>
      <c r="CZ4" s="70"/>
      <c r="DA4" s="70"/>
      <c r="DB4" s="70"/>
      <c r="DC4" s="70"/>
      <c r="DD4" s="70"/>
      <c r="DE4" s="70"/>
      <c r="DF4" s="70"/>
      <c r="DG4" s="70"/>
      <c r="DH4" s="70"/>
      <c r="DI4" s="70"/>
      <c r="DJ4" s="70"/>
      <c r="DK4" s="70"/>
      <c r="DL4" s="70"/>
      <c r="DM4" s="70"/>
      <c r="DN4" s="70"/>
      <c r="DO4" s="70"/>
      <c r="DP4" s="70"/>
      <c r="DQ4" s="70"/>
      <c r="DR4" s="70"/>
      <c r="DS4" s="70"/>
      <c r="DT4" s="70"/>
      <c r="DU4" s="70"/>
      <c r="DV4" s="70"/>
      <c r="DW4" s="70"/>
      <c r="DX4" s="70"/>
      <c r="DY4" s="70"/>
      <c r="DZ4" s="70"/>
      <c r="EA4" s="70"/>
      <c r="EB4" s="70"/>
      <c r="EC4" s="70"/>
      <c r="ED4" s="70"/>
      <c r="EE4" s="71"/>
    </row>
    <row r="5" ht="7.5" customHeight="1">
      <c r="A5" s="56"/>
      <c r="B5" s="56"/>
      <c r="C5" s="72" t="str">
        <f t="array" ref="C5:EE5">IF(C4:EE4 &lt;&gt; "", VLOOKUP(C4:EE4,'Characters Database'!$E$6:$K45, 7, False), )</f>
        <v>Light
Defender</v>
      </c>
      <c r="D5" s="72" t="s">
        <v>114</v>
      </c>
      <c r="E5" s="72" t="s">
        <v>24</v>
      </c>
      <c r="F5" s="72" t="s">
        <v>140</v>
      </c>
      <c r="G5" s="72" t="s">
        <v>75</v>
      </c>
      <c r="H5" s="72" t="s">
        <v>10</v>
      </c>
      <c r="I5" s="72" t="s">
        <v>140</v>
      </c>
      <c r="J5" s="72" t="s">
        <v>10</v>
      </c>
      <c r="K5" s="72" t="s">
        <v>86</v>
      </c>
      <c r="L5" s="72" t="s">
        <v>75</v>
      </c>
      <c r="M5" s="72" t="s">
        <v>35</v>
      </c>
      <c r="N5" s="72" t="s">
        <v>10</v>
      </c>
      <c r="O5" s="72" t="s">
        <v>75</v>
      </c>
      <c r="P5" s="72" t="s">
        <v>104</v>
      </c>
      <c r="Q5" s="72" t="s">
        <v>24</v>
      </c>
      <c r="R5" s="72" t="s">
        <v>212</v>
      </c>
      <c r="S5" s="72" t="s">
        <v>114</v>
      </c>
      <c r="T5" s="72" t="s">
        <v>10</v>
      </c>
      <c r="U5" s="72" t="s">
        <v>86</v>
      </c>
      <c r="V5" s="72" t="s">
        <v>35</v>
      </c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  <c r="BM5" s="72"/>
      <c r="BN5" s="72"/>
      <c r="BO5" s="72"/>
      <c r="BP5" s="72"/>
      <c r="BQ5" s="72"/>
      <c r="BR5" s="72"/>
      <c r="BS5" s="72"/>
      <c r="BT5" s="72"/>
      <c r="BU5" s="72"/>
      <c r="BV5" s="72"/>
      <c r="BW5" s="72"/>
      <c r="BX5" s="72"/>
      <c r="BY5" s="72"/>
      <c r="BZ5" s="72"/>
      <c r="CA5" s="72"/>
      <c r="CB5" s="72"/>
      <c r="CC5" s="72"/>
      <c r="CD5" s="72"/>
      <c r="CE5" s="72"/>
      <c r="CF5" s="72"/>
      <c r="CG5" s="72"/>
      <c r="CH5" s="72"/>
      <c r="CI5" s="72"/>
      <c r="CJ5" s="72"/>
      <c r="CK5" s="72"/>
      <c r="CL5" s="72"/>
      <c r="CM5" s="72"/>
      <c r="CN5" s="72"/>
      <c r="CO5" s="72"/>
      <c r="CP5" s="72"/>
      <c r="CQ5" s="72"/>
      <c r="CR5" s="72"/>
      <c r="CS5" s="72"/>
      <c r="CT5" s="72"/>
      <c r="CU5" s="72"/>
      <c r="CV5" s="72"/>
      <c r="CW5" s="72"/>
      <c r="CX5" s="72"/>
      <c r="CY5" s="72"/>
      <c r="CZ5" s="72"/>
      <c r="DA5" s="72"/>
      <c r="DB5" s="72"/>
      <c r="DC5" s="72"/>
      <c r="DD5" s="72"/>
      <c r="DE5" s="72"/>
      <c r="DF5" s="72"/>
      <c r="DG5" s="72"/>
      <c r="DH5" s="72"/>
      <c r="DI5" s="72"/>
      <c r="DJ5" s="72"/>
      <c r="DK5" s="72"/>
      <c r="DL5" s="72"/>
      <c r="DM5" s="72"/>
      <c r="DN5" s="72"/>
      <c r="DO5" s="72"/>
      <c r="DP5" s="72"/>
      <c r="DQ5" s="72"/>
      <c r="DR5" s="72"/>
      <c r="DS5" s="72"/>
      <c r="DT5" s="72"/>
      <c r="DU5" s="72"/>
      <c r="DV5" s="72"/>
      <c r="DW5" s="72"/>
      <c r="DX5" s="72"/>
      <c r="DY5" s="72"/>
      <c r="DZ5" s="72"/>
      <c r="EA5" s="72"/>
      <c r="EB5" s="72"/>
      <c r="EC5" s="72"/>
      <c r="ED5" s="72"/>
      <c r="EE5" s="72"/>
    </row>
    <row r="6" ht="75.0" customHeight="1">
      <c r="A6" s="73" t="s">
        <v>888</v>
      </c>
      <c r="B6" s="74">
        <f>COUNTIF(8:8,"*")</f>
        <v>14</v>
      </c>
      <c r="C6" s="60" t="str">
        <f t="array" ref="C6:EE6">IF(C8:EE8 &lt;&gt; "", IF(VLOOKUP(C8:EE8,'Characters Database'!$E$6:$I45, 5, False) = "", "-", IMAGE(VLOOKUP(C8:EE8,'Characters Database'!$E$6:$I45, 5, False))), )</f>
        <v/>
      </c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0"/>
      <c r="BO6" s="60"/>
      <c r="BP6" s="60"/>
      <c r="BQ6" s="60"/>
      <c r="BR6" s="60"/>
      <c r="BS6" s="60"/>
      <c r="BT6" s="60"/>
      <c r="BU6" s="60"/>
      <c r="BV6" s="60"/>
      <c r="BW6" s="60"/>
      <c r="BX6" s="60"/>
      <c r="BY6" s="60"/>
      <c r="BZ6" s="60"/>
      <c r="CA6" s="60"/>
      <c r="CB6" s="60"/>
      <c r="CC6" s="60"/>
      <c r="CD6" s="60"/>
      <c r="CE6" s="60"/>
      <c r="CF6" s="60"/>
      <c r="CG6" s="60"/>
      <c r="CH6" s="60"/>
      <c r="CI6" s="60"/>
      <c r="CJ6" s="60"/>
      <c r="CK6" s="60"/>
      <c r="CL6" s="60"/>
      <c r="CM6" s="60"/>
      <c r="CN6" s="60"/>
      <c r="CO6" s="60"/>
      <c r="CP6" s="60"/>
      <c r="CQ6" s="60"/>
      <c r="CR6" s="60"/>
      <c r="CS6" s="60"/>
      <c r="CT6" s="60"/>
      <c r="CU6" s="60"/>
      <c r="CV6" s="60"/>
      <c r="CW6" s="60"/>
      <c r="CX6" s="60"/>
      <c r="CY6" s="60"/>
      <c r="CZ6" s="60"/>
      <c r="DA6" s="60"/>
      <c r="DB6" s="60"/>
      <c r="DC6" s="60"/>
      <c r="DD6" s="60"/>
      <c r="DE6" s="60"/>
      <c r="DF6" s="60"/>
      <c r="DG6" s="60"/>
      <c r="DH6" s="60"/>
      <c r="DI6" s="60"/>
      <c r="DJ6" s="60"/>
      <c r="DK6" s="60"/>
      <c r="DL6" s="60"/>
      <c r="DM6" s="60"/>
      <c r="DN6" s="60"/>
      <c r="DO6" s="60"/>
      <c r="DP6" s="60"/>
      <c r="DQ6" s="60"/>
      <c r="DR6" s="60"/>
      <c r="DS6" s="60"/>
      <c r="DT6" s="60"/>
      <c r="DU6" s="60"/>
      <c r="DV6" s="60"/>
      <c r="DW6" s="60"/>
      <c r="DX6" s="60"/>
      <c r="DY6" s="60"/>
      <c r="DZ6" s="60"/>
      <c r="EA6" s="60"/>
      <c r="EB6" s="60"/>
      <c r="EC6" s="60"/>
      <c r="ED6" s="60"/>
      <c r="EE6" s="61"/>
    </row>
    <row r="7" ht="22.5" customHeight="1">
      <c r="A7" s="62"/>
      <c r="B7" s="63"/>
      <c r="C7" s="64" t="str">
        <f t="array" ref="C7:EE7">IF(C8:EE8 &lt;&gt; "", IMAGE(VLOOKUP(C8:EE8,'Characters Database'!$E$6:$K45, 6, False)), )</f>
        <v/>
      </c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4"/>
      <c r="CF7" s="64"/>
      <c r="CG7" s="64"/>
      <c r="CH7" s="64"/>
      <c r="CI7" s="64"/>
      <c r="CJ7" s="64"/>
      <c r="CK7" s="64"/>
      <c r="CL7" s="64"/>
      <c r="CM7" s="64"/>
      <c r="CN7" s="64"/>
      <c r="CO7" s="64"/>
      <c r="CP7" s="64"/>
      <c r="CQ7" s="64"/>
      <c r="CR7" s="64"/>
      <c r="CS7" s="64"/>
      <c r="CT7" s="64"/>
      <c r="CU7" s="64"/>
      <c r="CV7" s="64"/>
      <c r="CW7" s="64"/>
      <c r="CX7" s="64"/>
      <c r="CY7" s="64"/>
      <c r="CZ7" s="64"/>
      <c r="DA7" s="64"/>
      <c r="DB7" s="64"/>
      <c r="DC7" s="64"/>
      <c r="DD7" s="64"/>
      <c r="DE7" s="64"/>
      <c r="DF7" s="64"/>
      <c r="DG7" s="64"/>
      <c r="DH7" s="64"/>
      <c r="DI7" s="64"/>
      <c r="DJ7" s="64"/>
      <c r="DK7" s="64"/>
      <c r="DL7" s="64"/>
      <c r="DM7" s="64"/>
      <c r="DN7" s="64"/>
      <c r="DO7" s="64"/>
      <c r="DP7" s="64"/>
      <c r="DQ7" s="64"/>
      <c r="DR7" s="64"/>
      <c r="DS7" s="64"/>
      <c r="DT7" s="64"/>
      <c r="DU7" s="64"/>
      <c r="DV7" s="64"/>
      <c r="DW7" s="64"/>
      <c r="DX7" s="64"/>
      <c r="DY7" s="64"/>
      <c r="DZ7" s="64"/>
      <c r="EA7" s="64"/>
      <c r="EB7" s="64"/>
      <c r="EC7" s="64"/>
      <c r="ED7" s="64"/>
      <c r="EE7" s="65"/>
    </row>
    <row r="8" ht="22.5" customHeight="1">
      <c r="A8" s="66"/>
      <c r="B8" s="67"/>
      <c r="C8" s="68" t="str">
        <f>IFERROR(__xludf.DUMMYFUNCTION("TRANSPOSE(QUERY('Characters Database'!A$6:K45, ""Select E Where F = '"" &amp;  A6 &amp; ""'""))"),"Veau Vengeance
Sanji")</f>
        <v>Veau Vengeance
Sanji</v>
      </c>
      <c r="D8" s="69" t="str">
        <f>IFERROR(__xludf.DUMMYFUNCTION("""COMPUTED_VALUE"""),"5t Hammer
Usopp")</f>
        <v>5t Hammer
Usopp</v>
      </c>
      <c r="E8" s="69" t="str">
        <f>IFERROR(__xludf.DUMMYFUNCTION("""COMPUTED_VALUE"""),"Climate Baton
Nami")</f>
        <v>Climate Baton
Nami</v>
      </c>
      <c r="F8" s="75" t="str">
        <f>IFERROR(__xludf.DUMMYFUNCTION("""COMPUTED_VALUE"""),"Baroque Works / Frontier Agents
Ms. Wednesday")</f>
        <v>Baroque Works / Frontier Agents
Ms. Wednesday</v>
      </c>
      <c r="G8" s="69" t="str">
        <f>IFERROR(__xludf.DUMMYFUNCTION("""COMPUTED_VALUE"""),"Slip-Slip Fruit
Alvida")</f>
        <v>Slip-Slip Fruit
Alvida</v>
      </c>
      <c r="H8" s="75" t="str">
        <f>IFERROR(__xludf.DUMMYFUNCTION("""COMPUTED_VALUE"""),"Navy HQ / Master Chief Petty Officer
Tashigi")</f>
        <v>Navy HQ / Master Chief Petty Officer
Tashigi</v>
      </c>
      <c r="I8" s="69" t="str">
        <f>IFERROR(__xludf.DUMMYFUNCTION("""COMPUTED_VALUE"""),"Arlong Pirates / Officer
Choo")</f>
        <v>Arlong Pirates / Officer
Choo</v>
      </c>
      <c r="J8" s="69" t="str">
        <f>IFERROR(__xludf.DUMMYFUNCTION("""COMPUTED_VALUE"""),"Arlong Pirates / Officer
Kuroobi")</f>
        <v>Arlong Pirates / Officer
Kuroobi</v>
      </c>
      <c r="K8" s="69" t="str">
        <f>IFERROR(__xludf.DUMMYFUNCTION("""COMPUTED_VALUE"""),"Arlong Pirates / Officer
Hatchan")</f>
        <v>Arlong Pirates / Officer
Hatchan</v>
      </c>
      <c r="L8" s="69" t="str">
        <f>IFERROR(__xludf.DUMMYFUNCTION("""COMPUTED_VALUE"""),"Krieg`s Pirate Armada / Admiral
Don Krieg")</f>
        <v>Krieg`s Pirate Armada / Admiral
Don Krieg</v>
      </c>
      <c r="M8" s="76" t="str">
        <f>IFERROR(__xludf.DUMMYFUNCTION("""COMPUTED_VALUE"""),"Krieg`s Pirate Armada / Battle Commander
Gin")</f>
        <v>Krieg`s Pirate Armada / Battle Commander
Gin</v>
      </c>
      <c r="N8" s="69" t="str">
        <f>IFERROR(__xludf.DUMMYFUNCTION("""COMPUTED_VALUE"""),"Baratie / Head Chef
Zeff")</f>
        <v>Baratie / Head Chef
Zeff</v>
      </c>
      <c r="O8" s="69" t="str">
        <f>IFERROR(__xludf.DUMMYFUNCTION("""COMPUTED_VALUE"""),"Black Cat Pirates / Former Captain
Captain Kuro")</f>
        <v>Black Cat Pirates / Former Captain
Captain Kuro</v>
      </c>
      <c r="P8" s="69" t="str">
        <f>IFERROR(__xludf.DUMMYFUNCTION("""COMPUTED_VALUE"""),"Buggy Pirates / Captain
Buggy")</f>
        <v>Buggy Pirates / Captain
Buggy</v>
      </c>
      <c r="Q8" s="75"/>
      <c r="R8" s="75"/>
      <c r="S8" s="75"/>
      <c r="T8" s="75"/>
      <c r="U8" s="75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0"/>
      <c r="BK8" s="70"/>
      <c r="BL8" s="70"/>
      <c r="BM8" s="70"/>
      <c r="BN8" s="70"/>
      <c r="BO8" s="70"/>
      <c r="BP8" s="70"/>
      <c r="BQ8" s="70"/>
      <c r="BR8" s="70"/>
      <c r="BS8" s="70"/>
      <c r="BT8" s="70"/>
      <c r="BU8" s="70"/>
      <c r="BV8" s="70"/>
      <c r="BW8" s="70"/>
      <c r="BX8" s="70"/>
      <c r="BY8" s="70"/>
      <c r="BZ8" s="70"/>
      <c r="CA8" s="70"/>
      <c r="CB8" s="70"/>
      <c r="CC8" s="70"/>
      <c r="CD8" s="70"/>
      <c r="CE8" s="70"/>
      <c r="CF8" s="70"/>
      <c r="CG8" s="70"/>
      <c r="CH8" s="70"/>
      <c r="CI8" s="70"/>
      <c r="CJ8" s="70"/>
      <c r="CK8" s="70"/>
      <c r="CL8" s="70"/>
      <c r="CM8" s="70"/>
      <c r="CN8" s="70"/>
      <c r="CO8" s="70"/>
      <c r="CP8" s="70"/>
      <c r="CQ8" s="70"/>
      <c r="CR8" s="70"/>
      <c r="CS8" s="70"/>
      <c r="CT8" s="70"/>
      <c r="CU8" s="70"/>
      <c r="CV8" s="70"/>
      <c r="CW8" s="70"/>
      <c r="CX8" s="70"/>
      <c r="CY8" s="70"/>
      <c r="CZ8" s="70"/>
      <c r="DA8" s="70"/>
      <c r="DB8" s="70"/>
      <c r="DC8" s="70"/>
      <c r="DD8" s="70"/>
      <c r="DE8" s="70"/>
      <c r="DF8" s="70"/>
      <c r="DG8" s="70"/>
      <c r="DH8" s="70"/>
      <c r="DI8" s="70"/>
      <c r="DJ8" s="70"/>
      <c r="DK8" s="70"/>
      <c r="DL8" s="70"/>
      <c r="DM8" s="70"/>
      <c r="DN8" s="70"/>
      <c r="DO8" s="70"/>
      <c r="DP8" s="70"/>
      <c r="DQ8" s="70"/>
      <c r="DR8" s="70"/>
      <c r="DS8" s="70"/>
      <c r="DT8" s="70"/>
      <c r="DU8" s="70"/>
      <c r="DV8" s="70"/>
      <c r="DW8" s="70"/>
      <c r="DX8" s="70"/>
      <c r="DY8" s="70"/>
      <c r="DZ8" s="70"/>
      <c r="EA8" s="70"/>
      <c r="EB8" s="70"/>
      <c r="EC8" s="70"/>
      <c r="ED8" s="70"/>
      <c r="EE8" s="71"/>
    </row>
    <row r="9" ht="7.5" customHeight="1">
      <c r="A9" s="56"/>
      <c r="B9" s="56"/>
      <c r="C9" s="72" t="str">
        <f t="array" ref="C9:EE9">IF(C8:EE8 &lt;&gt; "", VLOOKUP(C8:EE8,'Characters Database'!$E$6:$K45, 7, False), )</f>
        <v>Blue
Defender</v>
      </c>
      <c r="D9" s="72" t="s">
        <v>212</v>
      </c>
      <c r="E9" s="72" t="s">
        <v>104</v>
      </c>
      <c r="F9" s="72" t="s">
        <v>114</v>
      </c>
      <c r="G9" s="72" t="s">
        <v>10</v>
      </c>
      <c r="H9" s="72" t="s">
        <v>114</v>
      </c>
      <c r="I9" s="72" t="s">
        <v>104</v>
      </c>
      <c r="J9" s="72" t="s">
        <v>140</v>
      </c>
      <c r="K9" s="72" t="s">
        <v>35</v>
      </c>
      <c r="L9" s="72" t="s">
        <v>86</v>
      </c>
      <c r="M9" s="72" t="s">
        <v>35</v>
      </c>
      <c r="N9" s="72" t="s">
        <v>75</v>
      </c>
      <c r="O9" s="72" t="s">
        <v>104</v>
      </c>
      <c r="P9" s="72" t="s">
        <v>24</v>
      </c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72"/>
      <c r="CA9" s="72"/>
      <c r="CB9" s="72"/>
      <c r="CC9" s="72"/>
      <c r="CD9" s="72"/>
      <c r="CE9" s="72"/>
      <c r="CF9" s="72"/>
      <c r="CG9" s="72"/>
      <c r="CH9" s="72"/>
      <c r="CI9" s="72"/>
      <c r="CJ9" s="72"/>
      <c r="CK9" s="72"/>
      <c r="CL9" s="72"/>
      <c r="CM9" s="72"/>
      <c r="CN9" s="72"/>
      <c r="CO9" s="72"/>
      <c r="CP9" s="72"/>
      <c r="CQ9" s="72"/>
      <c r="CR9" s="72"/>
      <c r="CS9" s="72"/>
      <c r="CT9" s="72"/>
      <c r="CU9" s="72"/>
      <c r="CV9" s="72"/>
      <c r="CW9" s="72"/>
      <c r="CX9" s="72"/>
      <c r="CY9" s="72"/>
      <c r="CZ9" s="72"/>
      <c r="DA9" s="72"/>
      <c r="DB9" s="72"/>
      <c r="DC9" s="72"/>
      <c r="DD9" s="72"/>
      <c r="DE9" s="72"/>
      <c r="DF9" s="72"/>
      <c r="DG9" s="72"/>
      <c r="DH9" s="72"/>
      <c r="DI9" s="72"/>
      <c r="DJ9" s="72"/>
      <c r="DK9" s="72"/>
      <c r="DL9" s="72"/>
      <c r="DM9" s="72"/>
      <c r="DN9" s="72"/>
      <c r="DO9" s="72"/>
      <c r="DP9" s="72"/>
      <c r="DQ9" s="72"/>
      <c r="DR9" s="72"/>
      <c r="DS9" s="72"/>
      <c r="DT9" s="72"/>
      <c r="DU9" s="72"/>
      <c r="DV9" s="72"/>
      <c r="DW9" s="72"/>
      <c r="DX9" s="72"/>
      <c r="DY9" s="72"/>
      <c r="DZ9" s="72"/>
      <c r="EA9" s="72"/>
      <c r="EB9" s="72"/>
      <c r="EC9" s="72"/>
      <c r="ED9" s="72"/>
      <c r="EE9" s="72"/>
    </row>
    <row r="10" ht="75.0" customHeight="1">
      <c r="A10" s="73" t="s">
        <v>206</v>
      </c>
      <c r="B10" s="74">
        <f>COUNTIF(12:12,"*")</f>
        <v>17</v>
      </c>
      <c r="C10" s="60" t="str">
        <f t="array" ref="C10:EE10">IF(C12:EE12 &lt;&gt; "", IF(VLOOKUP(C12:EE12,'Characters Database'!$E$6:$I45, 5, False) = "", "-", IMAGE(VLOOKUP(C12:EE12,'Characters Database'!$E$6:$I45, 5, False))), )</f>
        <v/>
      </c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0"/>
      <c r="CS10" s="60"/>
      <c r="CT10" s="60"/>
      <c r="CU10" s="60"/>
      <c r="CV10" s="60"/>
      <c r="CW10" s="60"/>
      <c r="CX10" s="60"/>
      <c r="CY10" s="60"/>
      <c r="CZ10" s="60"/>
      <c r="DA10" s="60"/>
      <c r="DB10" s="60"/>
      <c r="DC10" s="60"/>
      <c r="DD10" s="60"/>
      <c r="DE10" s="60"/>
      <c r="DF10" s="60"/>
      <c r="DG10" s="60"/>
      <c r="DH10" s="60"/>
      <c r="DI10" s="60"/>
      <c r="DJ10" s="60"/>
      <c r="DK10" s="60"/>
      <c r="DL10" s="60"/>
      <c r="DM10" s="60"/>
      <c r="DN10" s="60"/>
      <c r="DO10" s="60"/>
      <c r="DP10" s="60"/>
      <c r="DQ10" s="60"/>
      <c r="DR10" s="60"/>
      <c r="DS10" s="60"/>
      <c r="DT10" s="60"/>
      <c r="DU10" s="60"/>
      <c r="DV10" s="60"/>
      <c r="DW10" s="60"/>
      <c r="DX10" s="60"/>
      <c r="DY10" s="60"/>
      <c r="DZ10" s="60"/>
      <c r="EA10" s="60"/>
      <c r="EB10" s="60"/>
      <c r="EC10" s="60"/>
      <c r="ED10" s="60"/>
      <c r="EE10" s="61"/>
    </row>
    <row r="11" ht="22.5" customHeight="1">
      <c r="A11" s="62"/>
      <c r="B11" s="63"/>
      <c r="C11" s="64" t="str">
        <f t="array" ref="C11:EE11">IF(C12:EE12 &lt;&gt; "", IMAGE(VLOOKUP(C12:EE12,'Characters Database'!$E$6:$K45, 7, False)), )</f>
        <v/>
      </c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4"/>
      <c r="CF11" s="64"/>
      <c r="CG11" s="64"/>
      <c r="CH11" s="64"/>
      <c r="CI11" s="64"/>
      <c r="CJ11" s="64"/>
      <c r="CK11" s="64"/>
      <c r="CL11" s="64"/>
      <c r="CM11" s="64"/>
      <c r="CN11" s="64"/>
      <c r="CO11" s="64"/>
      <c r="CP11" s="64"/>
      <c r="CQ11" s="64"/>
      <c r="CR11" s="64"/>
      <c r="CS11" s="64"/>
      <c r="CT11" s="64"/>
      <c r="CU11" s="64"/>
      <c r="CV11" s="64"/>
      <c r="CW11" s="64"/>
      <c r="CX11" s="64"/>
      <c r="CY11" s="64"/>
      <c r="CZ11" s="64"/>
      <c r="DA11" s="64"/>
      <c r="DB11" s="64"/>
      <c r="DC11" s="64"/>
      <c r="DD11" s="64"/>
      <c r="DE11" s="64"/>
      <c r="DF11" s="64"/>
      <c r="DG11" s="64"/>
      <c r="DH11" s="64"/>
      <c r="DI11" s="64"/>
      <c r="DJ11" s="64"/>
      <c r="DK11" s="64"/>
      <c r="DL11" s="64"/>
      <c r="DM11" s="64"/>
      <c r="DN11" s="64"/>
      <c r="DO11" s="64"/>
      <c r="DP11" s="64"/>
      <c r="DQ11" s="64"/>
      <c r="DR11" s="64"/>
      <c r="DS11" s="64"/>
      <c r="DT11" s="64"/>
      <c r="DU11" s="64"/>
      <c r="DV11" s="64"/>
      <c r="DW11" s="64"/>
      <c r="DX11" s="64"/>
      <c r="DY11" s="64"/>
      <c r="DZ11" s="64"/>
      <c r="EA11" s="64"/>
      <c r="EB11" s="64"/>
      <c r="EC11" s="64"/>
      <c r="ED11" s="64"/>
      <c r="EE11" s="65"/>
    </row>
    <row r="12" ht="22.5" customHeight="1">
      <c r="A12" s="66"/>
      <c r="B12" s="67"/>
      <c r="C12" s="68" t="str">
        <f>IFERROR(__xludf.DUMMYFUNCTION("TRANSPOSE(QUERY('Characters Database'!A$6:K45, ""Select E Where F = '"" &amp;  A10 &amp; ""'""))"),"Fake Straw Hat Pirates / Captain
Demaro Black")</f>
        <v>Fake Straw Hat Pirates / Captain
Demaro Black</v>
      </c>
      <c r="D12" s="69" t="str">
        <f>IFERROR(__xludf.DUMMYFUNCTION("""COMPUTED_VALUE"""),"Disciple of the Martial Arts
Kung Fu Jugon")</f>
        <v>Disciple of the Martial Arts
Kung Fu Jugon</v>
      </c>
      <c r="E12" s="69" t="str">
        <f>IFERROR(__xludf.DUMMYFUNCTION("""COMPUTED_VALUE"""),"Shandian Warrior
Wyper")</f>
        <v>Shandian Warrior
Wyper</v>
      </c>
      <c r="F12" s="69" t="str">
        <f>IFERROR(__xludf.DUMMYFUNCTION("""COMPUTED_VALUE"""),"The Guardian of the Forest
Gaimon")</f>
        <v>The Guardian of the Forest
Gaimon</v>
      </c>
      <c r="G12" s="69" t="str">
        <f>IFERROR(__xludf.DUMMYFUNCTION("""COMPUTED_VALUE"""),"Land of Wano
Chopperemon")</f>
        <v>Land of Wano
Chopperemon</v>
      </c>
      <c r="H12" s="69" t="str">
        <f>IFERROR(__xludf.DUMMYFUNCTION("""COMPUTED_VALUE"""),"The Undefeated Woman
Rebecca")</f>
        <v>The Undefeated Woman
Rebecca</v>
      </c>
      <c r="I12" s="69" t="str">
        <f>IFERROR(__xludf.DUMMYFUNCTION("""COMPUTED_VALUE"""),"Kid Pirates / Fighter
Killer")</f>
        <v>Kid Pirates / Fighter
Killer</v>
      </c>
      <c r="J12" s="69" t="str">
        <f>IFERROR(__xludf.DUMMYFUNCTION("""COMPUTED_VALUE"""),"Grand Line Naval Base 5 / Captain
Tashigi")</f>
        <v>Grand Line Naval Base 5 / Captain
Tashigi</v>
      </c>
      <c r="K12" s="69" t="str">
        <f>IFERROR(__xludf.DUMMYFUNCTION("""COMPUTED_VALUE"""),"Navy HQ / Vice Admiral
Monkey D. Garb")</f>
        <v>Navy HQ / Vice Admiral
Monkey D. Garb</v>
      </c>
      <c r="L12" s="69" t="str">
        <f>IFERROR(__xludf.DUMMYFUNCTION("""COMPUTED_VALUE"""),"Happy Holiday
Franky")</f>
        <v>Happy Holiday
Franky</v>
      </c>
      <c r="M12" s="69" t="str">
        <f>IFERROR(__xludf.DUMMYFUNCTION("""COMPUTED_VALUE"""),"Firetank Pirates / Godfather
Capone Bege")</f>
        <v>Firetank Pirates / Godfather
Capone Bege</v>
      </c>
      <c r="N12" s="69" t="str">
        <f>IFERROR(__xludf.DUMMYFUNCTION("""COMPUTED_VALUE"""),"Legendary Samurai Zombie
Ryuma")</f>
        <v>Legendary Samurai Zombie
Ryuma</v>
      </c>
      <c r="O12" s="69" t="str">
        <f>IFERROR(__xludf.DUMMYFUNCTION("""COMPUTED_VALUE"""),"Land of Wano
Basil Hawkins")</f>
        <v>Land of Wano
Basil Hawkins</v>
      </c>
      <c r="P12" s="69" t="str">
        <f>IFERROR(__xludf.DUMMYFUNCTION("""COMPUTED_VALUE"""),"Bonney Pirates / Captain
Jewelry Bonney")</f>
        <v>Bonney Pirates / Captain
Jewelry Bonney</v>
      </c>
      <c r="Q12" s="69" t="str">
        <f>IFERROR(__xludf.DUMMYFUNCTION("""COMPUTED_VALUE"""),"Alabasta / Princess
Nefeltari Vivi")</f>
        <v>Alabasta / Princess
Nefeltari Vivi</v>
      </c>
      <c r="R12" s="69" t="str">
        <f>IFERROR(__xludf.DUMMYFUNCTION("""COMPUTED_VALUE"""),"Bellamy Pirates / Captain
Bellamy")</f>
        <v>Bellamy Pirates / Captain
Bellamy</v>
      </c>
      <c r="S12" s="69" t="str">
        <f>IFERROR(__xludf.DUMMYFUNCTION("""COMPUTED_VALUE"""),"Obe-Sword Style Iai Lion Song
Roronoa Zoro")</f>
        <v>Obe-Sword Style Iai Lion Song
Roronoa Zoro</v>
      </c>
      <c r="T12" s="75"/>
      <c r="U12" s="75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0"/>
      <c r="BS12" s="70"/>
      <c r="BT12" s="70"/>
      <c r="BU12" s="70"/>
      <c r="BV12" s="70"/>
      <c r="BW12" s="70"/>
      <c r="BX12" s="70"/>
      <c r="BY12" s="70"/>
      <c r="BZ12" s="70"/>
      <c r="CA12" s="70"/>
      <c r="CB12" s="70"/>
      <c r="CC12" s="70"/>
      <c r="CD12" s="70"/>
      <c r="CE12" s="70"/>
      <c r="CF12" s="70"/>
      <c r="CG12" s="70"/>
      <c r="CH12" s="70"/>
      <c r="CI12" s="70"/>
      <c r="CJ12" s="70"/>
      <c r="CK12" s="70"/>
      <c r="CL12" s="70"/>
      <c r="CM12" s="70"/>
      <c r="CN12" s="70"/>
      <c r="CO12" s="70"/>
      <c r="CP12" s="70"/>
      <c r="CQ12" s="70"/>
      <c r="CR12" s="70"/>
      <c r="CS12" s="70"/>
      <c r="CT12" s="70"/>
      <c r="CU12" s="70"/>
      <c r="CV12" s="70"/>
      <c r="CW12" s="70"/>
      <c r="CX12" s="70"/>
      <c r="CY12" s="70"/>
      <c r="CZ12" s="70"/>
      <c r="DA12" s="70"/>
      <c r="DB12" s="70"/>
      <c r="DC12" s="70"/>
      <c r="DD12" s="70"/>
      <c r="DE12" s="70"/>
      <c r="DF12" s="70"/>
      <c r="DG12" s="70"/>
      <c r="DH12" s="70"/>
      <c r="DI12" s="70"/>
      <c r="DJ12" s="70"/>
      <c r="DK12" s="70"/>
      <c r="DL12" s="70"/>
      <c r="DM12" s="70"/>
      <c r="DN12" s="70"/>
      <c r="DO12" s="70"/>
      <c r="DP12" s="70"/>
      <c r="DQ12" s="70"/>
      <c r="DR12" s="70"/>
      <c r="DS12" s="70"/>
      <c r="DT12" s="70"/>
      <c r="DU12" s="70"/>
      <c r="DV12" s="70"/>
      <c r="DW12" s="70"/>
      <c r="DX12" s="70"/>
      <c r="DY12" s="70"/>
      <c r="DZ12" s="70"/>
      <c r="EA12" s="70"/>
      <c r="EB12" s="70"/>
      <c r="EC12" s="70"/>
      <c r="ED12" s="70"/>
      <c r="EE12" s="71"/>
    </row>
    <row r="13" ht="7.5" customHeight="1">
      <c r="A13" s="56"/>
      <c r="B13" s="56"/>
      <c r="C13" s="72" t="str">
        <f t="array" ref="C13:EE13">IF(C12:EE12 &lt;&gt; "", VLOOKUP(C12:EE12,'Characters Database'!$E$6:$K45, 7, False), )</f>
        <v>Light
Defender</v>
      </c>
      <c r="D13" s="72" t="s">
        <v>272</v>
      </c>
      <c r="E13" s="72" t="s">
        <v>24</v>
      </c>
      <c r="F13" s="72" t="s">
        <v>140</v>
      </c>
      <c r="G13" s="72" t="s">
        <v>24</v>
      </c>
      <c r="H13" s="72" t="s">
        <v>86</v>
      </c>
      <c r="I13" s="72" t="s">
        <v>114</v>
      </c>
      <c r="J13" s="72" t="s">
        <v>24</v>
      </c>
      <c r="K13" s="72" t="s">
        <v>86</v>
      </c>
      <c r="L13" s="72" t="s">
        <v>35</v>
      </c>
      <c r="M13" s="72" t="s">
        <v>75</v>
      </c>
      <c r="N13" s="72" t="s">
        <v>104</v>
      </c>
      <c r="O13" s="72" t="s">
        <v>140</v>
      </c>
      <c r="P13" s="72" t="s">
        <v>10</v>
      </c>
      <c r="Q13" s="72" t="s">
        <v>24</v>
      </c>
      <c r="R13" s="72" t="s">
        <v>140</v>
      </c>
      <c r="S13" s="72" t="s">
        <v>104</v>
      </c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72"/>
      <c r="BW13" s="72"/>
      <c r="BX13" s="72"/>
      <c r="BY13" s="72"/>
      <c r="BZ13" s="72"/>
      <c r="CA13" s="72"/>
      <c r="CB13" s="72"/>
      <c r="CC13" s="72"/>
      <c r="CD13" s="72"/>
      <c r="CE13" s="72"/>
      <c r="CF13" s="72"/>
      <c r="CG13" s="72"/>
      <c r="CH13" s="72"/>
      <c r="CI13" s="72"/>
      <c r="CJ13" s="72"/>
      <c r="CK13" s="72"/>
      <c r="CL13" s="72"/>
      <c r="CM13" s="72"/>
      <c r="CN13" s="72"/>
      <c r="CO13" s="72"/>
      <c r="CP13" s="72"/>
      <c r="CQ13" s="72"/>
      <c r="CR13" s="72"/>
      <c r="CS13" s="72"/>
      <c r="CT13" s="72"/>
      <c r="CU13" s="72"/>
      <c r="CV13" s="72"/>
      <c r="CW13" s="72"/>
      <c r="CX13" s="72"/>
      <c r="CY13" s="72"/>
      <c r="CZ13" s="72"/>
      <c r="DA13" s="72"/>
      <c r="DB13" s="72"/>
      <c r="DC13" s="72"/>
      <c r="DD13" s="72"/>
      <c r="DE13" s="72"/>
      <c r="DF13" s="72"/>
      <c r="DG13" s="72"/>
      <c r="DH13" s="72"/>
      <c r="DI13" s="72"/>
      <c r="DJ13" s="72"/>
      <c r="DK13" s="72"/>
      <c r="DL13" s="72"/>
      <c r="DM13" s="72"/>
      <c r="DN13" s="72"/>
      <c r="DO13" s="72"/>
      <c r="DP13" s="72"/>
      <c r="DQ13" s="72"/>
      <c r="DR13" s="72"/>
      <c r="DS13" s="72"/>
      <c r="DT13" s="72"/>
      <c r="DU13" s="72"/>
      <c r="DV13" s="72"/>
      <c r="DW13" s="72"/>
      <c r="DX13" s="72"/>
      <c r="DY13" s="72"/>
      <c r="DZ13" s="72"/>
      <c r="EA13" s="72"/>
      <c r="EB13" s="72"/>
      <c r="EC13" s="72"/>
      <c r="ED13" s="72"/>
      <c r="EE13" s="72"/>
    </row>
    <row r="14" ht="75.0" customHeight="1">
      <c r="A14" s="73" t="s">
        <v>396</v>
      </c>
      <c r="B14" s="74">
        <f>COUNTIF(16:16,"*")</f>
        <v>2</v>
      </c>
      <c r="C14" s="60" t="str">
        <f t="array" ref="C14:EE14">IF(C16:EE16 &lt;&gt; "", IF(VLOOKUP(C16:EE16,'Characters Database'!$E$6:$I45, 5, False) = "", "-", IMAGE(VLOOKUP(C16:EE16,'Characters Database'!$E$6:$I45, 5, False))), )</f>
        <v/>
      </c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0"/>
      <c r="BJ14" s="60"/>
      <c r="BK14" s="60"/>
      <c r="BL14" s="60"/>
      <c r="BM14" s="60"/>
      <c r="BN14" s="60"/>
      <c r="BO14" s="60"/>
      <c r="BP14" s="60"/>
      <c r="BQ14" s="60"/>
      <c r="BR14" s="60"/>
      <c r="BS14" s="60"/>
      <c r="BT14" s="60"/>
      <c r="BU14" s="60"/>
      <c r="BV14" s="60"/>
      <c r="BW14" s="60"/>
      <c r="BX14" s="60"/>
      <c r="BY14" s="60"/>
      <c r="BZ14" s="60"/>
      <c r="CA14" s="60"/>
      <c r="CB14" s="60"/>
      <c r="CC14" s="60"/>
      <c r="CD14" s="60"/>
      <c r="CE14" s="60"/>
      <c r="CF14" s="60"/>
      <c r="CG14" s="60"/>
      <c r="CH14" s="60"/>
      <c r="CI14" s="60"/>
      <c r="CJ14" s="60"/>
      <c r="CK14" s="60"/>
      <c r="CL14" s="60"/>
      <c r="CM14" s="60"/>
      <c r="CN14" s="60"/>
      <c r="CO14" s="60"/>
      <c r="CP14" s="60"/>
      <c r="CQ14" s="60"/>
      <c r="CR14" s="60"/>
      <c r="CS14" s="60"/>
      <c r="CT14" s="60"/>
      <c r="CU14" s="60"/>
      <c r="CV14" s="60"/>
      <c r="CW14" s="60"/>
      <c r="CX14" s="60"/>
      <c r="CY14" s="60"/>
      <c r="CZ14" s="60"/>
      <c r="DA14" s="60"/>
      <c r="DB14" s="60"/>
      <c r="DC14" s="60"/>
      <c r="DD14" s="60"/>
      <c r="DE14" s="60"/>
      <c r="DF14" s="60"/>
      <c r="DG14" s="60"/>
      <c r="DH14" s="60"/>
      <c r="DI14" s="60"/>
      <c r="DJ14" s="60"/>
      <c r="DK14" s="60"/>
      <c r="DL14" s="60"/>
      <c r="DM14" s="60"/>
      <c r="DN14" s="60"/>
      <c r="DO14" s="60"/>
      <c r="DP14" s="60"/>
      <c r="DQ14" s="60"/>
      <c r="DR14" s="60"/>
      <c r="DS14" s="60"/>
      <c r="DT14" s="60"/>
      <c r="DU14" s="60"/>
      <c r="DV14" s="60"/>
      <c r="DW14" s="60"/>
      <c r="DX14" s="60"/>
      <c r="DY14" s="60"/>
      <c r="DZ14" s="60"/>
      <c r="EA14" s="60"/>
      <c r="EB14" s="60"/>
      <c r="EC14" s="60"/>
      <c r="ED14" s="60"/>
      <c r="EE14" s="61"/>
    </row>
    <row r="15" ht="22.5" customHeight="1">
      <c r="A15" s="62"/>
      <c r="B15" s="63"/>
      <c r="C15" s="64" t="str">
        <f t="array" ref="C15:EE15">IF(C16:EE16 &lt;&gt; "", IMAGE(VLOOKUP(C16:EE16,'Characters Database'!$E$6:$K45, 6, False)), )</f>
        <v/>
      </c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/>
      <c r="CF15" s="64"/>
      <c r="CG15" s="64"/>
      <c r="CH15" s="64"/>
      <c r="CI15" s="64"/>
      <c r="CJ15" s="64"/>
      <c r="CK15" s="64"/>
      <c r="CL15" s="64"/>
      <c r="CM15" s="64"/>
      <c r="CN15" s="64"/>
      <c r="CO15" s="64"/>
      <c r="CP15" s="64"/>
      <c r="CQ15" s="64"/>
      <c r="CR15" s="64"/>
      <c r="CS15" s="64"/>
      <c r="CT15" s="64"/>
      <c r="CU15" s="64"/>
      <c r="CV15" s="64"/>
      <c r="CW15" s="64"/>
      <c r="CX15" s="64"/>
      <c r="CY15" s="64"/>
      <c r="CZ15" s="64"/>
      <c r="DA15" s="64"/>
      <c r="DB15" s="64"/>
      <c r="DC15" s="64"/>
      <c r="DD15" s="64"/>
      <c r="DE15" s="64"/>
      <c r="DF15" s="64"/>
      <c r="DG15" s="64"/>
      <c r="DH15" s="64"/>
      <c r="DI15" s="64"/>
      <c r="DJ15" s="64"/>
      <c r="DK15" s="64"/>
      <c r="DL15" s="64"/>
      <c r="DM15" s="64"/>
      <c r="DN15" s="64"/>
      <c r="DO15" s="64"/>
      <c r="DP15" s="64"/>
      <c r="DQ15" s="64"/>
      <c r="DR15" s="64"/>
      <c r="DS15" s="64"/>
      <c r="DT15" s="64"/>
      <c r="DU15" s="64"/>
      <c r="DV15" s="64"/>
      <c r="DW15" s="64"/>
      <c r="DX15" s="64"/>
      <c r="DY15" s="64"/>
      <c r="DZ15" s="64"/>
      <c r="EA15" s="64"/>
      <c r="EB15" s="64"/>
      <c r="EC15" s="64"/>
      <c r="ED15" s="64"/>
      <c r="EE15" s="65"/>
    </row>
    <row r="16" ht="22.5" customHeight="1">
      <c r="A16" s="66"/>
      <c r="B16" s="67"/>
      <c r="C16" s="68" t="str">
        <f>IFERROR(__xludf.DUMMYFUNCTION("TRANSPOSE(QUERY('Characters Database'!A$6:K45, ""Select E Where F = '"" &amp;  A14 &amp; ""'""))"),"FILM RED
Monkey D. Luffy")</f>
        <v>FILM RED
Monkey D. Luffy</v>
      </c>
      <c r="D16" s="69" t="str">
        <f>IFERROR(__xludf.DUMMYFUNCTION("""COMPUTED_VALUE"""),"STAMPEDE
Monkey D. Luffy")</f>
        <v>STAMPEDE
Monkey D. Luffy</v>
      </c>
      <c r="E16" s="69"/>
      <c r="F16" s="77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8"/>
      <c r="BL16" s="70"/>
      <c r="BM16" s="70"/>
      <c r="BN16" s="70"/>
      <c r="BO16" s="70"/>
      <c r="BP16" s="70"/>
      <c r="BQ16" s="70"/>
      <c r="BR16" s="70"/>
      <c r="BS16" s="70"/>
      <c r="BT16" s="70"/>
      <c r="BU16" s="70"/>
      <c r="BV16" s="70"/>
      <c r="BW16" s="70"/>
      <c r="BX16" s="70"/>
      <c r="BY16" s="70"/>
      <c r="BZ16" s="70"/>
      <c r="CA16" s="70"/>
      <c r="CB16" s="70"/>
      <c r="CC16" s="70"/>
      <c r="CD16" s="70"/>
      <c r="CE16" s="70"/>
      <c r="CF16" s="70"/>
      <c r="CG16" s="70"/>
      <c r="CH16" s="70"/>
      <c r="CI16" s="70"/>
      <c r="CJ16" s="70"/>
      <c r="CK16" s="70"/>
      <c r="CL16" s="70"/>
      <c r="CM16" s="70"/>
      <c r="CN16" s="70"/>
      <c r="CO16" s="70"/>
      <c r="CP16" s="70"/>
      <c r="CQ16" s="70"/>
      <c r="CR16" s="70"/>
      <c r="CS16" s="70"/>
      <c r="CT16" s="70"/>
      <c r="CU16" s="70"/>
      <c r="CV16" s="70"/>
      <c r="CW16" s="70"/>
      <c r="CX16" s="70"/>
      <c r="CY16" s="70"/>
      <c r="CZ16" s="70"/>
      <c r="DA16" s="70"/>
      <c r="DB16" s="70"/>
      <c r="DC16" s="70"/>
      <c r="DD16" s="70"/>
      <c r="DE16" s="70"/>
      <c r="DF16" s="70"/>
      <c r="DG16" s="70"/>
      <c r="DH16" s="70"/>
      <c r="DI16" s="70"/>
      <c r="DJ16" s="70"/>
      <c r="DK16" s="70"/>
      <c r="DL16" s="70"/>
      <c r="DM16" s="70"/>
      <c r="DN16" s="70"/>
      <c r="DO16" s="70"/>
      <c r="DP16" s="70"/>
      <c r="DQ16" s="70"/>
      <c r="DR16" s="70"/>
      <c r="DS16" s="70"/>
      <c r="DT16" s="70"/>
      <c r="DU16" s="70"/>
      <c r="DV16" s="70"/>
      <c r="DW16" s="70"/>
      <c r="DX16" s="70"/>
      <c r="DY16" s="70"/>
      <c r="DZ16" s="70"/>
      <c r="EA16" s="70"/>
      <c r="EB16" s="70"/>
      <c r="EC16" s="70"/>
      <c r="ED16" s="70"/>
      <c r="EE16" s="71"/>
    </row>
    <row r="17" ht="7.5" customHeight="1">
      <c r="A17" s="56"/>
      <c r="B17" s="56"/>
      <c r="C17" s="72" t="str">
        <f t="array" ref="C17:EE17">IF(C16:EE16 &lt;&gt; "", VLOOKUP(C16:EE16,'Characters Database'!$E$6:$K45, 7, False), )</f>
        <v>Red
Attacker</v>
      </c>
      <c r="D17" s="72" t="s">
        <v>212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72"/>
      <c r="BZ17" s="72"/>
      <c r="CA17" s="72"/>
      <c r="CB17" s="72"/>
      <c r="CC17" s="72"/>
      <c r="CD17" s="72"/>
      <c r="CE17" s="72"/>
      <c r="CF17" s="72"/>
      <c r="CG17" s="72"/>
      <c r="CH17" s="72"/>
      <c r="CI17" s="72"/>
      <c r="CJ17" s="72"/>
      <c r="CK17" s="72"/>
      <c r="CL17" s="72"/>
      <c r="CM17" s="72"/>
      <c r="CN17" s="72"/>
      <c r="CO17" s="72"/>
      <c r="CP17" s="72"/>
      <c r="CQ17" s="72"/>
      <c r="CR17" s="72"/>
      <c r="CS17" s="72"/>
      <c r="CT17" s="72"/>
      <c r="CU17" s="72"/>
      <c r="CV17" s="72"/>
      <c r="CW17" s="72"/>
      <c r="CX17" s="72"/>
      <c r="CY17" s="72"/>
      <c r="CZ17" s="72"/>
      <c r="DA17" s="72"/>
      <c r="DB17" s="72"/>
      <c r="DC17" s="72"/>
      <c r="DD17" s="72"/>
      <c r="DE17" s="72"/>
      <c r="DF17" s="72"/>
      <c r="DG17" s="72"/>
      <c r="DH17" s="72"/>
      <c r="DI17" s="72"/>
      <c r="DJ17" s="72"/>
      <c r="DK17" s="72"/>
      <c r="DL17" s="72"/>
      <c r="DM17" s="72"/>
      <c r="DN17" s="72"/>
      <c r="DO17" s="72"/>
      <c r="DP17" s="72"/>
      <c r="DQ17" s="72"/>
      <c r="DR17" s="72"/>
      <c r="DS17" s="72"/>
      <c r="DT17" s="72"/>
      <c r="DU17" s="72"/>
      <c r="DV17" s="72"/>
      <c r="DW17" s="72"/>
      <c r="DX17" s="72"/>
      <c r="DY17" s="72"/>
      <c r="DZ17" s="72"/>
      <c r="EA17" s="72"/>
      <c r="EB17" s="72"/>
      <c r="EC17" s="72"/>
      <c r="ED17" s="72"/>
      <c r="EE17" s="72"/>
    </row>
    <row r="18" ht="75.0" customHeight="1">
      <c r="A18" s="79" t="s">
        <v>353</v>
      </c>
      <c r="B18" s="80">
        <f>COUNTIF(20:20,"*")</f>
        <v>3</v>
      </c>
      <c r="C18" s="60" t="str">
        <f t="array" ref="C18:EE18">IF(C20:EE20 &lt;&gt; "", IF(VLOOKUP(C20:EE20,'Characters Database'!$E$6:$I45, 5, False) = "", "-", IMAGE(VLOOKUP(C20:EE20,'Characters Database'!$E$6:$I45, 5, False))), )</f>
        <v/>
      </c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N18" s="60"/>
      <c r="BO18" s="60"/>
      <c r="BP18" s="60"/>
      <c r="BQ18" s="60"/>
      <c r="BR18" s="60"/>
      <c r="BS18" s="60"/>
      <c r="BT18" s="60"/>
      <c r="BU18" s="60"/>
      <c r="BV18" s="60"/>
      <c r="BW18" s="60"/>
      <c r="BX18" s="60"/>
      <c r="BY18" s="60"/>
      <c r="BZ18" s="60"/>
      <c r="CA18" s="60"/>
      <c r="CB18" s="60"/>
      <c r="CC18" s="60"/>
      <c r="CD18" s="60"/>
      <c r="CE18" s="60"/>
      <c r="CF18" s="60"/>
      <c r="CG18" s="60"/>
      <c r="CH18" s="60"/>
      <c r="CI18" s="60"/>
      <c r="CJ18" s="60"/>
      <c r="CK18" s="60"/>
      <c r="CL18" s="60"/>
      <c r="CM18" s="60"/>
      <c r="CN18" s="60"/>
      <c r="CO18" s="60"/>
      <c r="CP18" s="60"/>
      <c r="CQ18" s="60"/>
      <c r="CR18" s="60"/>
      <c r="CS18" s="60"/>
      <c r="CT18" s="60"/>
      <c r="CU18" s="60"/>
      <c r="CV18" s="60"/>
      <c r="CW18" s="60"/>
      <c r="CX18" s="60"/>
      <c r="CY18" s="60"/>
      <c r="CZ18" s="60"/>
      <c r="DA18" s="60"/>
      <c r="DB18" s="60"/>
      <c r="DC18" s="60"/>
      <c r="DD18" s="60"/>
      <c r="DE18" s="60"/>
      <c r="DF18" s="60"/>
      <c r="DG18" s="60"/>
      <c r="DH18" s="60"/>
      <c r="DI18" s="60"/>
      <c r="DJ18" s="60"/>
      <c r="DK18" s="60"/>
      <c r="DL18" s="60"/>
      <c r="DM18" s="60"/>
      <c r="DN18" s="60"/>
      <c r="DO18" s="60"/>
      <c r="DP18" s="60"/>
      <c r="DQ18" s="60"/>
      <c r="DR18" s="60"/>
      <c r="DS18" s="60"/>
      <c r="DT18" s="60"/>
      <c r="DU18" s="60"/>
      <c r="DV18" s="60"/>
      <c r="DW18" s="60"/>
      <c r="DX18" s="60"/>
      <c r="DY18" s="60"/>
      <c r="DZ18" s="60"/>
      <c r="EA18" s="60"/>
      <c r="EB18" s="60"/>
      <c r="EC18" s="60"/>
      <c r="ED18" s="60"/>
      <c r="EE18" s="61"/>
    </row>
    <row r="19" ht="22.5" customHeight="1">
      <c r="A19" s="62"/>
      <c r="B19" s="63"/>
      <c r="C19" s="64" t="str">
        <f t="array" ref="C19:EE19">IF(C20:EE20 &lt;&gt; "", IMAGE(VLOOKUP(C20:EE20,'Characters Database'!$E$6:$K45, 6, False)), )</f>
        <v/>
      </c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  <c r="CL19" s="64"/>
      <c r="CM19" s="64"/>
      <c r="CN19" s="64"/>
      <c r="CO19" s="64"/>
      <c r="CP19" s="64"/>
      <c r="CQ19" s="64"/>
      <c r="CR19" s="64"/>
      <c r="CS19" s="64"/>
      <c r="CT19" s="64"/>
      <c r="CU19" s="64"/>
      <c r="CV19" s="64"/>
      <c r="CW19" s="64"/>
      <c r="CX19" s="64"/>
      <c r="CY19" s="64"/>
      <c r="CZ19" s="64"/>
      <c r="DA19" s="64"/>
      <c r="DB19" s="64"/>
      <c r="DC19" s="64"/>
      <c r="DD19" s="64"/>
      <c r="DE19" s="64"/>
      <c r="DF19" s="64"/>
      <c r="DG19" s="64"/>
      <c r="DH19" s="64"/>
      <c r="DI19" s="64"/>
      <c r="DJ19" s="64"/>
      <c r="DK19" s="64"/>
      <c r="DL19" s="64"/>
      <c r="DM19" s="64"/>
      <c r="DN19" s="64"/>
      <c r="DO19" s="64"/>
      <c r="DP19" s="64"/>
      <c r="DQ19" s="64"/>
      <c r="DR19" s="64"/>
      <c r="DS19" s="64"/>
      <c r="DT19" s="64"/>
      <c r="DU19" s="64"/>
      <c r="DV19" s="64"/>
      <c r="DW19" s="64"/>
      <c r="DX19" s="64"/>
      <c r="DY19" s="64"/>
      <c r="DZ19" s="64"/>
      <c r="EA19" s="64"/>
      <c r="EB19" s="64"/>
      <c r="EC19" s="64"/>
      <c r="ED19" s="64"/>
      <c r="EE19" s="65"/>
    </row>
    <row r="20" ht="22.5" customHeight="1">
      <c r="A20" s="66"/>
      <c r="B20" s="67"/>
      <c r="C20" s="68" t="str">
        <f>IFERROR(__xludf.DUMMYFUNCTION("TRANSPOSE(QUERY('Characters Database'!A$6:K45, ""Select E Where F = '"" &amp;  A18 &amp; ""'""))"),"ODYSSEY
Adio Suerte")</f>
        <v>ODYSSEY
Adio Suerte</v>
      </c>
      <c r="D20" s="69" t="str">
        <f>IFERROR(__xludf.DUMMYFUNCTION("""COMPUTED_VALUE"""),"The Parmount War
Monkey D. Luffy")</f>
        <v>The Parmount War
Monkey D. Luffy</v>
      </c>
      <c r="E20" s="69" t="str">
        <f>IFERROR(__xludf.DUMMYFUNCTION("""COMPUTED_VALUE"""),"Red-Haired Pirates / Captain
Shanks")</f>
        <v>Red-Haired Pirates / Captain
Shanks</v>
      </c>
      <c r="F20" s="77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0"/>
      <c r="BL20" s="70"/>
      <c r="BM20" s="70"/>
      <c r="BN20" s="70"/>
      <c r="BO20" s="70"/>
      <c r="BP20" s="70"/>
      <c r="BQ20" s="70"/>
      <c r="BR20" s="70"/>
      <c r="BS20" s="70"/>
      <c r="BT20" s="70"/>
      <c r="BU20" s="70"/>
      <c r="BV20" s="70"/>
      <c r="BW20" s="70"/>
      <c r="BX20" s="70"/>
      <c r="BY20" s="70"/>
      <c r="BZ20" s="70"/>
      <c r="CA20" s="70"/>
      <c r="CB20" s="70"/>
      <c r="CC20" s="70"/>
      <c r="CD20" s="70"/>
      <c r="CE20" s="70"/>
      <c r="CF20" s="70"/>
      <c r="CG20" s="70"/>
      <c r="CH20" s="70"/>
      <c r="CI20" s="70"/>
      <c r="CJ20" s="70"/>
      <c r="CK20" s="70"/>
      <c r="CL20" s="70"/>
      <c r="CM20" s="70"/>
      <c r="CN20" s="70"/>
      <c r="CO20" s="70"/>
      <c r="CP20" s="70"/>
      <c r="CQ20" s="70"/>
      <c r="CR20" s="70"/>
      <c r="CS20" s="70"/>
      <c r="CT20" s="70"/>
      <c r="CU20" s="70"/>
      <c r="CV20" s="70"/>
      <c r="CW20" s="70"/>
      <c r="CX20" s="70"/>
      <c r="CY20" s="70"/>
      <c r="CZ20" s="70"/>
      <c r="DA20" s="70"/>
      <c r="DB20" s="70"/>
      <c r="DC20" s="70"/>
      <c r="DD20" s="70"/>
      <c r="DE20" s="70"/>
      <c r="DF20" s="70"/>
      <c r="DG20" s="70"/>
      <c r="DH20" s="70"/>
      <c r="DI20" s="70"/>
      <c r="DJ20" s="70"/>
      <c r="DK20" s="70"/>
      <c r="DL20" s="70"/>
      <c r="DM20" s="70"/>
      <c r="DN20" s="70"/>
      <c r="DO20" s="70"/>
      <c r="DP20" s="70"/>
      <c r="DQ20" s="70"/>
      <c r="DR20" s="70"/>
      <c r="DS20" s="70"/>
      <c r="DT20" s="70"/>
      <c r="DU20" s="70"/>
      <c r="DV20" s="70"/>
      <c r="DW20" s="70"/>
      <c r="DX20" s="70"/>
      <c r="DY20" s="70"/>
      <c r="DZ20" s="70"/>
      <c r="EA20" s="70"/>
      <c r="EB20" s="70"/>
      <c r="EC20" s="70"/>
      <c r="ED20" s="70"/>
      <c r="EE20" s="71"/>
    </row>
    <row r="21" ht="7.5" customHeight="1">
      <c r="A21" s="56"/>
      <c r="B21" s="56"/>
      <c r="C21" s="72" t="str">
        <f t="array" ref="C21:EE21">IF(C20:EE20 &lt;&gt; "", VLOOKUP(C20:EE20,'Characters Database'!$E$6:$K45, 7, False), )</f>
        <v>Blue
Attacker</v>
      </c>
      <c r="D21" s="72" t="s">
        <v>10</v>
      </c>
      <c r="E21" s="72" t="s">
        <v>75</v>
      </c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72"/>
      <c r="CM21" s="72"/>
      <c r="CN21" s="72"/>
      <c r="CO21" s="72"/>
      <c r="CP21" s="72"/>
      <c r="CQ21" s="72"/>
      <c r="CR21" s="72"/>
      <c r="CS21" s="72"/>
      <c r="CT21" s="72"/>
      <c r="CU21" s="72"/>
      <c r="CV21" s="72"/>
      <c r="CW21" s="72"/>
      <c r="CX21" s="72"/>
      <c r="CY21" s="72"/>
      <c r="CZ21" s="72"/>
      <c r="DA21" s="72"/>
      <c r="DB21" s="72"/>
      <c r="DC21" s="72"/>
      <c r="DD21" s="72"/>
      <c r="DE21" s="72"/>
      <c r="DF21" s="72"/>
      <c r="DG21" s="72"/>
      <c r="DH21" s="72"/>
      <c r="DI21" s="72"/>
      <c r="DJ21" s="72"/>
      <c r="DK21" s="72"/>
      <c r="DL21" s="72"/>
      <c r="DM21" s="72"/>
      <c r="DN21" s="72"/>
      <c r="DO21" s="72"/>
      <c r="DP21" s="72"/>
      <c r="DQ21" s="72"/>
      <c r="DR21" s="72"/>
      <c r="DS21" s="72"/>
      <c r="DT21" s="72"/>
      <c r="DU21" s="72"/>
      <c r="DV21" s="72"/>
      <c r="DW21" s="72"/>
      <c r="DX21" s="72"/>
      <c r="DY21" s="72"/>
      <c r="DZ21" s="72"/>
      <c r="EA21" s="72"/>
      <c r="EB21" s="72"/>
      <c r="EC21" s="72"/>
      <c r="ED21" s="72"/>
      <c r="EE21" s="72"/>
    </row>
    <row r="22" ht="75.0" customHeight="1">
      <c r="A22" s="81" t="s">
        <v>7</v>
      </c>
      <c r="B22" s="82">
        <f>COUNTIF(24:24,"*")</f>
        <v>105</v>
      </c>
      <c r="C22" s="60" t="str">
        <f t="array" ref="C22:EE22">IF(C24:EE24 &lt;&gt; "", IF(VLOOKUP(C24:EE24,'Characters Database'!$E$6:$I45, 5, False) = "", "-", IMAGE(VLOOKUP(C24:EE24,'Characters Database'!$E$6:$I45, 5, False))), )</f>
        <v/>
      </c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0"/>
      <c r="BU22" s="60"/>
      <c r="BV22" s="60"/>
      <c r="BW22" s="60"/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0"/>
      <c r="CO22" s="60"/>
      <c r="CP22" s="60"/>
      <c r="CQ22" s="60"/>
      <c r="CR22" s="60"/>
      <c r="CS22" s="60"/>
      <c r="CT22" s="60"/>
      <c r="CU22" s="60"/>
      <c r="CV22" s="60"/>
      <c r="CW22" s="60"/>
      <c r="CX22" s="60"/>
      <c r="CY22" s="60"/>
      <c r="CZ22" s="60"/>
      <c r="DA22" s="60"/>
      <c r="DB22" s="60"/>
      <c r="DC22" s="60"/>
      <c r="DD22" s="60"/>
      <c r="DE22" s="60"/>
      <c r="DF22" s="60"/>
      <c r="DG22" s="60"/>
      <c r="DH22" s="60"/>
      <c r="DI22" s="60"/>
      <c r="DJ22" s="60"/>
      <c r="DK22" s="60"/>
      <c r="DL22" s="60"/>
      <c r="DM22" s="60"/>
      <c r="DN22" s="60"/>
      <c r="DO22" s="60"/>
      <c r="DP22" s="60"/>
      <c r="DQ22" s="60"/>
      <c r="DR22" s="60"/>
      <c r="DS22" s="60"/>
      <c r="DT22" s="60"/>
      <c r="DU22" s="60"/>
      <c r="DV22" s="60"/>
      <c r="DW22" s="60"/>
      <c r="DX22" s="60"/>
      <c r="DY22" s="60"/>
      <c r="DZ22" s="60"/>
      <c r="EA22" s="60"/>
      <c r="EB22" s="60"/>
      <c r="EC22" s="60"/>
      <c r="ED22" s="60"/>
      <c r="EE22" s="61"/>
    </row>
    <row r="23" ht="22.5" customHeight="1">
      <c r="A23" s="62"/>
      <c r="B23" s="63"/>
      <c r="C23" s="64" t="str">
        <f t="array" ref="C23:EE23">IF(C24:EE24 &lt;&gt; "", IMAGE(VLOOKUP(C24:EE24,'Characters Database'!$E$6:$K45, 6, False)), )</f>
        <v/>
      </c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4"/>
      <c r="CH23" s="64"/>
      <c r="CI23" s="64"/>
      <c r="CJ23" s="64"/>
      <c r="CK23" s="64"/>
      <c r="CL23" s="64"/>
      <c r="CM23" s="64"/>
      <c r="CN23" s="64"/>
      <c r="CO23" s="64"/>
      <c r="CP23" s="64"/>
      <c r="CQ23" s="64"/>
      <c r="CR23" s="64"/>
      <c r="CS23" s="64"/>
      <c r="CT23" s="64"/>
      <c r="CU23" s="64"/>
      <c r="CV23" s="64"/>
      <c r="CW23" s="64"/>
      <c r="CX23" s="64"/>
      <c r="CY23" s="64"/>
      <c r="CZ23" s="64"/>
      <c r="DA23" s="64"/>
      <c r="DB23" s="64"/>
      <c r="DC23" s="64"/>
      <c r="DD23" s="64"/>
      <c r="DE23" s="64"/>
      <c r="DF23" s="64"/>
      <c r="DG23" s="64"/>
      <c r="DH23" s="64"/>
      <c r="DI23" s="64"/>
      <c r="DJ23" s="64"/>
      <c r="DK23" s="64"/>
      <c r="DL23" s="64"/>
      <c r="DM23" s="64"/>
      <c r="DN23" s="64"/>
      <c r="DO23" s="64"/>
      <c r="DP23" s="64"/>
      <c r="DQ23" s="64"/>
      <c r="DR23" s="64"/>
      <c r="DS23" s="64"/>
      <c r="DT23" s="64"/>
      <c r="DU23" s="64"/>
      <c r="DV23" s="64"/>
      <c r="DW23" s="64"/>
      <c r="DX23" s="64"/>
      <c r="DY23" s="64"/>
      <c r="DZ23" s="64"/>
      <c r="EA23" s="64"/>
      <c r="EB23" s="64"/>
      <c r="EC23" s="64"/>
      <c r="ED23" s="64"/>
      <c r="EE23" s="65"/>
    </row>
    <row r="24" ht="22.5" customHeight="1">
      <c r="A24" s="66"/>
      <c r="B24" s="67"/>
      <c r="C24" s="68" t="str">
        <f>IFERROR(__xludf.DUMMYFUNCTION("TRANSPOSE(QUERY('Characters Database'!A$6:K45, ""Select E Where F = '"" &amp;  A22 &amp; ""'""))"),"Baroque Works / Officer Agent
Mr. 5")</f>
        <v>Baroque Works / Officer Agent
Mr. 5</v>
      </c>
      <c r="D24" s="83" t="str">
        <f>IFERROR(__xludf.DUMMYFUNCTION("""COMPUTED_VALUE"""),"Baroque Works / Officer Agent
Ms. Valentine")</f>
        <v>Baroque Works / Officer Agent
Ms. Valentine</v>
      </c>
      <c r="E24" s="69" t="str">
        <f>IFERROR(__xludf.DUMMYFUNCTION("""COMPUTED_VALUE"""),"Assistant Fish-Man Karate Master
Koala")</f>
        <v>Assistant Fish-Man Karate Master
Koala</v>
      </c>
      <c r="F24" s="69" t="str">
        <f>IFERROR(__xludf.DUMMYFUNCTION("""COMPUTED_VALUE"""),"Navy HQ / Lt. Commander
Helmeppo")</f>
        <v>Navy HQ / Lt. Commander
Helmeppo</v>
      </c>
      <c r="G24" s="69" t="str">
        <f>IFERROR(__xludf.DUMMYFUNCTION("""COMPUTED_VALUE"""),"Egghead
Jewelry Bonney")</f>
        <v>Egghead
Jewelry Bonney</v>
      </c>
      <c r="H24" s="69" t="str">
        <f>IFERROR(__xludf.DUMMYFUNCTION("""COMPUTED_VALUE"""),"Punk-06
York")</f>
        <v>Punk-06
York</v>
      </c>
      <c r="I24" s="69" t="str">
        <f>IFERROR(__xludf.DUMMYFUNCTION("""COMPUTED_VALUE"""),"Punk-05
Atlas")</f>
        <v>Punk-05
Atlas</v>
      </c>
      <c r="J24" s="69" t="str">
        <f>IFERROR(__xludf.DUMMYFUNCTION("""COMPUTED_VALUE"""),"The Sky Knight
Ganfor")</f>
        <v>The Sky Knight
Ganfor</v>
      </c>
      <c r="K24" s="69" t="str">
        <f>IFERROR(__xludf.DUMMYFUNCTION("""COMPUTED_VALUE"""),"Whole Cake Island
Carrot")</f>
        <v>Whole Cake Island
Carrot</v>
      </c>
      <c r="L24" s="69" t="str">
        <f>IFERROR(__xludf.DUMMYFUNCTION("""COMPUTED_VALUE"""),"Land of Wano
Otama &amp; Komachiyo")</f>
        <v>Land of Wano
Otama &amp; Komachiyo</v>
      </c>
      <c r="M24" s="69" t="str">
        <f>IFERROR(__xludf.DUMMYFUNCTION("""COMPUTED_VALUE"""),"Animal Kingdom Pirates / Tobi Roppo
Black Maria")</f>
        <v>Animal Kingdom Pirates / Tobi Roppo
Black Maria</v>
      </c>
      <c r="N24" s="69" t="str">
        <f>IFERROR(__xludf.DUMMYFUNCTION("""COMPUTED_VALUE"""),"Revolutionary Army / Officer
Inazuma")</f>
        <v>Revolutionary Army / Officer
Inazuma</v>
      </c>
      <c r="O24" s="69" t="str">
        <f>IFERROR(__xludf.DUMMYFUNCTION("""COMPUTED_VALUE"""),"Revolutionary Army / Solider
Hack")</f>
        <v>Revolutionary Army / Solider
Hack</v>
      </c>
      <c r="P24" s="69" t="str">
        <f>IFERROR(__xludf.DUMMYFUNCTION("""COMPUTED_VALUE"""),"Animal Kingdom Pirates / Tobi Roppo
Sasaki")</f>
        <v>Animal Kingdom Pirates / Tobi Roppo
Sasaki</v>
      </c>
      <c r="Q24" s="69" t="str">
        <f>IFERROR(__xludf.DUMMYFUNCTION("""COMPUTED_VALUE"""),"Caribou Pirates / Captain
Caribou")</f>
        <v>Caribou Pirates / Captain
Caribou</v>
      </c>
      <c r="R24" s="69" t="str">
        <f>IFERROR(__xludf.DUMMYFUNCTION("""COMPUTED_VALUE"""),"Flying Pirates / Captain
Vander Decken IX")</f>
        <v>Flying Pirates / Captain
Vander Decken IX</v>
      </c>
      <c r="S24" s="69" t="str">
        <f>IFERROR(__xludf.DUMMYFUNCTION("""COMPUTED_VALUE"""),"Triple-X-Level Boxer
Ideo")</f>
        <v>Triple-X-Level Boxer
Ideo</v>
      </c>
      <c r="T24" s="69" t="str">
        <f>IFERROR(__xludf.DUMMYFUNCTION("""COMPUTED_VALUE"""),"The Kingdom of Prodence / King
Elizabello II")</f>
        <v>The Kingdom of Prodence / King
Elizabello II</v>
      </c>
      <c r="U24" s="69" t="str">
        <f>IFERROR(__xludf.DUMMYFUNCTION("""COMPUTED_VALUE"""),"Big Mom Pirates / Crewmate
Charoltte Oven")</f>
        <v>Big Mom Pirates / Crewmate
Charoltte Oven</v>
      </c>
      <c r="V24" s="69" t="str">
        <f>IFERROR(__xludf.DUMMYFUNCTION("""COMPUTED_VALUE"""),"Leader of the Whale Forest Guardians
Pedro")</f>
        <v>Leader of the Whale Forest Guardians
Pedro</v>
      </c>
      <c r="W24" s="69" t="str">
        <f>IFERROR(__xludf.DUMMYFUNCTION("""COMPUTED_VALUE"""),"First Act as a Married Couple
Charlotte Pudding")</f>
        <v>First Act as a Married Couple
Charlotte Pudding</v>
      </c>
      <c r="X24" s="69" t="str">
        <f>IFERROR(__xludf.DUMMYFUNCTION("""COMPUTED_VALUE"""),"Top Secret Special Force Captain of ""Sword""
X. Drake")</f>
        <v>Top Secret Special Force Captain of "Sword"
X. Drake</v>
      </c>
      <c r="Y24" s="69" t="str">
        <f>IFERROR(__xludf.DUMMYFUNCTION("""COMPUTED_VALUE"""),"Hyogoro Family / Big Boss
Hyogoro")</f>
        <v>Hyogoro Family / Big Boss
Hyogoro</v>
      </c>
      <c r="Z24" s="69" t="str">
        <f>IFERROR(__xludf.DUMMYFUNCTION("""COMPUTED_VALUE"""),"Kozuki Clan / Servant
Raizo")</f>
        <v>Kozuki Clan / Servant
Raizo</v>
      </c>
      <c r="AA24" s="69" t="str">
        <f>IFERROR(__xludf.DUMMYFUNCTION("""COMPUTED_VALUE"""),"Veteran Kunoichi
Shinobu")</f>
        <v>Veteran Kunoichi
Shinobu</v>
      </c>
      <c r="AB24" s="69" t="str">
        <f>IFERROR(__xludf.DUMMYFUNCTION("""COMPUTED_VALUE"""),"The Bullet of Dressrosa
Bellamy")</f>
        <v>The Bullet of Dressrosa
Bellamy</v>
      </c>
      <c r="AC24" s="69" t="str">
        <f>IFERROR(__xludf.DUMMYFUNCTION("""COMPUTED_VALUE"""),"Land of Wano
Franosuke")</f>
        <v>Land of Wano
Franosuke</v>
      </c>
      <c r="AD24" s="69" t="str">
        <f>IFERROR(__xludf.DUMMYFUNCTION("""COMPUTED_VALUE"""),"Land of Wano
Usohachi")</f>
        <v>Land of Wano
Usohachi</v>
      </c>
      <c r="AE24" s="69" t="str">
        <f>IFERROR(__xludf.DUMMYFUNCTION("""COMPUTED_VALUE"""),"Whitebeard Pirates / 5th Division Commander
Vista")</f>
        <v>Whitebeard Pirates / 5th Division Commander
Vista</v>
      </c>
      <c r="AF24" s="69" t="str">
        <f>IFERROR(__xludf.DUMMYFUNCTION("""COMPUTED_VALUE"""),"Blackbeard Pirates / Helsman ""Champ""
Jesus Burgess")</f>
        <v>Blackbeard Pirates / Helsman "Champ"
Jesus Burgess</v>
      </c>
      <c r="AG24" s="69" t="str">
        <f>IFERROR(__xludf.DUMMYFUNCTION("""COMPUTED_VALUE"""),"Former Whitebeard Pirates / 16th Division Commander
Izo")</f>
        <v>Former Whitebeard Pirates / 16th Division Commander
Izo</v>
      </c>
      <c r="AH24" s="69" t="str">
        <f>IFERROR(__xludf.DUMMYFUNCTION("""COMPUTED_VALUE"""),"Kurozumi Spy
Kurozumi Kanjuro")</f>
        <v>Kurozumi Spy
Kurozumi Kanjuro</v>
      </c>
      <c r="AI24" s="69" t="str">
        <f>IFERROR(__xludf.DUMMYFUNCTION("""COMPUTED_VALUE"""),"Whole Cake Island
Jinbe")</f>
        <v>Whole Cake Island
Jinbe</v>
      </c>
      <c r="AJ24" s="69" t="str">
        <f>IFERROR(__xludf.DUMMYFUNCTION("""COMPUTED_VALUE"""),"Big Mom Pirates / Crewmate
Charlotte Pudding")</f>
        <v>Big Mom Pirates / Crewmate
Charlotte Pudding</v>
      </c>
      <c r="AK24" s="69" t="str">
        <f>IFERROR(__xludf.DUMMYFUNCTION("""COMPUTED_VALUE"""),"Don Quixote Pirates / Officer
Monet")</f>
        <v>Don Quixote Pirates / Officer
Monet</v>
      </c>
      <c r="AL24" s="69" t="str">
        <f>IFERROR(__xludf.DUMMYFUNCTION("""COMPUTED_VALUE"""),"Don Quixote Pirates / Supreme Officer
Vergo")</f>
        <v>Don Quixote Pirates / Supreme Officer
Vergo</v>
      </c>
      <c r="AM24" s="69" t="str">
        <f>IFERROR(__xludf.DUMMYFUNCTION("""COMPUTED_VALUE"""),"Don Quixote Pirates / Officer
Señor Pink")</f>
        <v>Don Quixote Pirates / Officer
Señor Pink</v>
      </c>
      <c r="AN24" s="69" t="str">
        <f>IFERROR(__xludf.DUMMYFUNCTION("""COMPUTED_VALUE"""),"Don Quixote Pirates / Servant Assassin
Baby 5")</f>
        <v>Don Quixote Pirates / Servant Assassin
Baby 5</v>
      </c>
      <c r="AO24" s="69" t="str">
        <f>IFERROR(__xludf.DUMMYFUNCTION("""COMPUTED_VALUE"""),"Navy HQ / Science Team Captain
Sentomaru")</f>
        <v>Navy HQ / Science Team Captain
Sentomaru</v>
      </c>
      <c r="AP24" s="69" t="str">
        <f>IFERROR(__xludf.DUMMYFUNCTION("""COMPUTED_VALUE"""),"Navy HQ / Master Chief Petty Officer
Koby")</f>
        <v>Navy HQ / Master Chief Petty Officer
Koby</v>
      </c>
      <c r="AQ24" s="69" t="str">
        <f>IFERROR(__xludf.DUMMYFUNCTION("""COMPUTED_VALUE"""),"Land of Wano
Bonekichi")</f>
        <v>Land of Wano
Bonekichi</v>
      </c>
      <c r="AR24" s="69" t="str">
        <f>IFERROR(__xludf.DUMMYFUNCTION("""COMPUTED_VALUE"""),"Land of Wano
Orobi")</f>
        <v>Land of Wano
Orobi</v>
      </c>
      <c r="AS24" s="69" t="str">
        <f>IFERROR(__xludf.DUMMYFUNCTION("""COMPUTED_VALUE"""),"Baroque Works / Officer Agent
Ms. Goldenweek")</f>
        <v>Baroque Works / Officer Agent
Ms. Goldenweek</v>
      </c>
      <c r="AT24" s="69" t="str">
        <f>IFERROR(__xludf.DUMMYFUNCTION("""COMPUTED_VALUE"""),"Baroque Works / Officer Agent
Mr. 3")</f>
        <v>Baroque Works / Officer Agent
Mr. 3</v>
      </c>
      <c r="AU24" s="69" t="str">
        <f>IFERROR(__xludf.DUMMYFUNCTION("""COMPUTED_VALUE"""),"King of the Night
Cat Viper")</f>
        <v>King of the Night
Cat Viper</v>
      </c>
      <c r="AV24" s="69" t="str">
        <f>IFERROR(__xludf.DUMMYFUNCTION("""COMPUTED_VALUE"""),"King of the Day
Dogstorm")</f>
        <v>King of the Day
Dogstorm</v>
      </c>
      <c r="AW24" s="69" t="str">
        <f>IFERROR(__xludf.DUMMYFUNCTION("""COMPUTED_VALUE"""),"Revolutionary Army / Officer
Koala")</f>
        <v>Revolutionary Army / Officer
Koala</v>
      </c>
      <c r="AX24" s="69" t="str">
        <f>IFERROR(__xludf.DUMMYFUNCTION("""COMPUTED_VALUE"""),"Minks
Carrot")</f>
        <v>Minks
Carrot</v>
      </c>
      <c r="AY24" s="69" t="str">
        <f>IFERROR(__xludf.DUMMYFUNCTION("""COMPUTED_VALUE"""),"Kozuki Clan / Servant
Ashura Doji")</f>
        <v>Kozuki Clan / Servant
Ashura Doji</v>
      </c>
      <c r="AZ24" s="69" t="str">
        <f>IFERROR(__xludf.DUMMYFUNCTION("""COMPUTED_VALUE"""),"Kyoshiro Family / Boss
Napping Kyoshiro")</f>
        <v>Kyoshiro Family / Boss
Napping Kyoshiro</v>
      </c>
      <c r="BA24" s="69" t="str">
        <f>IFERROR(__xludf.DUMMYFUNCTION("""COMPUTED_VALUE"""),"Kozuki Clan / Servant
Kawamatsu")</f>
        <v>Kozuki Clan / Servant
Kawamatsu</v>
      </c>
      <c r="BB24" s="69" t="str">
        <f>IFERROR(__xludf.DUMMYFUNCTION("""COMPUTED_VALUE"""),"Most Handsome Swordman in the Land of Wano
Kikunojo")</f>
        <v>Most Handsome Swordman in the Land of Wano
Kikunojo</v>
      </c>
      <c r="BC24" s="69" t="str">
        <f>IFERROR(__xludf.DUMMYFUNCTION("""COMPUTED_VALUE"""),"Fire Fist
Portgaz D. Ace")</f>
        <v>Fire Fist
Portgaz D. Ace</v>
      </c>
      <c r="BD24" s="69" t="str">
        <f>IFERROR(__xludf.DUMMYFUNCTION("""COMPUTED_VALUE"""),"Former Navy Admiral
Kuzan")</f>
        <v>Former Navy Admiral
Kuzan</v>
      </c>
      <c r="BE24" s="69" t="str">
        <f>IFERROR(__xludf.DUMMYFUNCTION("""COMPUTED_VALUE"""),"Punk Hazard
Smoker (Chambres)")</f>
        <v>Punk Hazard
Smoker (Chambres)</v>
      </c>
      <c r="BF24" s="69" t="str">
        <f>IFERROR(__xludf.DUMMYFUNCTION("""COMPUTED_VALUE"""),"Ghost Princess
Perona")</f>
        <v>Ghost Princess
Perona</v>
      </c>
      <c r="BG24" s="69" t="str">
        <f>IFERROR(__xludf.DUMMYFUNCTION("""COMPUTED_VALUE"""),"Former World Government / Science Division Member
Caesar Clown")</f>
        <v>Former World Government / Science Division Member
Caesar Clown</v>
      </c>
      <c r="BH24" s="69" t="str">
        <f>IFERROR(__xludf.DUMMYFUNCTION("""COMPUTED_VALUE"""),"The Seven Warlords of the Sea
Buggy")</f>
        <v>The Seven Warlords of the Sea
Buggy</v>
      </c>
      <c r="BI24" s="69" t="str">
        <f>IFERROR(__xludf.DUMMYFUNCTION("""COMPUTED_VALUE"""),"Don Quixote Family / Officer
Corazon")</f>
        <v>Don Quixote Family / Officer
Corazon</v>
      </c>
      <c r="BJ24" s="69" t="str">
        <f>IFERROR(__xludf.DUMMYFUNCTION("""COMPUTED_VALUE"""),"Surgeon of Death
Trafalger Law")</f>
        <v>Surgeon of Death
Trafalger Law</v>
      </c>
      <c r="BK24" s="69" t="str">
        <f>IFERROR(__xludf.DUMMYFUNCTION("""COMPUTED_VALUE"""),"Land of Wano
Luffytaro")</f>
        <v>Land of Wano
Luffytaro</v>
      </c>
      <c r="BL24" s="69" t="str">
        <f>IFERROR(__xludf.DUMMYFUNCTION("""COMPUTED_VALUE"""),"Land of Wano
Onami")</f>
        <v>Land of Wano
Onami</v>
      </c>
      <c r="BM24" s="69" t="str">
        <f>IFERROR(__xludf.DUMMYFUNCTION("""COMPUTED_VALUE"""),"On-Air Pirates / Captain
Scratchmen Apoo")</f>
        <v>On-Air Pirates / Captain
Scratchmen Apoo</v>
      </c>
      <c r="BN24" s="69" t="str">
        <f>IFERROR(__xludf.DUMMYFUNCTION("""COMPUTED_VALUE"""),"Fallen Monk Pirates / Captain ""Mad Monk""
Urouge")</f>
        <v>Fallen Monk Pirates / Captain "Mad Monk"
Urouge</v>
      </c>
      <c r="BO24" s="69" t="str">
        <f>IFERROR(__xludf.DUMMYFUNCTION("""COMPUTED_VALUE"""),"Gear Four / Snakeman
Monkey D. Luffy")</f>
        <v>Gear Four / Snakeman
Monkey D. Luffy</v>
      </c>
      <c r="BP24" s="69" t="str">
        <f>IFERROR(__xludf.DUMMYFUNCTION("""COMPUTED_VALUE"""),"Gerand Line Navel Base 5 / Vice Admiral
Smoker")</f>
        <v>Gerand Line Navel Base 5 / Vice Admiral
Smoker</v>
      </c>
      <c r="BQ24" s="69" t="str">
        <f>IFERROR(__xludf.DUMMYFUNCTION("""COMPUTED_VALUE"""),"Navy HQ / Rear Admiral
Hina")</f>
        <v>Navy HQ / Rear Admiral
Hina</v>
      </c>
      <c r="BR24" s="69" t="str">
        <f>IFERROR(__xludf.DUMMYFUNCTION("""COMPUTED_VALUE"""),"CP9
Kaku")</f>
        <v>CP9
Kaku</v>
      </c>
      <c r="BS24" s="69" t="str">
        <f>IFERROR(__xludf.DUMMYFUNCTION("""COMPUTED_VALUE"""),"CP9
Rob Lucci")</f>
        <v>CP9
Rob Lucci</v>
      </c>
      <c r="BT24" s="69" t="str">
        <f>IFERROR(__xludf.DUMMYFUNCTION("""COMPUTED_VALUE"""),"Beautiful Pirates / Captain
Cavendish")</f>
        <v>Beautiful Pirates / Captain
Cavendish</v>
      </c>
      <c r="BU24" s="69" t="str">
        <f>IFERROR(__xludf.DUMMYFUNCTION("""COMPUTED_VALUE"""),"Barto Club / Captain
Bartolomeo")</f>
        <v>Barto Club / Captain
Bartolomeo</v>
      </c>
      <c r="BV24" s="69" t="str">
        <f>IFERROR(__xludf.DUMMYFUNCTION("""COMPUTED_VALUE"""),"Whitebeard Pirates / 1st Division Commander
Marco")</f>
        <v>Whitebeard Pirates / 1st Division Commander
Marco</v>
      </c>
      <c r="BW24" s="69" t="str">
        <f>IFERROR(__xludf.DUMMYFUNCTION("""COMPUTED_VALUE"""),"Son of the King of the Pirates
Portgaz D. Ace")</f>
        <v>Son of the King of the Pirates
Portgaz D. Ace</v>
      </c>
      <c r="BX24" s="69" t="str">
        <f>IFERROR(__xludf.DUMMYFUNCTION("""COMPUTED_VALUE"""),"Happy Holiday
Nico Robin")</f>
        <v>Happy Holiday
Nico Robin</v>
      </c>
      <c r="BY24" s="69" t="str">
        <f>IFERROR(__xludf.DUMMYFUNCTION("""COMPUTED_VALUE"""),"Happy Holiday
Tony Tony Chopper")</f>
        <v>Happy Holiday
Tony Tony Chopper</v>
      </c>
      <c r="BZ24" s="69" t="str">
        <f>IFERROR(__xludf.DUMMYFUNCTION("""COMPUTED_VALUE"""),"Germa 66
Vinsmoke Reiju")</f>
        <v>Germa 66
Vinsmoke Reiju</v>
      </c>
      <c r="CA24" s="69" t="str">
        <f>IFERROR(__xludf.DUMMYFUNCTION("""COMPUTED_VALUE"""),"Whole Cake Island
Sanji")</f>
        <v>Whole Cake Island
Sanji</v>
      </c>
      <c r="CB24" s="69" t="str">
        <f>IFERROR(__xludf.DUMMYFUNCTION("""COMPUTED_VALUE"""),"Thriller Park Pirates / Mysterious Four
Perona")</f>
        <v>Thriller Park Pirates / Mysterious Four
Perona</v>
      </c>
      <c r="CC24" s="69" t="str">
        <f>IFERROR(__xludf.DUMMYFUNCTION("""COMPUTED_VALUE"""),"Ray of Hope
Nightmare Luffy")</f>
        <v>Ray of Hope
Nightmare Luffy</v>
      </c>
      <c r="CD24" s="69" t="str">
        <f>IFERROR(__xludf.DUMMYFUNCTION("""COMPUTED_VALUE"""),"Land of Wano
Zorojuro")</f>
        <v>Land of Wano
Zorojuro</v>
      </c>
      <c r="CE24" s="69" t="str">
        <f>IFERROR(__xludf.DUMMYFUNCTION("""COMPUTED_VALUE"""),"Land of Wano
Trafalgar Law")</f>
        <v>Land of Wano
Trafalgar Law</v>
      </c>
      <c r="CF24" s="69" t="str">
        <f>IFERROR(__xludf.DUMMYFUNCTION("""COMPUTED_VALUE"""),"2 Years Later / Ship Carpenter
Franky")</f>
        <v>2 Years Later / Ship Carpenter
Franky</v>
      </c>
      <c r="CG24" s="69" t="str">
        <f>IFERROR(__xludf.DUMMYFUNCTION("""COMPUTED_VALUE"""),"2 Years Later / Musician
Brook")</f>
        <v>2 Years Later / Musician
Brook</v>
      </c>
      <c r="CH24" s="69" t="str">
        <f>IFERROR(__xludf.DUMMYFUNCTION("""COMPUTED_VALUE"""),"2 Years Later / Archaeologist
Nico Robin")</f>
        <v>2 Years Later / Archaeologist
Nico Robin</v>
      </c>
      <c r="CI24" s="69" t="str">
        <f>IFERROR(__xludf.DUMMYFUNCTION("""COMPUTED_VALUE"""),"2 Years Later / Doctor
Tony Tony Chopper")</f>
        <v>2 Years Later / Doctor
Tony Tony Chopper</v>
      </c>
      <c r="CJ24" s="69" t="str">
        <f>IFERROR(__xludf.DUMMYFUNCTION("""COMPUTED_VALUE"""),"2 Years Later / Sharp Shooter
Usopp")</f>
        <v>2 Years Later / Sharp Shooter
Usopp</v>
      </c>
      <c r="CK24" s="69" t="str">
        <f>IFERROR(__xludf.DUMMYFUNCTION("""COMPUTED_VALUE"""),"2 Years Later / Cook
Sanji")</f>
        <v>2 Years Later / Cook
Sanji</v>
      </c>
      <c r="CL24" s="69" t="str">
        <f>IFERROR(__xludf.DUMMYFUNCTION("""COMPUTED_VALUE"""),"2 Years Later / Navigator
Nami")</f>
        <v>2 Years Later / Navigator
Nami</v>
      </c>
      <c r="CM24" s="69" t="str">
        <f>IFERROR(__xludf.DUMMYFUNCTION("""COMPUTED_VALUE"""),"2 Years Later / Combatant
Roronoa Zoro")</f>
        <v>2 Years Later / Combatant
Roronoa Zoro</v>
      </c>
      <c r="CN24" s="69" t="str">
        <f>IFERROR(__xludf.DUMMYFUNCTION("""COMPUTED_VALUE"""),"2 Years Later / Captain
Monkey D. Luffy")</f>
        <v>2 Years Later / Captain
Monkey D. Luffy</v>
      </c>
      <c r="CO24" s="69" t="str">
        <f>IFERROR(__xludf.DUMMYFUNCTION("""COMPUTED_VALUE"""),"Arm Point
Tony Tony Chopper")</f>
        <v>Arm Point
Tony Tony Chopper</v>
      </c>
      <c r="CP24" s="69" t="str">
        <f>IFERROR(__xludf.DUMMYFUNCTION("""COMPUTED_VALUE"""),"108 Pound Phoenix
Roronoa Zoro")</f>
        <v>108 Pound Phoenix
Roronoa Zoro</v>
      </c>
      <c r="CQ24" s="69" t="str">
        <f>IFERROR(__xludf.DUMMYFUNCTION("""COMPUTED_VALUE"""),"Baroque Works / Vice President
Ms. All Sunday")</f>
        <v>Baroque Works / Vice President
Ms. All Sunday</v>
      </c>
      <c r="CR24" s="69" t="str">
        <f>IFERROR(__xludf.DUMMYFUNCTION("""COMPUTED_VALUE"""),"Baroque Works / Officer Agent
Bon Clay, aka Mr. 2")</f>
        <v>Baroque Works / Officer Agent
Bon Clay, aka Mr. 2</v>
      </c>
      <c r="CS24" s="69" t="str">
        <f>IFERROR(__xludf.DUMMYFUNCTION("""COMPUTED_VALUE"""),"Kami
Eneru")</f>
        <v>Kami
Eneru</v>
      </c>
      <c r="CT24" s="69" t="str">
        <f>IFERROR(__xludf.DUMMYFUNCTION("""COMPUTED_VALUE"""),"The Seven Warlords of the Sea
Crocodile")</f>
        <v>The Seven Warlords of the Sea
Crocodile</v>
      </c>
      <c r="CU24" s="69" t="str">
        <f>IFERROR(__xludf.DUMMYFUNCTION("""COMPUTED_VALUE"""),"Peacock Slasher
Nefeltari Vivi")</f>
        <v>Peacock Slasher
Nefeltari Vivi</v>
      </c>
      <c r="CV24" s="69" t="str">
        <f>IFERROR(__xludf.DUMMYFUNCTION("""COMPUTED_VALUE"""),"Gum-Gum Storm
Monkey D. Luffy")</f>
        <v>Gum-Gum Storm
Monkey D. Luffy</v>
      </c>
      <c r="CW24" s="69" t="str">
        <f>IFERROR(__xludf.DUMMYFUNCTION("""COMPUTED_VALUE"""),"Drum Kingdom / Former Ruler
Wapol")</f>
        <v>Drum Kingdom / Former Ruler
Wapol</v>
      </c>
      <c r="CX24" s="69" t="str">
        <f>IFERROR(__xludf.DUMMYFUNCTION("""COMPUTED_VALUE"""),"Navy HQ / Captain
Smoker")</f>
        <v>Navy HQ / Captain
Smoker</v>
      </c>
      <c r="CY24" s="69" t="str">
        <f>IFERROR(__xludf.DUMMYFUNCTION("""COMPUTED_VALUE"""),"30 Million Berry Bounty
Monkey D. Luffy")</f>
        <v>30 Million Berry Bounty
Monkey D. Luffy</v>
      </c>
      <c r="CZ24" s="69" t="str">
        <f>IFERROR(__xludf.DUMMYFUNCTION("""COMPUTED_VALUE"""),"Arlong Pirates / Captain
Arlong")</f>
        <v>Arlong Pirates / Captain
Arlong</v>
      </c>
      <c r="DA24" s="84" t="str">
        <f>IFERROR(__xludf.DUMMYFUNCTION("""COMPUTED_VALUE"""),"The Seven Warlords of the Sea
Dracule Mihawk")</f>
        <v>The Seven Warlords of the Sea
Dracule Mihawk</v>
      </c>
      <c r="DB24" s="84" t="str">
        <f>IFERROR(__xludf.DUMMYFUNCTION("""COMPUTED_VALUE"""),"Girl from Syrub Village
Kaya")</f>
        <v>Girl from Syrub Village
Kaya</v>
      </c>
      <c r="DC24" s="84" t="str">
        <f>IFERROR(__xludf.DUMMYFUNCTION("""COMPUTED_VALUE"""),"Red-Haired Pirates / Sharp Shooter
Yasopp")</f>
        <v>Red-Haired Pirates / Sharp Shooter
Yasopp</v>
      </c>
      <c r="DD24" s="84"/>
      <c r="DE24" s="84"/>
      <c r="DF24" s="84"/>
      <c r="DG24" s="84"/>
      <c r="DH24" s="84"/>
      <c r="DI24" s="84"/>
      <c r="DJ24" s="84"/>
      <c r="DK24" s="84"/>
      <c r="DL24" s="84"/>
      <c r="DM24" s="84"/>
      <c r="DN24" s="84"/>
      <c r="DO24" s="84"/>
      <c r="DP24" s="84"/>
      <c r="DQ24" s="84"/>
      <c r="DR24" s="84"/>
      <c r="DS24" s="84"/>
      <c r="DT24" s="84"/>
      <c r="DU24" s="84"/>
      <c r="DV24" s="84"/>
      <c r="DW24" s="84"/>
      <c r="DX24" s="84"/>
      <c r="DY24" s="84"/>
      <c r="DZ24" s="84"/>
      <c r="EA24" s="84"/>
      <c r="EB24" s="84"/>
      <c r="EC24" s="84"/>
      <c r="ED24" s="84"/>
      <c r="EE24" s="85"/>
    </row>
    <row r="25" ht="7.5" customHeight="1">
      <c r="A25" s="56"/>
      <c r="B25" s="56"/>
      <c r="C25" s="72" t="str">
        <f t="array" ref="C25:EE25">IF(C24:EE24 &lt;&gt; "", VLOOKUP(C24:EE24,'Characters Database'!$E$6:$K45, 7, False), )</f>
        <v>Dark
Defender</v>
      </c>
      <c r="D25" s="72" t="s">
        <v>10</v>
      </c>
      <c r="E25" s="72" t="s">
        <v>123</v>
      </c>
      <c r="F25" s="72" t="s">
        <v>62</v>
      </c>
      <c r="G25" s="72" t="s">
        <v>140</v>
      </c>
      <c r="H25" s="72" t="s">
        <v>75</v>
      </c>
      <c r="I25" s="72" t="s">
        <v>43</v>
      </c>
      <c r="J25" s="72" t="s">
        <v>5</v>
      </c>
      <c r="K25" s="72" t="s">
        <v>93</v>
      </c>
      <c r="L25" s="72" t="s">
        <v>114</v>
      </c>
      <c r="M25" s="72" t="s">
        <v>86</v>
      </c>
      <c r="N25" s="72" t="s">
        <v>140</v>
      </c>
      <c r="O25" s="72" t="s">
        <v>212</v>
      </c>
      <c r="P25" s="72" t="s">
        <v>10</v>
      </c>
      <c r="Q25" s="72" t="s">
        <v>75</v>
      </c>
      <c r="R25" s="72" t="s">
        <v>212</v>
      </c>
      <c r="S25" s="72" t="s">
        <v>24</v>
      </c>
      <c r="T25" s="72" t="s">
        <v>35</v>
      </c>
      <c r="U25" s="72" t="s">
        <v>75</v>
      </c>
      <c r="V25" s="72" t="s">
        <v>104</v>
      </c>
      <c r="W25" s="72" t="s">
        <v>86</v>
      </c>
      <c r="X25" s="72" t="s">
        <v>212</v>
      </c>
      <c r="Y25" s="72" t="s">
        <v>140</v>
      </c>
      <c r="Z25" s="72" t="s">
        <v>35</v>
      </c>
      <c r="AA25" s="72" t="s">
        <v>114</v>
      </c>
      <c r="AB25" s="72" t="s">
        <v>10</v>
      </c>
      <c r="AC25" s="72" t="s">
        <v>212</v>
      </c>
      <c r="AD25" s="72" t="s">
        <v>75</v>
      </c>
      <c r="AE25" s="72" t="s">
        <v>114</v>
      </c>
      <c r="AF25" s="72" t="s">
        <v>104</v>
      </c>
      <c r="AG25" s="72" t="s">
        <v>212</v>
      </c>
      <c r="AH25" s="72" t="s">
        <v>10</v>
      </c>
      <c r="AI25" s="72" t="s">
        <v>75</v>
      </c>
      <c r="AJ25" s="72" t="s">
        <v>35</v>
      </c>
      <c r="AK25" s="72" t="s">
        <v>75</v>
      </c>
      <c r="AL25" s="72" t="s">
        <v>104</v>
      </c>
      <c r="AM25" s="72" t="s">
        <v>24</v>
      </c>
      <c r="AN25" s="72" t="s">
        <v>86</v>
      </c>
      <c r="AO25" s="72" t="s">
        <v>86</v>
      </c>
      <c r="AP25" s="72" t="s">
        <v>114</v>
      </c>
      <c r="AQ25" s="72" t="s">
        <v>140</v>
      </c>
      <c r="AR25" s="72" t="s">
        <v>10</v>
      </c>
      <c r="AS25" s="72" t="s">
        <v>114</v>
      </c>
      <c r="AT25" s="72" t="s">
        <v>86</v>
      </c>
      <c r="AU25" s="72" t="s">
        <v>24</v>
      </c>
      <c r="AV25" s="72" t="s">
        <v>104</v>
      </c>
      <c r="AW25" s="72" t="s">
        <v>35</v>
      </c>
      <c r="AX25" s="72" t="s">
        <v>10</v>
      </c>
      <c r="AY25" s="72" t="s">
        <v>86</v>
      </c>
      <c r="AZ25" s="72" t="s">
        <v>114</v>
      </c>
      <c r="BA25" s="72" t="s">
        <v>75</v>
      </c>
      <c r="BB25" s="72" t="s">
        <v>212</v>
      </c>
      <c r="BC25" s="72" t="s">
        <v>140</v>
      </c>
      <c r="BD25" s="72" t="s">
        <v>104</v>
      </c>
      <c r="BE25" s="72" t="s">
        <v>35</v>
      </c>
      <c r="BF25" s="72" t="s">
        <v>140</v>
      </c>
      <c r="BG25" s="72" t="s">
        <v>75</v>
      </c>
      <c r="BH25" s="72" t="s">
        <v>212</v>
      </c>
      <c r="BI25" s="72" t="s">
        <v>140</v>
      </c>
      <c r="BJ25" s="72" t="s">
        <v>24</v>
      </c>
      <c r="BK25" s="72" t="s">
        <v>212</v>
      </c>
      <c r="BL25" s="72" t="s">
        <v>10</v>
      </c>
      <c r="BM25" s="72" t="s">
        <v>10</v>
      </c>
      <c r="BN25" s="72" t="s">
        <v>75</v>
      </c>
      <c r="BO25" s="72" t="s">
        <v>24</v>
      </c>
      <c r="BP25" s="72" t="s">
        <v>212</v>
      </c>
      <c r="BQ25" s="72" t="s">
        <v>86</v>
      </c>
      <c r="BR25" s="72" t="s">
        <v>24</v>
      </c>
      <c r="BS25" s="72" t="s">
        <v>104</v>
      </c>
      <c r="BT25" s="72" t="s">
        <v>104</v>
      </c>
      <c r="BU25" s="72" t="s">
        <v>75</v>
      </c>
      <c r="BV25" s="72" t="s">
        <v>24</v>
      </c>
      <c r="BW25" s="72" t="s">
        <v>10</v>
      </c>
      <c r="BX25" s="72" t="s">
        <v>114</v>
      </c>
      <c r="BY25" s="72" t="s">
        <v>212</v>
      </c>
      <c r="BZ25" s="72" t="s">
        <v>114</v>
      </c>
      <c r="CA25" s="72" t="s">
        <v>35</v>
      </c>
      <c r="CB25" s="72" t="s">
        <v>10</v>
      </c>
      <c r="CC25" s="72" t="s">
        <v>140</v>
      </c>
      <c r="CD25" s="72" t="s">
        <v>212</v>
      </c>
      <c r="CE25" s="72" t="s">
        <v>75</v>
      </c>
      <c r="CF25" s="72" t="s">
        <v>75</v>
      </c>
      <c r="CG25" s="72" t="s">
        <v>10</v>
      </c>
      <c r="CH25" s="72" t="s">
        <v>35</v>
      </c>
      <c r="CI25" s="72" t="s">
        <v>114</v>
      </c>
      <c r="CJ25" s="72" t="s">
        <v>114</v>
      </c>
      <c r="CK25" s="72" t="s">
        <v>104</v>
      </c>
      <c r="CL25" s="72" t="s">
        <v>24</v>
      </c>
      <c r="CM25" s="72" t="s">
        <v>86</v>
      </c>
      <c r="CN25" s="72" t="s">
        <v>212</v>
      </c>
      <c r="CO25" s="72" t="s">
        <v>212</v>
      </c>
      <c r="CP25" s="72" t="s">
        <v>24</v>
      </c>
      <c r="CQ25" s="72" t="s">
        <v>114</v>
      </c>
      <c r="CR25" s="72" t="s">
        <v>104</v>
      </c>
      <c r="CS25" s="72" t="s">
        <v>104</v>
      </c>
      <c r="CT25" s="72" t="s">
        <v>140</v>
      </c>
      <c r="CU25" s="72" t="s">
        <v>10</v>
      </c>
      <c r="CV25" s="72" t="s">
        <v>75</v>
      </c>
      <c r="CW25" s="72" t="s">
        <v>86</v>
      </c>
      <c r="CX25" s="72" t="s">
        <v>86</v>
      </c>
      <c r="CY25" s="72" t="s">
        <v>35</v>
      </c>
      <c r="CZ25" s="72" t="s">
        <v>212</v>
      </c>
      <c r="DA25" s="72" t="s">
        <v>35</v>
      </c>
      <c r="DB25" s="72" t="s">
        <v>140</v>
      </c>
      <c r="DC25" s="72" t="s">
        <v>10</v>
      </c>
      <c r="DD25" s="72"/>
      <c r="DE25" s="72"/>
      <c r="DF25" s="72"/>
      <c r="DG25" s="72"/>
      <c r="DH25" s="72"/>
      <c r="DI25" s="72"/>
      <c r="DJ25" s="72"/>
      <c r="DK25" s="72"/>
      <c r="DL25" s="72"/>
      <c r="DM25" s="72"/>
      <c r="DN25" s="72"/>
      <c r="DO25" s="72"/>
      <c r="DP25" s="72"/>
      <c r="DQ25" s="72"/>
      <c r="DR25" s="72"/>
      <c r="DS25" s="72"/>
      <c r="DT25" s="72"/>
      <c r="DU25" s="72"/>
      <c r="DV25" s="72"/>
      <c r="DW25" s="72"/>
      <c r="DX25" s="72"/>
      <c r="DY25" s="72"/>
      <c r="DZ25" s="72"/>
      <c r="EA25" s="72"/>
      <c r="EB25" s="72"/>
      <c r="EC25" s="72"/>
      <c r="ED25" s="72"/>
      <c r="EE25" s="72"/>
    </row>
    <row r="26" ht="75.0" customHeight="1">
      <c r="A26" s="81" t="s">
        <v>384</v>
      </c>
      <c r="B26" s="82">
        <f>COUNTIF(28:28,"*")</f>
        <v>4</v>
      </c>
      <c r="C26" s="60" t="str">
        <f t="array" ref="C26:EE26">IF(C28:EE28 &lt;&gt; "", IF(VLOOKUP(C28:EE28,'Characters Database'!$E$6:$I45, 5, False) = "", "-", IMAGE(VLOOKUP(C28:EE28,'Characters Database'!$E$6:$I45, 5, False))), )</f>
        <v/>
      </c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0"/>
      <c r="BU26" s="60"/>
      <c r="BV26" s="60"/>
      <c r="BW26" s="60"/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0"/>
      <c r="CO26" s="60"/>
      <c r="CP26" s="60"/>
      <c r="CQ26" s="60"/>
      <c r="CR26" s="60"/>
      <c r="CS26" s="60"/>
      <c r="CT26" s="60"/>
      <c r="CU26" s="60"/>
      <c r="CV26" s="60"/>
      <c r="CW26" s="60"/>
      <c r="CX26" s="60"/>
      <c r="CY26" s="60"/>
      <c r="CZ26" s="60"/>
      <c r="DA26" s="60"/>
      <c r="DB26" s="60"/>
      <c r="DC26" s="60"/>
      <c r="DD26" s="60"/>
      <c r="DE26" s="60"/>
      <c r="DF26" s="60"/>
      <c r="DG26" s="60"/>
      <c r="DH26" s="60"/>
      <c r="DI26" s="60"/>
      <c r="DJ26" s="60"/>
      <c r="DK26" s="60"/>
      <c r="DL26" s="60"/>
      <c r="DM26" s="60"/>
      <c r="DN26" s="60"/>
      <c r="DO26" s="60"/>
      <c r="DP26" s="60"/>
      <c r="DQ26" s="60"/>
      <c r="DR26" s="60"/>
      <c r="DS26" s="60"/>
      <c r="DT26" s="60"/>
      <c r="DU26" s="60"/>
      <c r="DV26" s="60"/>
      <c r="DW26" s="60"/>
      <c r="DX26" s="60"/>
      <c r="DY26" s="60"/>
      <c r="DZ26" s="60"/>
      <c r="EA26" s="60"/>
      <c r="EB26" s="60"/>
      <c r="EC26" s="60"/>
      <c r="ED26" s="60"/>
      <c r="EE26" s="61"/>
    </row>
    <row r="27" ht="22.5" customHeight="1">
      <c r="A27" s="62"/>
      <c r="B27" s="63"/>
      <c r="C27" s="64" t="str">
        <f t="array" ref="C27:EE27">IF(C28:EE28 &lt;&gt; "", IMAGE(VLOOKUP(C28:EE28,'Characters Database'!$E$6:$K45, 6, False)), )</f>
        <v/>
      </c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4"/>
      <c r="BS27" s="64"/>
      <c r="BT27" s="64"/>
      <c r="BU27" s="64"/>
      <c r="BV27" s="64"/>
      <c r="BW27" s="64"/>
      <c r="BX27" s="64"/>
      <c r="BY27" s="64"/>
      <c r="BZ27" s="64"/>
      <c r="CA27" s="64"/>
      <c r="CB27" s="64"/>
      <c r="CC27" s="64"/>
      <c r="CD27" s="64"/>
      <c r="CE27" s="64"/>
      <c r="CF27" s="64"/>
      <c r="CG27" s="64"/>
      <c r="CH27" s="64"/>
      <c r="CI27" s="64"/>
      <c r="CJ27" s="64"/>
      <c r="CK27" s="64"/>
      <c r="CL27" s="64"/>
      <c r="CM27" s="64"/>
      <c r="CN27" s="64"/>
      <c r="CO27" s="64"/>
      <c r="CP27" s="64"/>
      <c r="CQ27" s="64"/>
      <c r="CR27" s="64"/>
      <c r="CS27" s="64"/>
      <c r="CT27" s="64"/>
      <c r="CU27" s="64"/>
      <c r="CV27" s="64"/>
      <c r="CW27" s="64"/>
      <c r="CX27" s="64"/>
      <c r="CY27" s="64"/>
      <c r="CZ27" s="64"/>
      <c r="DA27" s="64"/>
      <c r="DB27" s="64"/>
      <c r="DC27" s="64"/>
      <c r="DD27" s="64"/>
      <c r="DE27" s="64"/>
      <c r="DF27" s="64"/>
      <c r="DG27" s="64"/>
      <c r="DH27" s="64"/>
      <c r="DI27" s="64"/>
      <c r="DJ27" s="64"/>
      <c r="DK27" s="64"/>
      <c r="DL27" s="64"/>
      <c r="DM27" s="64"/>
      <c r="DN27" s="64"/>
      <c r="DO27" s="64"/>
      <c r="DP27" s="64"/>
      <c r="DQ27" s="64"/>
      <c r="DR27" s="64"/>
      <c r="DS27" s="64"/>
      <c r="DT27" s="64"/>
      <c r="DU27" s="64"/>
      <c r="DV27" s="64"/>
      <c r="DW27" s="64"/>
      <c r="DX27" s="64"/>
      <c r="DY27" s="64"/>
      <c r="DZ27" s="64"/>
      <c r="EA27" s="64"/>
      <c r="EB27" s="64"/>
      <c r="EC27" s="64"/>
      <c r="ED27" s="64"/>
      <c r="EE27" s="65"/>
    </row>
    <row r="28" ht="22.5" customHeight="1">
      <c r="A28" s="66"/>
      <c r="B28" s="67"/>
      <c r="C28" s="68" t="str">
        <f>IFERROR(__xludf.DUMMYFUNCTION("TRANSPOSE(QUERY('Characters Database'!A$6:K45, ""Select E Where F = '"" &amp;  A26 &amp; ""'""))"),"FILM RED
Tony Tony Chopper")</f>
        <v>FILM RED
Tony Tony Chopper</v>
      </c>
      <c r="D28" s="69" t="str">
        <f>IFERROR(__xludf.DUMMYFUNCTION("""COMPUTED_VALUE"""),"FILM RED
Nami")</f>
        <v>FILM RED
Nami</v>
      </c>
      <c r="E28" s="69" t="str">
        <f>IFERROR(__xludf.DUMMYFUNCTION("""COMPUTED_VALUE"""),"STAMPEDE
Sabo")</f>
        <v>STAMPEDE
Sabo</v>
      </c>
      <c r="F28" s="69" t="str">
        <f>IFERROR(__xludf.DUMMYFUNCTION("""COMPUTED_VALUE"""),"STAMPEDE
Smoker")</f>
        <v>STAMPEDE
Smoker</v>
      </c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  <c r="BM28" s="70"/>
      <c r="BN28" s="70"/>
      <c r="BO28" s="70"/>
      <c r="BP28" s="70"/>
      <c r="BQ28" s="70"/>
      <c r="BR28" s="70"/>
      <c r="BS28" s="70"/>
      <c r="BT28" s="70"/>
      <c r="BU28" s="70"/>
      <c r="BV28" s="70"/>
      <c r="BW28" s="70"/>
      <c r="BX28" s="70"/>
      <c r="BY28" s="70"/>
      <c r="BZ28" s="70"/>
      <c r="CA28" s="70"/>
      <c r="CB28" s="70"/>
      <c r="CC28" s="70"/>
      <c r="CD28" s="70"/>
      <c r="CE28" s="70"/>
      <c r="CF28" s="70"/>
      <c r="CG28" s="70"/>
      <c r="CH28" s="70"/>
      <c r="CI28" s="70"/>
      <c r="CJ28" s="70"/>
      <c r="CK28" s="70"/>
      <c r="CL28" s="70"/>
      <c r="CM28" s="70"/>
      <c r="CN28" s="70"/>
      <c r="CO28" s="70"/>
      <c r="CP28" s="70"/>
      <c r="CQ28" s="70"/>
      <c r="CR28" s="70"/>
      <c r="CS28" s="70"/>
      <c r="CT28" s="70"/>
      <c r="CU28" s="70"/>
      <c r="CV28" s="70"/>
      <c r="CW28" s="70"/>
      <c r="CX28" s="70"/>
      <c r="CY28" s="70"/>
      <c r="CZ28" s="70"/>
      <c r="DA28" s="70"/>
      <c r="DB28" s="70"/>
      <c r="DC28" s="70"/>
      <c r="DD28" s="70"/>
      <c r="DE28" s="70"/>
      <c r="DF28" s="70"/>
      <c r="DG28" s="70"/>
      <c r="DH28" s="70"/>
      <c r="DI28" s="70"/>
      <c r="DJ28" s="70"/>
      <c r="DK28" s="70"/>
      <c r="DL28" s="70"/>
      <c r="DM28" s="70"/>
      <c r="DN28" s="70"/>
      <c r="DO28" s="70"/>
      <c r="DP28" s="70"/>
      <c r="DQ28" s="70"/>
      <c r="DR28" s="70"/>
      <c r="DS28" s="70"/>
      <c r="DT28" s="70"/>
      <c r="DU28" s="70"/>
      <c r="DV28" s="70"/>
      <c r="DW28" s="70"/>
      <c r="DX28" s="70"/>
      <c r="DY28" s="70"/>
      <c r="DZ28" s="70"/>
      <c r="EA28" s="70"/>
      <c r="EB28" s="70"/>
      <c r="EC28" s="70"/>
      <c r="ED28" s="70"/>
      <c r="EE28" s="71"/>
    </row>
    <row r="29" ht="7.5" customHeight="1">
      <c r="A29" s="56"/>
      <c r="B29" s="56"/>
      <c r="C29" s="72" t="str">
        <f t="array" ref="C29:EE29">IF(C28:EE28 &lt;&gt; "", VLOOKUP(C28:EE28,'Characters Database'!$E$6:$K45, 7, False), )</f>
        <v>Green
Defender</v>
      </c>
      <c r="D29" s="72" t="s">
        <v>114</v>
      </c>
      <c r="E29" s="72" t="s">
        <v>104</v>
      </c>
      <c r="F29" s="72" t="s">
        <v>140</v>
      </c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  <c r="BX29" s="72"/>
      <c r="BY29" s="72"/>
      <c r="BZ29" s="72"/>
      <c r="CA29" s="72"/>
      <c r="CB29" s="72"/>
      <c r="CC29" s="72"/>
      <c r="CD29" s="72"/>
      <c r="CE29" s="72"/>
      <c r="CF29" s="72"/>
      <c r="CG29" s="72"/>
      <c r="CH29" s="72"/>
      <c r="CI29" s="72"/>
      <c r="CJ29" s="72"/>
      <c r="CK29" s="72"/>
      <c r="CL29" s="72"/>
      <c r="CM29" s="72"/>
      <c r="CN29" s="72"/>
      <c r="CO29" s="72"/>
      <c r="CP29" s="72"/>
      <c r="CQ29" s="72"/>
      <c r="CR29" s="72"/>
      <c r="CS29" s="72"/>
      <c r="CT29" s="72"/>
      <c r="CU29" s="72"/>
      <c r="CV29" s="72"/>
      <c r="CW29" s="72"/>
      <c r="CX29" s="72"/>
      <c r="CY29" s="72"/>
      <c r="CZ29" s="72"/>
      <c r="DA29" s="72"/>
      <c r="DB29" s="72"/>
      <c r="DC29" s="72"/>
      <c r="DD29" s="72"/>
      <c r="DE29" s="72"/>
      <c r="DF29" s="72"/>
      <c r="DG29" s="72"/>
      <c r="DH29" s="72"/>
      <c r="DI29" s="72"/>
      <c r="DJ29" s="72"/>
      <c r="DK29" s="72"/>
      <c r="DL29" s="72"/>
      <c r="DM29" s="72"/>
      <c r="DN29" s="72"/>
      <c r="DO29" s="72"/>
      <c r="DP29" s="72"/>
      <c r="DQ29" s="72"/>
      <c r="DR29" s="72"/>
      <c r="DS29" s="72"/>
      <c r="DT29" s="72"/>
      <c r="DU29" s="72"/>
      <c r="DV29" s="72"/>
      <c r="DW29" s="72"/>
      <c r="DX29" s="72"/>
      <c r="DY29" s="72"/>
      <c r="DZ29" s="72"/>
      <c r="EA29" s="72"/>
      <c r="EB29" s="72"/>
      <c r="EC29" s="72"/>
      <c r="ED29" s="72"/>
      <c r="EE29" s="72"/>
    </row>
    <row r="30" ht="75.0" customHeight="1">
      <c r="A30" s="86" t="s">
        <v>21</v>
      </c>
      <c r="B30" s="87">
        <f>COUNTIF(32:32,"*")</f>
        <v>132</v>
      </c>
      <c r="C30" s="60" t="str">
        <f t="array" ref="C30:EE30">IF(C32:EE32 &lt;&gt; "", IF(VLOOKUP(C32:EE32,'Characters Database'!$E$6:$I45, 5, False) = "", "-", IMAGE(VLOOKUP(C32:EE32,'Characters Database'!$E$6:$I45, 5, False))), )</f>
        <v/>
      </c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0"/>
      <c r="BU30" s="60"/>
      <c r="BV30" s="60"/>
      <c r="BW30" s="60"/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0"/>
      <c r="CO30" s="60"/>
      <c r="CP30" s="60"/>
      <c r="CQ30" s="60"/>
      <c r="CR30" s="60"/>
      <c r="CS30" s="60"/>
      <c r="CT30" s="60"/>
      <c r="CU30" s="60"/>
      <c r="CV30" s="60"/>
      <c r="CW30" s="60"/>
      <c r="CX30" s="60"/>
      <c r="CY30" s="60"/>
      <c r="CZ30" s="60"/>
      <c r="DA30" s="60"/>
      <c r="DB30" s="60"/>
      <c r="DC30" s="60"/>
      <c r="DD30" s="60"/>
      <c r="DE30" s="60"/>
      <c r="DF30" s="60"/>
      <c r="DG30" s="60"/>
      <c r="DH30" s="60"/>
      <c r="DI30" s="60"/>
      <c r="DJ30" s="60"/>
      <c r="DK30" s="60"/>
      <c r="DL30" s="60"/>
      <c r="DM30" s="60"/>
      <c r="DN30" s="60"/>
      <c r="DO30" s="60"/>
      <c r="DP30" s="60"/>
      <c r="DQ30" s="60"/>
      <c r="DR30" s="60"/>
      <c r="DS30" s="60"/>
      <c r="DT30" s="60"/>
      <c r="DU30" s="60"/>
      <c r="DV30" s="60"/>
      <c r="DW30" s="60"/>
      <c r="DX30" s="60"/>
      <c r="DY30" s="60"/>
      <c r="DZ30" s="60"/>
      <c r="EA30" s="60"/>
      <c r="EB30" s="60"/>
      <c r="EC30" s="60"/>
      <c r="ED30" s="60"/>
      <c r="EE30" s="61"/>
    </row>
    <row r="31" ht="22.5" customHeight="1">
      <c r="A31" s="62"/>
      <c r="B31" s="63"/>
      <c r="C31" s="64" t="str">
        <f t="array" ref="C31:EE31">IF(C32:EE32 &lt;&gt; "", IMAGE(VLOOKUP(C32:EE32,'Characters Database'!$E$6:$K45, 6, False)), )</f>
        <v/>
      </c>
      <c r="D31" s="88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64"/>
      <c r="CI31" s="64"/>
      <c r="CJ31" s="64"/>
      <c r="CK31" s="64"/>
      <c r="CL31" s="64"/>
      <c r="CM31" s="64"/>
      <c r="CN31" s="64"/>
      <c r="CO31" s="64"/>
      <c r="CP31" s="64"/>
      <c r="CQ31" s="64"/>
      <c r="CR31" s="64"/>
      <c r="CS31" s="64"/>
      <c r="CT31" s="64"/>
      <c r="CU31" s="64"/>
      <c r="CV31" s="64"/>
      <c r="CW31" s="64"/>
      <c r="CX31" s="64"/>
      <c r="CY31" s="64"/>
      <c r="CZ31" s="64"/>
      <c r="DA31" s="64"/>
      <c r="DB31" s="64"/>
      <c r="DC31" s="64"/>
      <c r="DD31" s="64"/>
      <c r="DE31" s="64"/>
      <c r="DF31" s="64"/>
      <c r="DG31" s="64"/>
      <c r="DH31" s="64"/>
      <c r="DI31" s="64"/>
      <c r="DJ31" s="64"/>
      <c r="DK31" s="64"/>
      <c r="DL31" s="64"/>
      <c r="DM31" s="64"/>
      <c r="DN31" s="64"/>
      <c r="DO31" s="64"/>
      <c r="DP31" s="64"/>
      <c r="DQ31" s="64"/>
      <c r="DR31" s="64"/>
      <c r="DS31" s="64"/>
      <c r="DT31" s="64"/>
      <c r="DU31" s="64"/>
      <c r="DV31" s="64"/>
      <c r="DW31" s="64"/>
      <c r="DX31" s="64"/>
      <c r="DY31" s="64"/>
      <c r="DZ31" s="64"/>
      <c r="EA31" s="64"/>
      <c r="EB31" s="64"/>
      <c r="EC31" s="64"/>
      <c r="ED31" s="64"/>
      <c r="EE31" s="65"/>
    </row>
    <row r="32" ht="22.5" customHeight="1">
      <c r="A32" s="66"/>
      <c r="B32" s="67"/>
      <c r="C32" s="68" t="str">
        <f>IFERROR(__xludf.DUMMYFUNCTION("TRANSPOSE(QUERY('Characters Database'!A$6:K45, ""Select E Where F = '"" &amp;  A30 &amp; ""'""))"),"ASL
Ace &amp; Sabo &amp; Luffy")</f>
        <v>ASL
Ace &amp; Sabo &amp; Luffy</v>
      </c>
      <c r="D32" s="89" t="str">
        <f>IFERROR(__xludf.DUMMYFUNCTION("""COMPUTED_VALUE"""),"Winner Island
Bepo")</f>
        <v>Winner Island
Bepo</v>
      </c>
      <c r="E32" s="89" t="str">
        <f>IFERROR(__xludf.DUMMYFUNCTION("""COMPUTED_VALUE"""),"Genius Scientist
Vegapunk")</f>
        <v>Genius Scientist
Vegapunk</v>
      </c>
      <c r="F32" s="89" t="str">
        <f>IFERROR(__xludf.DUMMYFUNCTION("""COMPUTED_VALUE"""),"Father and Daughter
Kuma &amp; Bonney")</f>
        <v>Father and Daughter
Kuma &amp; Bonney</v>
      </c>
      <c r="G32" s="68" t="str">
        <f>IFERROR(__xludf.DUMMYFUNCTION("""COMPUTED_VALUE"""),"Egghead
Jinbe")</f>
        <v>Egghead
Jinbe</v>
      </c>
      <c r="H32" s="68" t="str">
        <f>IFERROR(__xludf.DUMMYFUNCTION("""COMPUTED_VALUE"""),"Egghead
Franky")</f>
        <v>Egghead
Franky</v>
      </c>
      <c r="I32" s="68" t="str">
        <f>IFERROR(__xludf.DUMMYFUNCTION("""COMPUTED_VALUE"""),"Egghead
Nico Robin")</f>
        <v>Egghead
Nico Robin</v>
      </c>
      <c r="J32" s="68" t="str">
        <f>IFERROR(__xludf.DUMMYFUNCTION("""COMPUTED_VALUE"""),"Egghead
Tony Tony Chopper")</f>
        <v>Egghead
Tony Tony Chopper</v>
      </c>
      <c r="K32" s="68" t="str">
        <f>IFERROR(__xludf.DUMMYFUNCTION("""COMPUTED_VALUE"""),"Egghead
Brook")</f>
        <v>Egghead
Brook</v>
      </c>
      <c r="L32" s="68" t="str">
        <f>IFERROR(__xludf.DUMMYFUNCTION("""COMPUTED_VALUE"""),"Egghead
Usopp")</f>
        <v>Egghead
Usopp</v>
      </c>
      <c r="M32" s="68" t="str">
        <f>IFERROR(__xludf.DUMMYFUNCTION("""COMPUTED_VALUE"""),"Egghead
Nami")</f>
        <v>Egghead
Nami</v>
      </c>
      <c r="N32" s="68" t="str">
        <f>IFERROR(__xludf.DUMMYFUNCTION("""COMPUTED_VALUE"""),"Blind Swordsman Fujitora
[Issho]")</f>
        <v>Blind Swordsman Fujitora
[Issho]</v>
      </c>
      <c r="O32" s="68" t="str">
        <f>IFERROR(__xludf.DUMMYFUNCTION("""COMPUTED_VALUE"""),"Groves of Wrath Ryokugyu
[Aramaki]")</f>
        <v>Groves of Wrath Ryokugyu
[Aramaki]</v>
      </c>
      <c r="P32" s="68" t="str">
        <f>IFERROR(__xludf.DUMMYFUNCTION("""COMPUTED_VALUE"""),"Davy Back Fight
Sanji")</f>
        <v>Davy Back Fight
Sanji</v>
      </c>
      <c r="Q32" s="68" t="str">
        <f>IFERROR(__xludf.DUMMYFUNCTION("""COMPUTED_VALUE"""),"Foxy Pirates / Captain
Foxy")</f>
        <v>Foxy Pirates / Captain
Foxy</v>
      </c>
      <c r="R32" s="68" t="str">
        <f>IFERROR(__xludf.DUMMYFUNCTION("""COMPUTED_VALUE"""),"Davy Back Fight
Monkey D. Luffy")</f>
        <v>Davy Back Fight
Monkey D. Luffy</v>
      </c>
      <c r="S32" s="68" t="str">
        <f>IFERROR(__xludf.DUMMYFUNCTION("""COMPUTED_VALUE"""),"Happosui Army / 13th Chief
Sai")</f>
        <v>Happosui Army / 13th Chief
Sai</v>
      </c>
      <c r="T32" s="68" t="str">
        <f>IFERROR(__xludf.DUMMYFUNCTION("""COMPUTED_VALUE"""),"Tontatta Pirates / Captain
Leo")</f>
        <v>Tontatta Pirates / Captain
Leo</v>
      </c>
      <c r="U32" s="68" t="str">
        <f>IFERROR(__xludf.DUMMYFUNCTION("""COMPUTED_VALUE"""),"Clear-Clear Fruit
Shiryu")</f>
        <v>Clear-Clear Fruit
Shiryu</v>
      </c>
      <c r="V32" s="68" t="str">
        <f>IFERROR(__xludf.DUMMYFUNCTION("""COMPUTED_VALUE"""),"Strong-Strong Fruit
Jesus Burgess")</f>
        <v>Strong-Strong Fruit
Jesus Burgess</v>
      </c>
      <c r="W32" s="68" t="str">
        <f>IFERROR(__xludf.DUMMYFUNCTION("""COMPUTED_VALUE"""),"Germa 66
Vinsmoke Yonji")</f>
        <v>Germa 66
Vinsmoke Yonji</v>
      </c>
      <c r="X32" s="68" t="str">
        <f>IFERROR(__xludf.DUMMYFUNCTION("""COMPUTED_VALUE"""),"Germa 66
Vinsmoke Neji")</f>
        <v>Germa 66
Vinsmoke Neji</v>
      </c>
      <c r="Y32" s="68" t="str">
        <f>IFERROR(__xludf.DUMMYFUNCTION("""COMPUTED_VALUE"""),"Germa 66
Vinsmoke Ichiji")</f>
        <v>Germa 66
Vinsmoke Ichiji</v>
      </c>
      <c r="Z32" s="68" t="str">
        <f>IFERROR(__xludf.DUMMYFUNCTION("""COMPUTED_VALUE"""),"Navy HQ / Captain
Koby")</f>
        <v>Navy HQ / Captain
Koby</v>
      </c>
      <c r="AA32" s="68" t="str">
        <f>IFERROR(__xludf.DUMMYFUNCTION("""COMPUTED_VALUE"""),"Egghead
Sanji")</f>
        <v>Egghead
Sanji</v>
      </c>
      <c r="AB32" s="68" t="str">
        <f>IFERROR(__xludf.DUMMYFUNCTION("""COMPUTED_VALUE"""),"Seraphim
S-Shark")</f>
        <v>Seraphim
S-Shark</v>
      </c>
      <c r="AC32" s="68" t="str">
        <f>IFERROR(__xludf.DUMMYFUNCTION("""COMPUTED_VALUE"""),"Seraphim
S-Bear")</f>
        <v>Seraphim
S-Bear</v>
      </c>
      <c r="AD32" s="68" t="str">
        <f>IFERROR(__xludf.DUMMYFUNCTION("""COMPUTED_VALUE"""),"Punk-02
Lilith")</f>
        <v>Punk-02
Lilith</v>
      </c>
      <c r="AE32" s="68" t="str">
        <f>IFERROR(__xludf.DUMMYFUNCTION("""COMPUTED_VALUE"""),"The Red
Broggy")</f>
        <v>The Red
Broggy</v>
      </c>
      <c r="AF32" s="68" t="str">
        <f>IFERROR(__xludf.DUMMYFUNCTION("""COMPUTED_VALUE"""),"The Blue
Dorry")</f>
        <v>The Blue
Dorry</v>
      </c>
      <c r="AG32" s="68" t="str">
        <f>IFERROR(__xludf.DUMMYFUNCTION("""COMPUTED_VALUE"""),"Vegapunk's Spy
Stussy")</f>
        <v>Vegapunk's Spy
Stussy</v>
      </c>
      <c r="AH32" s="68" t="str">
        <f>IFERROR(__xludf.DUMMYFUNCTION("""COMPUTED_VALUE"""),"Awakened Form
Kaku")</f>
        <v>Awakened Form
Kaku</v>
      </c>
      <c r="AI32" s="68" t="str">
        <f>IFERROR(__xludf.DUMMYFUNCTION("""COMPUTED_VALUE"""),"CP9
Jabra")</f>
        <v>CP9
Jabra</v>
      </c>
      <c r="AJ32" s="68" t="str">
        <f>IFERROR(__xludf.DUMMYFUNCTION("""COMPUTED_VALUE"""),"CP9
Blueno")</f>
        <v>CP9
Blueno</v>
      </c>
      <c r="AK32" s="68" t="str">
        <f>IFERROR(__xludf.DUMMYFUNCTION("""COMPUTED_VALUE"""),"Seraphim
S-Hawk")</f>
        <v>Seraphim
S-Hawk</v>
      </c>
      <c r="AL32" s="68" t="str">
        <f>IFERROR(__xludf.DUMMYFUNCTION("""COMPUTED_VALUE"""),"Egghead
Roronoa Zoro")</f>
        <v>Egghead
Roronoa Zoro</v>
      </c>
      <c r="AM32" s="68" t="str">
        <f>IFERROR(__xludf.DUMMYFUNCTION("""COMPUTED_VALUE"""),"Egghead
Monkey D. Luffy")</f>
        <v>Egghead
Monkey D. Luffy</v>
      </c>
      <c r="AN32" s="68" t="str">
        <f>IFERROR(__xludf.DUMMYFUNCTION("""COMPUTED_VALUE"""),"The Navy's Human Weapon
Pacifista")</f>
        <v>The Navy's Human Weapon
Pacifista</v>
      </c>
      <c r="AO32" s="68" t="str">
        <f>IFERROR(__xludf.DUMMYFUNCTION("""COMPUTED_VALUE"""),"The Most Defensive Man in the World
Sentomaru")</f>
        <v>The Most Defensive Man in the World
Sentomaru</v>
      </c>
      <c r="AP32" s="68" t="str">
        <f>IFERROR(__xludf.DUMMYFUNCTION("""COMPUTED_VALUE"""),"Lvneel Kingdom / Exploration Ship Admiral
Mont Blanc Noland")</f>
        <v>Lvneel Kingdom / Exploration Ship Admiral
Mont Blanc Noland</v>
      </c>
      <c r="AQ32" s="68" t="str">
        <f>IFERROR(__xludf.DUMMYFUNCTION("""COMPUTED_VALUE"""),"The Great Warrior of Shandora
Kalgara")</f>
        <v>The Great Warrior of Shandora
Kalgara</v>
      </c>
      <c r="AR32" s="68" t="str">
        <f>IFERROR(__xludf.DUMMYFUNCTION("""COMPUTED_VALUE"""),"Ex-Roger Pirates / First Mate
Silvers Rayleigh")</f>
        <v>Ex-Roger Pirates / First Mate
Silvers Rayleigh</v>
      </c>
      <c r="AS32" s="68" t="str">
        <f>IFERROR(__xludf.DUMMYFUNCTION("""COMPUTED_VALUE"""),"Heir to the Shogun of Wano
Kozuki Oden")</f>
        <v>Heir to the Shogun of Wano
Kozuki Oden</v>
      </c>
      <c r="AT32" s="68" t="str">
        <f>IFERROR(__xludf.DUMMYFUNCTION("""COMPUTED_VALUE"""),"Shogun of Wano
Kozuki Momonosuke")</f>
        <v>Shogun of Wano
Kozuki Momonosuke</v>
      </c>
      <c r="AU32" s="68" t="str">
        <f>IFERROR(__xludf.DUMMYFUNCTION("""COMPUTED_VALUE"""),"Navy HQ / Admiral Ryokugyu
[Aramaki]")</f>
        <v>Navy HQ / Admiral Ryokugyu
[Aramaki]</v>
      </c>
      <c r="AV32" s="68" t="str">
        <f>IFERROR(__xludf.DUMMYFUNCTION("""COMPUTED_VALUE"""),"Raid on Onigashima
Franky")</f>
        <v>Raid on Onigashima
Franky</v>
      </c>
      <c r="AW32" s="68" t="str">
        <f>IFERROR(__xludf.DUMMYFUNCTION("""COMPUTED_VALUE"""),"Raid on Onigashima
Tony Tony Chopper")</f>
        <v>Raid on Onigashima
Tony Tony Chopper</v>
      </c>
      <c r="AX32" s="68" t="str">
        <f>IFERROR(__xludf.DUMMYFUNCTION("""COMPUTED_VALUE"""),"Revolutionary Army / Captain of the Eastern Forces
Belo Betty")</f>
        <v>Revolutionary Army / Captain of the Eastern Forces
Belo Betty</v>
      </c>
      <c r="AY32" s="68" t="str">
        <f>IFERROR(__xludf.DUMMYFUNCTION("""COMPUTED_VALUE"""),"Revolutionary Army / Captain of the Northern Forces
Karasu")</f>
        <v>Revolutionary Army / Captain of the Northern Forces
Karasu</v>
      </c>
      <c r="AZ32" s="68" t="str">
        <f>IFERROR(__xludf.DUMMYFUNCTION("""COMPUTED_VALUE"""),"Cyborg
Queen")</f>
        <v>Cyborg
Queen</v>
      </c>
      <c r="BA32" s="68" t="str">
        <f>IFERROR(__xludf.DUMMYFUNCTION("""COMPUTED_VALUE"""),"Lunarian
Alber")</f>
        <v>Lunarian
Alber</v>
      </c>
      <c r="BB32" s="68" t="str">
        <f>IFERROR(__xludf.DUMMYFUNCTION("""COMPUTED_VALUE"""),"Raid on Onigashima
Sanji")</f>
        <v>Raid on Onigashima
Sanji</v>
      </c>
      <c r="BC32" s="68" t="str">
        <f>IFERROR(__xludf.DUMMYFUNCTION("""COMPUTED_VALUE"""),"Raid on Onigashima
Killer")</f>
        <v>Raid on Onigashima
Killer</v>
      </c>
      <c r="BD32" s="68" t="str">
        <f>IFERROR(__xludf.DUMMYFUNCTION("""COMPUTED_VALUE"""),"New Fish-Man Pirates / Captain
Hody Jones")</f>
        <v>New Fish-Man Pirates / Captain
Hody Jones</v>
      </c>
      <c r="BE32" s="68" t="str">
        <f>IFERROR(__xludf.DUMMYFUNCTION("""COMPUTED_VALUE"""),"Ryugu Kingdom / King
Neptune")</f>
        <v>Ryugu Kingdom / King
Neptune</v>
      </c>
      <c r="BF32" s="68" t="str">
        <f>IFERROR(__xludf.DUMMYFUNCTION("""COMPUTED_VALUE"""),"Raid on Onigashima
Usopp")</f>
        <v>Raid on Onigashima
Usopp</v>
      </c>
      <c r="BG32" s="68" t="str">
        <f>IFERROR(__xludf.DUMMYFUNCTION("""COMPUTED_VALUE"""),"Raid on Onigashima
Nami")</f>
        <v>Raid on Onigashima
Nami</v>
      </c>
      <c r="BH32" s="68" t="str">
        <f>IFERROR(__xludf.DUMMYFUNCTION("""COMPUTED_VALUE"""),"Raid on Onigashima
Brook")</f>
        <v>Raid on Onigashima
Brook</v>
      </c>
      <c r="BI32" s="68" t="str">
        <f>IFERROR(__xludf.DUMMYFUNCTION("""COMPUTED_VALUE"""),"Raid on Onigashima
Nico Robin")</f>
        <v>Raid on Onigashima
Nico Robin</v>
      </c>
      <c r="BJ32" s="68" t="str">
        <f>IFERROR(__xludf.DUMMYFUNCTION("""COMPUTED_VALUE"""),"Slicing Winds of Rommel
Hakuba")</f>
        <v>Slicing Winds of Rommel
Hakuba</v>
      </c>
      <c r="BK32" s="68" t="str">
        <f>IFERROR(__xludf.DUMMYFUNCTION("""COMPUTED_VALUE"""),"Former Happosui Army / 12th Chief
Chin Jao")</f>
        <v>Former Happosui Army / 12th Chief
Chin Jao</v>
      </c>
      <c r="BL32" s="68" t="str">
        <f>IFERROR(__xludf.DUMMYFUNCTION("""COMPUTED_VALUE"""),"Big Mom Pirates / Crewmate
Charlotte Brulee")</f>
        <v>Big Mom Pirates / Crewmate
Charlotte Brulee</v>
      </c>
      <c r="BM32" s="68" t="str">
        <f>IFERROR(__xludf.DUMMYFUNCTION("""COMPUTED_VALUE"""),"Big Mom Pirates / ""Sweet 3"" General
Charlotte Cracker")</f>
        <v>Big Mom Pirates / "Sweet 3" General
Charlotte Cracker</v>
      </c>
      <c r="BN32" s="68" t="str">
        <f>IFERROR(__xludf.DUMMYFUNCTION("""COMPUTED_VALUE"""),"Animal Kingdom Pirates / Tobi Roppo
Who`s-Who")</f>
        <v>Animal Kingdom Pirates / Tobi Roppo
Who`s-Who</v>
      </c>
      <c r="BO32" s="68" t="str">
        <f>IFERROR(__xludf.DUMMYFUNCTION("""COMPUTED_VALUE"""),"Raid on Onigashima
Jinbe")</f>
        <v>Raid on Onigashima
Jinbe</v>
      </c>
      <c r="BP32" s="68" t="str">
        <f>IFERROR(__xludf.DUMMYFUNCTION("""COMPUTED_VALUE"""),"Animal Kingdom Pirates / Lead Performer
King")</f>
        <v>Animal Kingdom Pirates / Lead Performer
King</v>
      </c>
      <c r="BQ32" s="68" t="str">
        <f>IFERROR(__xludf.DUMMYFUNCTION("""COMPUTED_VALUE"""),"Don Quixote Pirates / Supreme Officer
Trebol")</f>
        <v>Don Quixote Pirates / Supreme Officer
Trebol</v>
      </c>
      <c r="BR32" s="68" t="str">
        <f>IFERROR(__xludf.DUMMYFUNCTION("""COMPUTED_VALUE"""),"Don Quixote Pirates / Supreme Officer
Diamante")</f>
        <v>Don Quixote Pirates / Supreme Officer
Diamante</v>
      </c>
      <c r="BS32" s="68" t="str">
        <f>IFERROR(__xludf.DUMMYFUNCTION("""COMPUTED_VALUE"""),"Land of Wano
Marco")</f>
        <v>Land of Wano
Marco</v>
      </c>
      <c r="BT32" s="68" t="str">
        <f>IFERROR(__xludf.DUMMYFUNCTION("""COMPUTED_VALUE"""),"Big Mom Pirates / Crewmate
Charlotte Perospero")</f>
        <v>Big Mom Pirates / Crewmate
Charlotte Perospero</v>
      </c>
      <c r="BU32" s="68" t="str">
        <f>IFERROR(__xludf.DUMMYFUNCTION("""COMPUTED_VALUE"""),"Animal Kingdom Pirates / Tobi Roppo
Ulti")</f>
        <v>Animal Kingdom Pirates / Tobi Roppo
Ulti</v>
      </c>
      <c r="BV32" s="68" t="str">
        <f>IFERROR(__xludf.DUMMYFUNCTION("""COMPUTED_VALUE"""),"Animal Kingdom Pirates / Tobi Roppo
Page One")</f>
        <v>Animal Kingdom Pirates / Tobi Roppo
Page One</v>
      </c>
      <c r="BW32" s="68" t="str">
        <f>IFERROR(__xludf.DUMMYFUNCTION("""COMPUTED_VALUE"""),"Blackbeard Pirates / Former Head Jailer of Impel Down
Shiryu")</f>
        <v>Blackbeard Pirates / Former Head Jailer of Impel Down
Shiryu</v>
      </c>
      <c r="BX32" s="68" t="str">
        <f>IFERROR(__xludf.DUMMYFUNCTION("""COMPUTED_VALUE"""),"Whitebeard Pirates / 3rd Division Commander
Jozu")</f>
        <v>Whitebeard Pirates / 3rd Division Commander
Jozu</v>
      </c>
      <c r="BY32" s="68" t="str">
        <f>IFERROR(__xludf.DUMMYFUNCTION("""COMPUTED_VALUE"""),"Stealth Black
Soba Mask")</f>
        <v>Stealth Black
Soba Mask</v>
      </c>
      <c r="BZ32" s="68" t="str">
        <f>IFERROR(__xludf.DUMMYFUNCTION("""COMPUTED_VALUE"""),"Germa 66 / Generalissimo
Vinsmoke Judge")</f>
        <v>Germa 66 / Generalissimo
Vinsmoke Judge</v>
      </c>
      <c r="CA32" s="68" t="str">
        <f>IFERROR(__xludf.DUMMYFUNCTION("""COMPUTED_VALUE"""),"Animal Kingdom Pirates / Lead Performer
Queen")</f>
        <v>Animal Kingdom Pirates / Lead Performer
Queen</v>
      </c>
      <c r="CB32" s="68" t="str">
        <f>IFERROR(__xludf.DUMMYFUNCTION("""COMPUTED_VALUE"""),"Animal Kingdom Pirates / Lead Performer
Jack")</f>
        <v>Animal Kingdom Pirates / Lead Performer
Jack</v>
      </c>
      <c r="CC32" s="68" t="str">
        <f>IFERROR(__xludf.DUMMYFUNCTION("""COMPUTED_VALUE"""),"Roger Pirates / First Mate
Silvers Rayleigh")</f>
        <v>Roger Pirates / First Mate
Silvers Rayleigh</v>
      </c>
      <c r="CD32" s="68" t="str">
        <f>IFERROR(__xludf.DUMMYFUNCTION("""COMPUTED_VALUE"""),"Whole Cake Island
Brook")</f>
        <v>Whole Cake Island
Brook</v>
      </c>
      <c r="CE32" s="68" t="str">
        <f>IFERROR(__xludf.DUMMYFUNCTION("""COMPUTED_VALUE"""),"Whole Cake Island
Nami")</f>
        <v>Whole Cake Island
Nami</v>
      </c>
      <c r="CF32" s="68" t="str">
        <f>IFERROR(__xludf.DUMMYFUNCTION("""COMPUTED_VALUE"""),"Don Quixote Pirates / Special Officer
Sugar")</f>
        <v>Don Quixote Pirates / Special Officer
Sugar</v>
      </c>
      <c r="CG32" s="68" t="str">
        <f>IFERROR(__xludf.DUMMYFUNCTION("""COMPUTED_VALUE"""),"Don Quixote Pirates / Captain
Don Quixote Doflamingo")</f>
        <v>Don Quixote Pirates / Captain
Don Quixote Doflamingo</v>
      </c>
      <c r="CH32" s="68" t="str">
        <f>IFERROR(__xludf.DUMMYFUNCTION("""COMPUTED_VALUE"""),"Princess and Loyal Partner
Vivi &amp; Karoo")</f>
        <v>Princess and Loyal Partner
Vivi &amp; Karoo</v>
      </c>
      <c r="CI32" s="68" t="str">
        <f>IFERROR(__xludf.DUMMYFUNCTION("""COMPUTED_VALUE"""),"Lieutenant Royal Guard of Alabasta
Pell")</f>
        <v>Lieutenant Royal Guard of Alabasta
Pell</v>
      </c>
      <c r="CJ32" s="68" t="str">
        <f>IFERROR(__xludf.DUMMYFUNCTION("""COMPUTED_VALUE"""),"Raid on Onigashima
Trafalger Law")</f>
        <v>Raid on Onigashima
Trafalger Law</v>
      </c>
      <c r="CK32" s="68" t="str">
        <f>IFERROR(__xludf.DUMMYFUNCTION("""COMPUTED_VALUE"""),"Raid on Onigashima
Eustass Kid")</f>
        <v>Raid on Onigashima
Eustass Kid</v>
      </c>
      <c r="CL32" s="68" t="str">
        <f>IFERROR(__xludf.DUMMYFUNCTION("""COMPUTED_VALUE"""),"Raid on Onigashima
Monkey D. Luffy")</f>
        <v>Raid on Onigashima
Monkey D. Luffy</v>
      </c>
      <c r="CM32" s="68" t="str">
        <f>IFERROR(__xludf.DUMMYFUNCTION("""COMPUTED_VALUE"""),"Enies Lobby
Nico Robin")</f>
        <v>Enies Lobby
Nico Robin</v>
      </c>
      <c r="CN32" s="68" t="str">
        <f>IFERROR(__xludf.DUMMYFUNCTION("""COMPUTED_VALUE"""),"Monster Point
Tony Tony Chopper")</f>
        <v>Monster Point
Tony Tony Chopper</v>
      </c>
      <c r="CO32" s="68" t="str">
        <f>IFERROR(__xludf.DUMMYFUNCTION("""COMPUTED_VALUE"""),"Iron Pirate
General Franky")</f>
        <v>Iron Pirate
General Franky</v>
      </c>
      <c r="CP32" s="68" t="str">
        <f>IFERROR(__xludf.DUMMYFUNCTION("""COMPUTED_VALUE"""),"Savior
God Usopp")</f>
        <v>Savior
God Usopp</v>
      </c>
      <c r="CQ32" s="68" t="str">
        <f>IFERROR(__xludf.DUMMYFUNCTION("""COMPUTED_VALUE"""),"Roger`s Rival
Edward Newgate")</f>
        <v>Roger`s Rival
Edward Newgate</v>
      </c>
      <c r="CR32" s="90" t="str">
        <f>IFERROR(__xludf.DUMMYFUNCTION("""COMPUTED_VALUE"""),"Hero of the Navy
Monkey D. Garb")</f>
        <v>Hero of the Navy
Monkey D. Garb</v>
      </c>
      <c r="CS32" s="90" t="str">
        <f>IFERROR(__xludf.DUMMYFUNCTION("""COMPUTED_VALUE"""),"Royal Wedding
Sanji")</f>
        <v>Royal Wedding
Sanji</v>
      </c>
      <c r="CT32" s="90" t="str">
        <f>IFERROR(__xludf.DUMMYFUNCTION("""COMPUTED_VALUE"""),"The Billion-Fold World Trichiliocosm
Roronoa Zoro")</f>
        <v>The Billion-Fold World Trichiliocosm
Roronoa Zoro</v>
      </c>
      <c r="CU32" s="90" t="str">
        <f>IFERROR(__xludf.DUMMYFUNCTION("""COMPUTED_VALUE"""),"Luffy &amp; Law Pirate Alliance
Monkey D. Luffy")</f>
        <v>Luffy &amp; Law Pirate Alliance
Monkey D. Luffy</v>
      </c>
      <c r="CV32" s="90" t="str">
        <f>IFERROR(__xludf.DUMMYFUNCTION("""COMPUTED_VALUE"""),"Kozuki Clan / Servant
Kin'emon")</f>
        <v>Kozuki Clan / Servant
Kin'emon</v>
      </c>
      <c r="CW32" s="90" t="str">
        <f>IFERROR(__xludf.DUMMYFUNCTION("""COMPUTED_VALUE"""),"The Parmount War
Gecko Moria")</f>
        <v>The Parmount War
Gecko Moria</v>
      </c>
      <c r="CX32" s="90" t="str">
        <f>IFERROR(__xludf.DUMMYFUNCTION("""COMPUTED_VALUE"""),"The Parmount War
Crocodile")</f>
        <v>The Parmount War
Crocodile</v>
      </c>
      <c r="CY32" s="90" t="str">
        <f>IFERROR(__xludf.DUMMYFUNCTION("""COMPUTED_VALUE"""),"Kuja Pirates / Captain
Boa Hancock")</f>
        <v>Kuja Pirates / Captain
Boa Hancock</v>
      </c>
      <c r="CZ32" s="90" t="str">
        <f>IFERROR(__xludf.DUMMYFUNCTION("""COMPUTED_VALUE"""),"The Greatest Swordman in the World
Dracule Mihawk")</f>
        <v>The Greatest Swordman in the World
Dracule Mihawk</v>
      </c>
      <c r="DA32" s="90" t="str">
        <f>IFERROR(__xludf.DUMMYFUNCTION("""COMPUTED_VALUE"""),"Superhuman
Charlotte Katakuri")</f>
        <v>Superhuman
Charlotte Katakuri</v>
      </c>
      <c r="DB32" s="90" t="str">
        <f>IFERROR(__xludf.DUMMYFUNCTION("""COMPUTED_VALUE"""),"Amaru
Eneru")</f>
        <v>Amaru
Eneru</v>
      </c>
      <c r="DC32" s="90" t="str">
        <f>IFERROR(__xludf.DUMMYFUNCTION("""COMPUTED_VALUE"""),"CP0
Rob Lucci")</f>
        <v>CP0
Rob Lucci</v>
      </c>
      <c r="DD32" s="90" t="str">
        <f>IFERROR(__xludf.DUMMYFUNCTION("""COMPUTED_VALUE"""),"Land of Wano
X.Drake")</f>
        <v>Land of Wano
X.Drake</v>
      </c>
      <c r="DE32" s="90" t="str">
        <f>IFERROR(__xludf.DUMMYFUNCTION("""COMPUTED_VALUE"""),"New World
Eustass Kid")</f>
        <v>New World
Eustass Kid</v>
      </c>
      <c r="DF32" s="90" t="str">
        <f>IFERROR(__xludf.DUMMYFUNCTION("""COMPUTED_VALUE"""),"Navy HQ / Fleet Admiral
Sengoku")</f>
        <v>Navy HQ / Fleet Admiral
Sengoku</v>
      </c>
      <c r="DG32" s="90" t="str">
        <f>IFERROR(__xludf.DUMMYFUNCTION("""COMPUTED_VALUE"""),"The Pirate King`s Right Arm The Dark King
Silvers Rayleigh")</f>
        <v>The Pirate King`s Right Arm The Dark King
Silvers Rayleigh</v>
      </c>
      <c r="DH32" s="90" t="str">
        <f>IFERROR(__xludf.DUMMYFUNCTION("""COMPUTED_VALUE"""),"Revolutoonary Army
Emporio Ivankov")</f>
        <v>Revolutoonary Army
Emporio Ivankov</v>
      </c>
      <c r="DI32" s="90" t="str">
        <f>IFERROR(__xludf.DUMMYFUNCTION("""COMPUTED_VALUE"""),"Impel Down / Warden
Magellan")</f>
        <v>Impel Down / Warden
Magellan</v>
      </c>
      <c r="DJ32" s="90" t="str">
        <f>IFERROR(__xludf.DUMMYFUNCTION("""COMPUTED_VALUE"""),"Luffy`s Brother
Sabo")</f>
        <v>Luffy`s Brother
Sabo</v>
      </c>
      <c r="DK32" s="90" t="str">
        <f>IFERROR(__xludf.DUMMYFUNCTION("""COMPUTED_VALUE"""),"Navy HQ / Admiral Fujitora
[Issho]")</f>
        <v>Navy HQ / Admiral Fujitora
[Issho]</v>
      </c>
      <c r="DL32" s="90" t="str">
        <f>IFERROR(__xludf.DUMMYFUNCTION("""COMPUTED_VALUE"""),"Animal Kingdom Pirates / Supreme Commander
Kaido")</f>
        <v>Animal Kingdom Pirates / Supreme Commander
Kaido</v>
      </c>
      <c r="DM32" s="90" t="str">
        <f>IFERROR(__xludf.DUMMYFUNCTION("""COMPUTED_VALUE"""),"The Seven Warlords of the Sea
Bartholomew Kuma")</f>
        <v>The Seven Warlords of the Sea
Bartholomew Kuma</v>
      </c>
      <c r="DN32" s="90" t="str">
        <f>IFERROR(__xludf.DUMMYFUNCTION("""COMPUTED_VALUE"""),"The Seven Warlords of the Sea
Jinbe")</f>
        <v>The Seven Warlords of the Sea
Jinbe</v>
      </c>
      <c r="DO32" s="90" t="str">
        <f>IFERROR(__xludf.DUMMYFUNCTION("""COMPUTED_VALUE"""),"Big Mom Pirates / ""Sweet 3"" General
Charlotte Katakuri")</f>
        <v>Big Mom Pirates / "Sweet 3" General
Charlotte Katakuri</v>
      </c>
      <c r="DP32" s="90" t="str">
        <f>IFERROR(__xludf.DUMMYFUNCTION("""COMPUTED_VALUE"""),"Big Mom Pirates / Captain
Charlotte Linlin")</f>
        <v>Big Mom Pirates / Captain
Charlotte Linlin</v>
      </c>
      <c r="DQ32" s="90" t="str">
        <f>IFERROR(__xludf.DUMMYFUNCTION("""COMPUTED_VALUE"""),"The Seven Warlords of the Sea
Don Quixote Doflamingo")</f>
        <v>The Seven Warlords of the Sea
Don Quixote Doflamingo</v>
      </c>
      <c r="DR32" s="90" t="str">
        <f>IFERROR(__xludf.DUMMYFUNCTION("""COMPUTED_VALUE"""),"Gear Four / Bounceman
Monkey D. Luffy")</f>
        <v>Gear Four / Bounceman
Monkey D. Luffy</v>
      </c>
      <c r="DS32" s="90" t="str">
        <f>IFERROR(__xludf.DUMMYFUNCTION("""COMPUTED_VALUE"""),"Bikini
Boa Hancock")</f>
        <v>Bikini
Boa Hancock</v>
      </c>
      <c r="DT32" s="90" t="str">
        <f>IFERROR(__xludf.DUMMYFUNCTION("""COMPUTED_VALUE"""),"Bikini
Nami")</f>
        <v>Bikini
Nami</v>
      </c>
      <c r="DU32" s="90" t="str">
        <f>IFERROR(__xludf.DUMMYFUNCTION("""COMPUTED_VALUE"""),"Navy HQ / Admiral Kizaru
[Borsalino]")</f>
        <v>Navy HQ / Admiral Kizaru
[Borsalino]</v>
      </c>
      <c r="DV32" s="90" t="str">
        <f>IFERROR(__xludf.DUMMYFUNCTION("""COMPUTED_VALUE"""),"Revolutoonary Army / Chief of Staff
Sabo")</f>
        <v>Revolutoonary Army / Chief of Staff
Sabo</v>
      </c>
      <c r="DW32" s="90" t="str">
        <f>IFERROR(__xludf.DUMMYFUNCTION("""COMPUTED_VALUE"""),"Heart Pirates / Captain
Trafalger Law")</f>
        <v>Heart Pirates / Captain
Trafalger Law</v>
      </c>
      <c r="DX32" s="90" t="str">
        <f>IFERROR(__xludf.DUMMYFUNCTION("""COMPUTED_VALUE"""),"Kid Pirates / Captain
Eustass Kid")</f>
        <v>Kid Pirates / Captain
Eustass Kid</v>
      </c>
      <c r="DY32" s="90" t="str">
        <f>IFERROR(__xludf.DUMMYFUNCTION("""COMPUTED_VALUE"""),"The Seven Warlords of the Sea
Gecko Moria")</f>
        <v>The Seven Warlords of the Sea
Gecko Moria</v>
      </c>
      <c r="DZ32" s="90" t="str">
        <f>IFERROR(__xludf.DUMMYFUNCTION("""COMPUTED_VALUE"""),"The Seven Warlords of the Sea
Hancock")</f>
        <v>The Seven Warlords of the Sea
Hancock</v>
      </c>
      <c r="EA32" s="90" t="str">
        <f>IFERROR(__xludf.DUMMYFUNCTION("""COMPUTED_VALUE"""),"Navy HQ / Admiral Aokiji
[Kuzan]")</f>
        <v>Navy HQ / Admiral Aokiji
[Kuzan]</v>
      </c>
      <c r="EB32" s="90" t="str">
        <f>IFERROR(__xludf.DUMMYFUNCTION("""COMPUTED_VALUE"""),"Navy HQ / Admiral Akainu
[Sakazuki]")</f>
        <v>Navy HQ / Admiral Akainu
[Sakazuki]</v>
      </c>
      <c r="EC32" s="90" t="str">
        <f>IFERROR(__xludf.DUMMYFUNCTION("""COMPUTED_VALUE"""),"Whitebeard Pirates / 2nd Division Commander
Portgaz D. Ace")</f>
        <v>Whitebeard Pirates / 2nd Division Commander
Portgaz D. Ace</v>
      </c>
      <c r="ED32" s="90" t="str">
        <f>IFERROR(__xludf.DUMMYFUNCTION("""COMPUTED_VALUE"""),"Whitebeard Pirates / Captain Whitebeard
Edward Newgate")</f>
        <v>Whitebeard Pirates / Captain Whitebeard
Edward Newgate</v>
      </c>
      <c r="EE32" s="91"/>
    </row>
    <row r="33" ht="7.5" customHeight="1">
      <c r="A33" s="56"/>
      <c r="B33" s="56"/>
      <c r="C33" s="72" t="str">
        <f t="array" ref="C33:EE33">IF(C32:EE32 &lt;&gt; "", VLOOKUP(C32:EE32,'Characters Database'!$E$6:$K45, 7, False), )</f>
        <v>Light
Attacker-Defender-Runner</v>
      </c>
      <c r="D33" s="72" t="s">
        <v>28</v>
      </c>
      <c r="E33" s="72" t="s">
        <v>10</v>
      </c>
      <c r="F33" s="72" t="s">
        <v>35</v>
      </c>
      <c r="G33" s="72" t="s">
        <v>39</v>
      </c>
      <c r="H33" s="72" t="s">
        <v>43</v>
      </c>
      <c r="I33" s="72" t="s">
        <v>28</v>
      </c>
      <c r="J33" s="72" t="s">
        <v>54</v>
      </c>
      <c r="K33" s="72" t="s">
        <v>58</v>
      </c>
      <c r="L33" s="72" t="s">
        <v>28</v>
      </c>
      <c r="M33" s="72" t="s">
        <v>24</v>
      </c>
      <c r="N33" s="72" t="s">
        <v>62</v>
      </c>
      <c r="O33" s="72" t="s">
        <v>75</v>
      </c>
      <c r="P33" s="72" t="s">
        <v>24</v>
      </c>
      <c r="Q33" s="72" t="s">
        <v>86</v>
      </c>
      <c r="R33" s="72" t="s">
        <v>35</v>
      </c>
      <c r="S33" s="72" t="s">
        <v>93</v>
      </c>
      <c r="T33" s="72" t="s">
        <v>75</v>
      </c>
      <c r="U33" s="72" t="s">
        <v>104</v>
      </c>
      <c r="V33" s="72" t="s">
        <v>75</v>
      </c>
      <c r="W33" s="72" t="s">
        <v>86</v>
      </c>
      <c r="X33" s="72" t="s">
        <v>114</v>
      </c>
      <c r="Y33" s="72" t="s">
        <v>35</v>
      </c>
      <c r="Z33" s="72" t="s">
        <v>43</v>
      </c>
      <c r="AA33" s="72" t="s">
        <v>140</v>
      </c>
      <c r="AB33" s="72" t="s">
        <v>10</v>
      </c>
      <c r="AC33" s="72" t="s">
        <v>104</v>
      </c>
      <c r="AD33" s="72" t="s">
        <v>86</v>
      </c>
      <c r="AE33" s="72" t="s">
        <v>5</v>
      </c>
      <c r="AF33" s="72" t="s">
        <v>43</v>
      </c>
      <c r="AG33" s="72" t="s">
        <v>86</v>
      </c>
      <c r="AH33" s="72" t="s">
        <v>28</v>
      </c>
      <c r="AI33" s="72" t="s">
        <v>104</v>
      </c>
      <c r="AJ33" s="72" t="s">
        <v>114</v>
      </c>
      <c r="AK33" s="72" t="s">
        <v>35</v>
      </c>
      <c r="AL33" s="72" t="s">
        <v>62</v>
      </c>
      <c r="AM33" s="72" t="s">
        <v>24</v>
      </c>
      <c r="AN33" s="72" t="s">
        <v>43</v>
      </c>
      <c r="AO33" s="72" t="s">
        <v>75</v>
      </c>
      <c r="AP33" s="72" t="s">
        <v>140</v>
      </c>
      <c r="AQ33" s="72" t="s">
        <v>212</v>
      </c>
      <c r="AR33" s="72" t="s">
        <v>5</v>
      </c>
      <c r="AS33" s="72" t="s">
        <v>93</v>
      </c>
      <c r="AT33" s="72" t="s">
        <v>75</v>
      </c>
      <c r="AU33" s="72" t="s">
        <v>10</v>
      </c>
      <c r="AV33" s="72" t="s">
        <v>24</v>
      </c>
      <c r="AW33" s="72" t="s">
        <v>104</v>
      </c>
      <c r="AX33" s="72" t="s">
        <v>75</v>
      </c>
      <c r="AY33" s="72" t="s">
        <v>10</v>
      </c>
      <c r="AZ33" s="72" t="s">
        <v>24</v>
      </c>
      <c r="BA33" s="72" t="s">
        <v>35</v>
      </c>
      <c r="BB33" s="72" t="s">
        <v>272</v>
      </c>
      <c r="BC33" s="72" t="s">
        <v>212</v>
      </c>
      <c r="BD33" s="72" t="s">
        <v>10</v>
      </c>
      <c r="BE33" s="72" t="s">
        <v>86</v>
      </c>
      <c r="BF33" s="72" t="s">
        <v>114</v>
      </c>
      <c r="BG33" s="72" t="s">
        <v>35</v>
      </c>
      <c r="BH33" s="72" t="s">
        <v>75</v>
      </c>
      <c r="BI33" s="72" t="s">
        <v>212</v>
      </c>
      <c r="BJ33" s="72" t="s">
        <v>114</v>
      </c>
      <c r="BK33" s="72" t="s">
        <v>140</v>
      </c>
      <c r="BL33" s="72" t="s">
        <v>75</v>
      </c>
      <c r="BM33" s="72" t="s">
        <v>212</v>
      </c>
      <c r="BN33" s="72" t="s">
        <v>104</v>
      </c>
      <c r="BO33" s="72" t="s">
        <v>140</v>
      </c>
      <c r="BP33" s="72" t="s">
        <v>24</v>
      </c>
      <c r="BQ33" s="72" t="s">
        <v>86</v>
      </c>
      <c r="BR33" s="72" t="s">
        <v>104</v>
      </c>
      <c r="BS33" s="72" t="s">
        <v>10</v>
      </c>
      <c r="BT33" s="72" t="s">
        <v>104</v>
      </c>
      <c r="BU33" s="72" t="s">
        <v>212</v>
      </c>
      <c r="BV33" s="72" t="s">
        <v>75</v>
      </c>
      <c r="BW33" s="72" t="s">
        <v>35</v>
      </c>
      <c r="BX33" s="72" t="s">
        <v>140</v>
      </c>
      <c r="BY33" s="72" t="s">
        <v>10</v>
      </c>
      <c r="BZ33" s="72" t="s">
        <v>140</v>
      </c>
      <c r="CA33" s="72" t="s">
        <v>75</v>
      </c>
      <c r="CB33" s="72" t="s">
        <v>104</v>
      </c>
      <c r="CC33" s="72" t="s">
        <v>114</v>
      </c>
      <c r="CD33" s="72" t="s">
        <v>10</v>
      </c>
      <c r="CE33" s="72" t="s">
        <v>140</v>
      </c>
      <c r="CF33" s="72" t="s">
        <v>75</v>
      </c>
      <c r="CG33" s="72" t="s">
        <v>212</v>
      </c>
      <c r="CH33" s="72" t="s">
        <v>24</v>
      </c>
      <c r="CI33" s="72" t="s">
        <v>212</v>
      </c>
      <c r="CJ33" s="72" t="s">
        <v>35</v>
      </c>
      <c r="CK33" s="72" t="s">
        <v>75</v>
      </c>
      <c r="CL33" s="72" t="s">
        <v>86</v>
      </c>
      <c r="CM33" s="72" t="s">
        <v>75</v>
      </c>
      <c r="CN33" s="72" t="s">
        <v>212</v>
      </c>
      <c r="CO33" s="72" t="s">
        <v>140</v>
      </c>
      <c r="CP33" s="72" t="s">
        <v>24</v>
      </c>
      <c r="CQ33" s="72" t="s">
        <v>104</v>
      </c>
      <c r="CR33" s="72" t="s">
        <v>75</v>
      </c>
      <c r="CS33" s="72" t="s">
        <v>114</v>
      </c>
      <c r="CT33" s="72" t="s">
        <v>35</v>
      </c>
      <c r="CU33" s="72" t="s">
        <v>212</v>
      </c>
      <c r="CV33" s="72" t="s">
        <v>75</v>
      </c>
      <c r="CW33" s="72" t="s">
        <v>212</v>
      </c>
      <c r="CX33" s="72" t="s">
        <v>10</v>
      </c>
      <c r="CY33" s="72" t="s">
        <v>212</v>
      </c>
      <c r="CZ33" s="72" t="s">
        <v>86</v>
      </c>
      <c r="DA33" s="72" t="s">
        <v>86</v>
      </c>
      <c r="DB33" s="72" t="s">
        <v>140</v>
      </c>
      <c r="DC33" s="72" t="s">
        <v>35</v>
      </c>
      <c r="DD33" s="72" t="s">
        <v>35</v>
      </c>
      <c r="DE33" s="72" t="s">
        <v>86</v>
      </c>
      <c r="DF33" s="72" t="s">
        <v>140</v>
      </c>
      <c r="DG33" s="72" t="s">
        <v>104</v>
      </c>
      <c r="DH33" s="72" t="s">
        <v>10</v>
      </c>
      <c r="DI33" s="72" t="s">
        <v>140</v>
      </c>
      <c r="DJ33" s="72" t="s">
        <v>35</v>
      </c>
      <c r="DK33" s="72" t="s">
        <v>140</v>
      </c>
      <c r="DL33" s="72" t="s">
        <v>104</v>
      </c>
      <c r="DM33" s="72" t="s">
        <v>140</v>
      </c>
      <c r="DN33" s="72" t="s">
        <v>212</v>
      </c>
      <c r="DO33" s="72" t="s">
        <v>35</v>
      </c>
      <c r="DP33" s="72" t="s">
        <v>86</v>
      </c>
      <c r="DQ33" s="72" t="s">
        <v>24</v>
      </c>
      <c r="DR33" s="72" t="s">
        <v>104</v>
      </c>
      <c r="DS33" s="72" t="s">
        <v>104</v>
      </c>
      <c r="DT33" s="72" t="s">
        <v>114</v>
      </c>
      <c r="DU33" s="72" t="s">
        <v>10</v>
      </c>
      <c r="DV33" s="72" t="s">
        <v>140</v>
      </c>
      <c r="DW33" s="72" t="s">
        <v>10</v>
      </c>
      <c r="DX33" s="72" t="s">
        <v>212</v>
      </c>
      <c r="DY33" s="72" t="s">
        <v>86</v>
      </c>
      <c r="DZ33" s="72" t="s">
        <v>24</v>
      </c>
      <c r="EA33" s="72" t="s">
        <v>140</v>
      </c>
      <c r="EB33" s="72" t="s">
        <v>35</v>
      </c>
      <c r="EC33" s="72" t="s">
        <v>212</v>
      </c>
      <c r="ED33" s="72" t="s">
        <v>75</v>
      </c>
      <c r="EE33" s="72"/>
    </row>
    <row r="34" ht="75.0" customHeight="1">
      <c r="A34" s="86" t="s">
        <v>162</v>
      </c>
      <c r="B34" s="87">
        <f>COUNTIF(36:36,"*")</f>
        <v>10</v>
      </c>
      <c r="C34" s="60" t="str">
        <f t="array" ref="C34:EE34">IF(C36:EE36 &lt;&gt; "", IF(VLOOKUP(C36:EE36,'Characters Database'!$E$6:$I45, 5, False) = "", "-", IMAGE(VLOOKUP(C36:EE36,'Characters Database'!$E$6:$I45, 5, False))), )</f>
        <v/>
      </c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0"/>
      <c r="BU34" s="60"/>
      <c r="BV34" s="60"/>
      <c r="BW34" s="60"/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0"/>
      <c r="CO34" s="60"/>
      <c r="CP34" s="60"/>
      <c r="CQ34" s="60"/>
      <c r="CR34" s="60"/>
      <c r="CS34" s="60"/>
      <c r="CT34" s="60"/>
      <c r="CU34" s="60"/>
      <c r="CV34" s="60"/>
      <c r="CW34" s="60"/>
      <c r="CX34" s="60"/>
      <c r="CY34" s="60"/>
      <c r="CZ34" s="60"/>
      <c r="DA34" s="60"/>
      <c r="DB34" s="60"/>
      <c r="DC34" s="60"/>
      <c r="DD34" s="60"/>
      <c r="DE34" s="60"/>
      <c r="DF34" s="60"/>
      <c r="DG34" s="60"/>
      <c r="DH34" s="60"/>
      <c r="DI34" s="60"/>
      <c r="DJ34" s="60"/>
      <c r="DK34" s="60"/>
      <c r="DL34" s="60"/>
      <c r="DM34" s="60"/>
      <c r="DN34" s="60"/>
      <c r="DO34" s="60"/>
      <c r="DP34" s="60"/>
      <c r="DQ34" s="60"/>
      <c r="DR34" s="60"/>
      <c r="DS34" s="60"/>
      <c r="DT34" s="60"/>
      <c r="DU34" s="60"/>
      <c r="DV34" s="60"/>
      <c r="DW34" s="60"/>
      <c r="DX34" s="60"/>
      <c r="DY34" s="60"/>
      <c r="DZ34" s="60"/>
      <c r="EA34" s="60"/>
      <c r="EB34" s="60"/>
      <c r="EC34" s="60"/>
      <c r="ED34" s="60"/>
      <c r="EE34" s="61"/>
    </row>
    <row r="35" ht="22.5" customHeight="1">
      <c r="A35" s="62"/>
      <c r="B35" s="63"/>
      <c r="C35" s="64" t="str">
        <f t="array" ref="C35:EE35">IF(C36:EE36 &lt;&gt; "", IMAGE(VLOOKUP(C36:EE36,'Characters Database'!$E$6:$K45, 6, False)), )</f>
        <v/>
      </c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4"/>
      <c r="BS35" s="64"/>
      <c r="BT35" s="64"/>
      <c r="BU35" s="64"/>
      <c r="BV35" s="64"/>
      <c r="BW35" s="64"/>
      <c r="BX35" s="64"/>
      <c r="BY35" s="64"/>
      <c r="BZ35" s="64"/>
      <c r="CA35" s="64"/>
      <c r="CB35" s="64"/>
      <c r="CC35" s="64"/>
      <c r="CD35" s="64"/>
      <c r="CE35" s="64"/>
      <c r="CF35" s="64"/>
      <c r="CG35" s="64"/>
      <c r="CH35" s="64"/>
      <c r="CI35" s="64"/>
      <c r="CJ35" s="64"/>
      <c r="CK35" s="64"/>
      <c r="CL35" s="64"/>
      <c r="CM35" s="64"/>
      <c r="CN35" s="64"/>
      <c r="CO35" s="64"/>
      <c r="CP35" s="64"/>
      <c r="CQ35" s="64"/>
      <c r="CR35" s="64"/>
      <c r="CS35" s="64"/>
      <c r="CT35" s="64"/>
      <c r="CU35" s="64"/>
      <c r="CV35" s="64"/>
      <c r="CW35" s="64"/>
      <c r="CX35" s="64"/>
      <c r="CY35" s="64"/>
      <c r="CZ35" s="64"/>
      <c r="DA35" s="64"/>
      <c r="DB35" s="64"/>
      <c r="DC35" s="64"/>
      <c r="DD35" s="64"/>
      <c r="DE35" s="64"/>
      <c r="DF35" s="64"/>
      <c r="DG35" s="64"/>
      <c r="DH35" s="64"/>
      <c r="DI35" s="64"/>
      <c r="DJ35" s="64"/>
      <c r="DK35" s="64"/>
      <c r="DL35" s="64"/>
      <c r="DM35" s="64"/>
      <c r="DN35" s="64"/>
      <c r="DO35" s="64"/>
      <c r="DP35" s="64"/>
      <c r="DQ35" s="64"/>
      <c r="DR35" s="64"/>
      <c r="DS35" s="64"/>
      <c r="DT35" s="64"/>
      <c r="DU35" s="64"/>
      <c r="DV35" s="64"/>
      <c r="DW35" s="64"/>
      <c r="DX35" s="64"/>
      <c r="DY35" s="64"/>
      <c r="DZ35" s="64"/>
      <c r="EA35" s="64"/>
      <c r="EB35" s="64"/>
      <c r="EC35" s="64"/>
      <c r="ED35" s="64"/>
      <c r="EE35" s="65"/>
    </row>
    <row r="36" ht="22.5" customHeight="1">
      <c r="A36" s="66"/>
      <c r="B36" s="67"/>
      <c r="C36" s="68" t="str">
        <f>IFERROR(__xludf.DUMMYFUNCTION("TRANSPOSE(QUERY('Characters Database'!A$6:K45, ""Select E Where F = '"" &amp;  A34 &amp; ""'""))"),"Happy Halloween
Uta")</f>
        <v>Happy Halloween
Uta</v>
      </c>
      <c r="D36" s="69" t="str">
        <f>IFERROR(__xludf.DUMMYFUNCTION("""COMPUTED_VALUE"""),"Singer of the New Genesis
Uta")</f>
        <v>Singer of the New Genesis
Uta</v>
      </c>
      <c r="E36" s="69" t="str">
        <f>IFERROR(__xludf.DUMMYFUNCTION("""COMPUTED_VALUE"""),"FILM RED
Usopp")</f>
        <v>FILM RED
Usopp</v>
      </c>
      <c r="F36" s="69" t="str">
        <f>IFERROR(__xludf.DUMMYFUNCTION("""COMPUTED_VALUE"""),"FILM RED
Yasopp")</f>
        <v>FILM RED
Yasopp</v>
      </c>
      <c r="G36" s="69" t="str">
        <f>IFERROR(__xludf.DUMMYFUNCTION("""COMPUTED_VALUE"""),"FILM RED
Ben Beckman")</f>
        <v>FILM RED
Ben Beckman</v>
      </c>
      <c r="H36" s="69" t="str">
        <f>IFERROR(__xludf.DUMMYFUNCTION("""COMPUTED_VALUE"""),"FILM RED
Uta")</f>
        <v>FILM RED
Uta</v>
      </c>
      <c r="I36" s="69" t="str">
        <f>IFERROR(__xludf.DUMMYFUNCTION("""COMPUTED_VALUE"""),"FILM GOLD
Gild Tesoro")</f>
        <v>FILM GOLD
Gild Tesoro</v>
      </c>
      <c r="J36" s="69" t="str">
        <f>IFERROR(__xludf.DUMMYFUNCTION("""COMPUTED_VALUE"""),"FILM STRONG WORLD
Shiki")</f>
        <v>FILM STRONG WORLD
Shiki</v>
      </c>
      <c r="K36" s="69" t="str">
        <f>IFERROR(__xludf.DUMMYFUNCTION("""COMPUTED_VALUE"""),"STAMPEDE
Boa Hancock")</f>
        <v>STAMPEDE
Boa Hancock</v>
      </c>
      <c r="L36" s="75" t="str">
        <f>IFERROR(__xludf.DUMMYFUNCTION("""COMPUTED_VALUE"""),"STAMPEDE
Douglas Bullet")</f>
        <v>STAMPEDE
Douglas Bullet</v>
      </c>
      <c r="M36" s="75"/>
      <c r="N36" s="75"/>
      <c r="O36" s="75"/>
      <c r="P36" s="75"/>
      <c r="Q36" s="75"/>
      <c r="R36" s="75"/>
      <c r="S36" s="75"/>
      <c r="T36" s="75"/>
      <c r="U36" s="75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  <c r="BK36" s="70"/>
      <c r="BL36" s="70"/>
      <c r="BM36" s="70"/>
      <c r="BN36" s="70"/>
      <c r="BO36" s="70"/>
      <c r="BP36" s="70"/>
      <c r="BQ36" s="70"/>
      <c r="BR36" s="70"/>
      <c r="BS36" s="70"/>
      <c r="BT36" s="70"/>
      <c r="BU36" s="70"/>
      <c r="BV36" s="70"/>
      <c r="BW36" s="70"/>
      <c r="BX36" s="70"/>
      <c r="BY36" s="70"/>
      <c r="BZ36" s="70"/>
      <c r="CA36" s="70"/>
      <c r="CB36" s="70"/>
      <c r="CC36" s="70"/>
      <c r="CD36" s="70"/>
      <c r="CE36" s="70"/>
      <c r="CF36" s="70"/>
      <c r="CG36" s="70"/>
      <c r="CH36" s="70"/>
      <c r="CI36" s="70"/>
      <c r="CJ36" s="70"/>
      <c r="CK36" s="70"/>
      <c r="CL36" s="70"/>
      <c r="CM36" s="70"/>
      <c r="CN36" s="70"/>
      <c r="CO36" s="70"/>
      <c r="CP36" s="70"/>
      <c r="CQ36" s="70"/>
      <c r="CR36" s="70"/>
      <c r="CS36" s="70"/>
      <c r="CT36" s="70"/>
      <c r="CU36" s="70"/>
      <c r="CV36" s="70"/>
      <c r="CW36" s="70"/>
      <c r="CX36" s="70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1"/>
    </row>
    <row r="37" ht="7.5" customHeight="1">
      <c r="A37" s="56"/>
      <c r="B37" s="56"/>
      <c r="C37" s="72" t="str">
        <f t="array" ref="C37:EE37">IF(C36:EE36 &lt;&gt; "", VLOOKUP(C36:EE36,'Characters Database'!$E$6:$K45, 7, False), )</f>
        <v>Dark
Runner-Defender</v>
      </c>
      <c r="D37" s="72" t="s">
        <v>140</v>
      </c>
      <c r="E37" s="72" t="s">
        <v>35</v>
      </c>
      <c r="F37" s="72" t="s">
        <v>75</v>
      </c>
      <c r="G37" s="72" t="s">
        <v>140</v>
      </c>
      <c r="H37" s="72" t="s">
        <v>35</v>
      </c>
      <c r="I37" s="72" t="s">
        <v>212</v>
      </c>
      <c r="J37" s="72" t="s">
        <v>24</v>
      </c>
      <c r="K37" s="72" t="s">
        <v>114</v>
      </c>
      <c r="L37" s="72" t="s">
        <v>212</v>
      </c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2"/>
      <c r="CF37" s="72"/>
      <c r="CG37" s="72"/>
      <c r="CH37" s="72"/>
      <c r="CI37" s="72"/>
      <c r="CJ37" s="72"/>
      <c r="CK37" s="72"/>
      <c r="CL37" s="72"/>
      <c r="CM37" s="72"/>
      <c r="CN37" s="72"/>
      <c r="CO37" s="72"/>
      <c r="CP37" s="72"/>
      <c r="CQ37" s="72"/>
      <c r="CR37" s="72"/>
      <c r="CS37" s="72"/>
      <c r="CT37" s="72"/>
      <c r="CU37" s="72"/>
      <c r="CV37" s="72"/>
      <c r="CW37" s="72"/>
      <c r="CX37" s="72"/>
      <c r="CY37" s="72"/>
      <c r="CZ37" s="72"/>
      <c r="DA37" s="72"/>
      <c r="DB37" s="72"/>
      <c r="DC37" s="72"/>
      <c r="DD37" s="72"/>
      <c r="DE37" s="72"/>
      <c r="DF37" s="72"/>
      <c r="DG37" s="72"/>
      <c r="DH37" s="72"/>
      <c r="DI37" s="72"/>
      <c r="DJ37" s="72"/>
      <c r="DK37" s="72"/>
      <c r="DL37" s="72"/>
      <c r="DM37" s="72"/>
      <c r="DN37" s="72"/>
      <c r="DO37" s="72"/>
      <c r="DP37" s="72"/>
      <c r="DQ37" s="72"/>
      <c r="DR37" s="72"/>
      <c r="DS37" s="72"/>
      <c r="DT37" s="72"/>
      <c r="DU37" s="72"/>
      <c r="DV37" s="72"/>
      <c r="DW37" s="72"/>
      <c r="DX37" s="72"/>
      <c r="DY37" s="72"/>
      <c r="DZ37" s="72"/>
      <c r="EA37" s="72"/>
      <c r="EB37" s="72"/>
      <c r="EC37" s="72"/>
      <c r="ED37" s="72"/>
      <c r="EE37" s="72"/>
    </row>
    <row r="38" ht="75.0" customHeight="1">
      <c r="A38" s="92" t="s">
        <v>16</v>
      </c>
      <c r="B38" s="93">
        <f>COUNTIF(40:40,"*")</f>
        <v>31</v>
      </c>
      <c r="C38" s="60" t="str">
        <f t="array" ref="C38:EE38">IF(C40:EE40 &lt;&gt; "", IF(VLOOKUP(C40:EE40,'Characters Database'!$E$6:$I45, 5, False) = "", "-", IMAGE(VLOOKUP(C40:EE40,'Characters Database'!$E$6:$I45, 5, False))), )</f>
        <v/>
      </c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0"/>
      <c r="BU38" s="60"/>
      <c r="BV38" s="60"/>
      <c r="BW38" s="60"/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0"/>
      <c r="CO38" s="60"/>
      <c r="CP38" s="60"/>
      <c r="CQ38" s="60"/>
      <c r="CR38" s="60"/>
      <c r="CS38" s="60"/>
      <c r="CT38" s="60"/>
      <c r="CU38" s="60"/>
      <c r="CV38" s="60"/>
      <c r="CW38" s="60"/>
      <c r="CX38" s="60"/>
      <c r="CY38" s="60"/>
      <c r="CZ38" s="60"/>
      <c r="DA38" s="60"/>
      <c r="DB38" s="60"/>
      <c r="DC38" s="60"/>
      <c r="DD38" s="60"/>
      <c r="DE38" s="60"/>
      <c r="DF38" s="60"/>
      <c r="DG38" s="60"/>
      <c r="DH38" s="60"/>
      <c r="DI38" s="60"/>
      <c r="DJ38" s="60"/>
      <c r="DK38" s="60"/>
      <c r="DL38" s="60"/>
      <c r="DM38" s="60"/>
      <c r="DN38" s="60"/>
      <c r="DO38" s="60"/>
      <c r="DP38" s="60"/>
      <c r="DQ38" s="60"/>
      <c r="DR38" s="60"/>
      <c r="DS38" s="60"/>
      <c r="DT38" s="60"/>
      <c r="DU38" s="60"/>
      <c r="DV38" s="60"/>
      <c r="DW38" s="60"/>
      <c r="DX38" s="60"/>
      <c r="DY38" s="60"/>
      <c r="DZ38" s="60"/>
      <c r="EA38" s="60"/>
      <c r="EB38" s="60"/>
      <c r="EC38" s="60"/>
      <c r="ED38" s="60"/>
      <c r="EE38" s="61"/>
    </row>
    <row r="39" ht="22.5" customHeight="1">
      <c r="A39" s="62"/>
      <c r="B39" s="63"/>
      <c r="C39" s="64" t="str">
        <f t="array" ref="C39:EE39">IF(C40:EE40 &lt;&gt; "", IMAGE(VLOOKUP(C40:EE40,'Characters Database'!$E$6:$K45, 6, False)), )</f>
        <v/>
      </c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64"/>
      <c r="BS39" s="64"/>
      <c r="BT39" s="64"/>
      <c r="BU39" s="64"/>
      <c r="BV39" s="64"/>
      <c r="BW39" s="64"/>
      <c r="BX39" s="64"/>
      <c r="BY39" s="64"/>
      <c r="BZ39" s="64"/>
      <c r="CA39" s="64"/>
      <c r="CB39" s="64"/>
      <c r="CC39" s="64"/>
      <c r="CD39" s="64"/>
      <c r="CE39" s="64"/>
      <c r="CF39" s="64"/>
      <c r="CG39" s="64"/>
      <c r="CH39" s="64"/>
      <c r="CI39" s="64"/>
      <c r="CJ39" s="64"/>
      <c r="CK39" s="64"/>
      <c r="CL39" s="64"/>
      <c r="CM39" s="64"/>
      <c r="CN39" s="64"/>
      <c r="CO39" s="64"/>
      <c r="CP39" s="64"/>
      <c r="CQ39" s="64"/>
      <c r="CR39" s="64"/>
      <c r="CS39" s="64"/>
      <c r="CT39" s="64"/>
      <c r="CU39" s="64"/>
      <c r="CV39" s="64"/>
      <c r="CW39" s="64"/>
      <c r="CX39" s="64"/>
      <c r="CY39" s="64"/>
      <c r="CZ39" s="64"/>
      <c r="DA39" s="64"/>
      <c r="DB39" s="64"/>
      <c r="DC39" s="64"/>
      <c r="DD39" s="64"/>
      <c r="DE39" s="64"/>
      <c r="DF39" s="64"/>
      <c r="DG39" s="64"/>
      <c r="DH39" s="64"/>
      <c r="DI39" s="64"/>
      <c r="DJ39" s="64"/>
      <c r="DK39" s="64"/>
      <c r="DL39" s="64"/>
      <c r="DM39" s="64"/>
      <c r="DN39" s="64"/>
      <c r="DO39" s="64"/>
      <c r="DP39" s="64"/>
      <c r="DQ39" s="64"/>
      <c r="DR39" s="64"/>
      <c r="DS39" s="64"/>
      <c r="DT39" s="64"/>
      <c r="DU39" s="64"/>
      <c r="DV39" s="64"/>
      <c r="DW39" s="64"/>
      <c r="DX39" s="64"/>
      <c r="DY39" s="64"/>
      <c r="DZ39" s="64"/>
      <c r="EA39" s="64"/>
      <c r="EB39" s="64"/>
      <c r="EC39" s="64"/>
      <c r="ED39" s="64"/>
      <c r="EE39" s="65"/>
    </row>
    <row r="40" ht="22.5" customHeight="1">
      <c r="A40" s="66"/>
      <c r="B40" s="67"/>
      <c r="C40" s="68" t="str">
        <f>IFERROR(__xludf.DUMMYFUNCTION("TRANSPOSE(QUERY('Characters Database'!A$6:K45, ""Select E Where F = '"" &amp;  A38 &amp; ""'""))"),"The Four Emperors
Marshall D. Teach")</f>
        <v>The Four Emperors
Marshall D. Teach</v>
      </c>
      <c r="D40" s="94" t="str">
        <f>IFERROR(__xludf.DUMMYFUNCTION("""COMPUTED_VALUE"""),"Winner Island
Trafalgar Law")</f>
        <v>Winner Island
Trafalgar Law</v>
      </c>
      <c r="E40" s="69" t="str">
        <f>IFERROR(__xludf.DUMMYFUNCTION("""COMPUTED_VALUE"""),"The Five Elders
St. Jaygarcia Saturn")</f>
        <v>The Five Elders
St. Jaygarcia Saturn</v>
      </c>
      <c r="F40" s="69" t="str">
        <f>IFERROR(__xludf.DUMMYFUNCTION("""COMPUTED_VALUE"""),"The Four Emperors
Monkey D. Luffy")</f>
        <v>The Four Emperors
Monkey D. Luffy</v>
      </c>
      <c r="G40" s="69" t="str">
        <f>IFERROR(__xludf.DUMMYFUNCTION("""COMPUTED_VALUE"""),"Ama no Murakumo Sword Kizaru
[Borsalino]")</f>
        <v>Ama no Murakumo Sword Kizaru
[Borsalino]</v>
      </c>
      <c r="H40" s="69" t="str">
        <f>IFERROR(__xludf.DUMMYFUNCTION("""COMPUTED_VALUE"""),"Flame Emperor
Sabo")</f>
        <v>Flame Emperor
Sabo</v>
      </c>
      <c r="I40" s="69" t="str">
        <f>IFERROR(__xludf.DUMMYFUNCTION("""COMPUTED_VALUE"""),"Blackbeard Pirates
Kuzan")</f>
        <v>Blackbeard Pirates
Kuzan</v>
      </c>
      <c r="J40" s="69" t="str">
        <f>IFERROR(__xludf.DUMMYFUNCTION("""COMPUTED_VALUE"""),"Legendary Hero
Monkey D. Garp")</f>
        <v>Legendary Hero
Monkey D. Garp</v>
      </c>
      <c r="K40" s="69" t="str">
        <f>IFERROR(__xludf.DUMMYFUNCTION("""COMPUTED_VALUE"""),"Divine Departure
Shanks")</f>
        <v>Divine Departure
Shanks</v>
      </c>
      <c r="L40" s="69" t="str">
        <f>IFERROR(__xludf.DUMMYFUNCTION("""COMPUTED_VALUE"""),"Awakened Form
Rob Lucci")</f>
        <v>Awakened Form
Rob Lucci</v>
      </c>
      <c r="M40" s="69" t="str">
        <f>IFERROR(__xludf.DUMMYFUNCTION("""COMPUTED_VALUE"""),"Seraphim
S-Snake")</f>
        <v>Seraphim
S-Snake</v>
      </c>
      <c r="N40" s="69" t="str">
        <f>IFERROR(__xludf.DUMMYFUNCTION("""COMPUTED_VALUE"""),"Great Pirate
Gol D. Roger")</f>
        <v>Great Pirate
Gol D. Roger</v>
      </c>
      <c r="O40" s="69" t="str">
        <f>IFERROR(__xludf.DUMMYFUNCTION("""COMPUTED_VALUE"""),"Great Pirate
Edward Newgate")</f>
        <v>Great Pirate
Edward Newgate</v>
      </c>
      <c r="P40" s="69" t="str">
        <f>IFERROR(__xludf.DUMMYFUNCTION("""COMPUTED_VALUE"""),"Fire Fist Ogre Princess
Ace &amp; Yamato")</f>
        <v>Fire Fist Ogre Princess
Ace &amp; Yamato</v>
      </c>
      <c r="Q40" s="69" t="str">
        <f>IFERROR(__xludf.DUMMYFUNCTION("""COMPUTED_VALUE"""),"Gear Five
Monkey D. Luffy")</f>
        <v>Gear Five
Monkey D. Luffy</v>
      </c>
      <c r="R40" s="69" t="str">
        <f>IFERROR(__xludf.DUMMYFUNCTION("""COMPUTED_VALUE"""),"Battle of Monsters on Onigashima
Kid &amp; Law")</f>
        <v>Battle of Monsters on Onigashima
Kid &amp; Law</v>
      </c>
      <c r="S40" s="69" t="str">
        <f>IFERROR(__xludf.DUMMYFUNCTION("""COMPUTED_VALUE"""),"Okuchi-no-Makami
Yamato")</f>
        <v>Okuchi-no-Makami
Yamato</v>
      </c>
      <c r="T40" s="69" t="str">
        <f>IFERROR(__xludf.DUMMYFUNCTION("""COMPUTED_VALUE"""),"Raid on Onigashima
Roronoa Zoro")</f>
        <v>Raid on Onigashima
Roronoa Zoro</v>
      </c>
      <c r="U40" s="69" t="str">
        <f>IFERROR(__xludf.DUMMYFUNCTION("""COMPUTED_VALUE"""),"Battle of Monsters on Onigashima
Kaido")</f>
        <v>Battle of Monsters on Onigashima
Kaido</v>
      </c>
      <c r="V40" s="69" t="str">
        <f>IFERROR(__xludf.DUMMYFUNCTION("""COMPUTED_VALUE"""),"Battle of Monsters on Onigashima
Olin the Oiran")</f>
        <v>Battle of Monsters on Onigashima
Olin the Oiran</v>
      </c>
      <c r="W40" s="69" t="str">
        <f>IFERROR(__xludf.DUMMYFUNCTION("""COMPUTED_VALUE"""),"FILM RED
Shanks")</f>
        <v>FILM RED
Shanks</v>
      </c>
      <c r="X40" s="69" t="str">
        <f>IFERROR(__xludf.DUMMYFUNCTION("""COMPUTED_VALUE"""),"FILM Z
Zephyr")</f>
        <v>FILM Z
Zephyr</v>
      </c>
      <c r="Y40" s="69" t="str">
        <f>IFERROR(__xludf.DUMMYFUNCTION("""COMPUTED_VALUE"""),"Man Who Dreams of Becoming the King of the Pirates
Monkey D. Luffy")</f>
        <v>Man Who Dreams of Becoming the King of the Pirates
Monkey D. Luffy</v>
      </c>
      <c r="Z40" s="69" t="str">
        <f>IFERROR(__xludf.DUMMYFUNCTION("""COMPUTED_VALUE"""),"The Strongest Creature Alive
Kaido")</f>
        <v>The Strongest Creature Alive
Kaido</v>
      </c>
      <c r="AA40" s="69" t="str">
        <f>IFERROR(__xludf.DUMMYFUNCTION("""COMPUTED_VALUE"""),"Kaido`s Son
Yamato")</f>
        <v>Kaido`s Son
Yamato</v>
      </c>
      <c r="AB40" s="69" t="str">
        <f>IFERROR(__xludf.DUMMYFUNCTION("""COMPUTED_VALUE"""),"Navy HQ / Fleet Admiral Akainu
[Sakazuki]")</f>
        <v>Navy HQ / Fleet Admiral Akainu
[Sakazuki]</v>
      </c>
      <c r="AC40" s="69" t="str">
        <f>IFERROR(__xludf.DUMMYFUNCTION("""COMPUTED_VALUE"""),"King of the Pirates
Gol D. Roger")</f>
        <v>King of the Pirates
Gol D. Roger</v>
      </c>
      <c r="AD40" s="69" t="str">
        <f>IFERROR(__xludf.DUMMYFUNCTION("""COMPUTED_VALUE"""),"Daimyo of Kuri
Kozuki Oden")</f>
        <v>Daimyo of Kuri
Kozuki Oden</v>
      </c>
      <c r="AE40" s="69" t="str">
        <f>IFERROR(__xludf.DUMMYFUNCTION("""COMPUTED_VALUE"""),"Hunger Pangs
Charlotte Linlin")</f>
        <v>Hunger Pangs
Charlotte Linlin</v>
      </c>
      <c r="AF40" s="69" t="str">
        <f>IFERROR(__xludf.DUMMYFUNCTION("""COMPUTED_VALUE"""),"The Four Emperors
Shanks")</f>
        <v>The Four Emperors
Shanks</v>
      </c>
      <c r="AG40" s="69" t="str">
        <f>IFERROR(__xludf.DUMMYFUNCTION("""COMPUTED_VALUE"""),"The Seven Warlords of the Sea
Marshall D. Teach")</f>
        <v>The Seven Warlords of the Sea
Marshall D. Teach</v>
      </c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69"/>
      <c r="BQ40" s="69"/>
      <c r="BR40" s="69"/>
      <c r="BS40" s="69"/>
      <c r="BT40" s="69"/>
      <c r="BU40" s="69"/>
      <c r="BV40" s="69"/>
      <c r="BW40" s="69"/>
      <c r="BX40" s="69"/>
      <c r="BY40" s="69"/>
      <c r="BZ40" s="69"/>
      <c r="CA40" s="69"/>
      <c r="CB40" s="69"/>
      <c r="CC40" s="69"/>
      <c r="CD40" s="69"/>
      <c r="CE40" s="69"/>
      <c r="CF40" s="69"/>
      <c r="CG40" s="69"/>
      <c r="CH40" s="69"/>
      <c r="CI40" s="69"/>
      <c r="CJ40" s="69"/>
      <c r="CK40" s="69"/>
      <c r="CL40" s="69"/>
      <c r="CM40" s="69"/>
      <c r="CN40" s="69"/>
      <c r="CO40" s="69"/>
      <c r="CP40" s="69"/>
      <c r="CQ40" s="69"/>
      <c r="CR40" s="69"/>
      <c r="CS40" s="69"/>
      <c r="CT40" s="69"/>
      <c r="CU40" s="69"/>
      <c r="CV40" s="69"/>
      <c r="CW40" s="69"/>
      <c r="CX40" s="69"/>
      <c r="CY40" s="69"/>
      <c r="CZ40" s="69"/>
      <c r="DA40" s="69"/>
      <c r="DB40" s="69"/>
      <c r="DC40" s="69"/>
      <c r="DD40" s="69"/>
      <c r="DE40" s="69"/>
      <c r="DF40" s="69"/>
      <c r="DG40" s="69"/>
      <c r="DH40" s="69"/>
      <c r="DI40" s="69"/>
      <c r="DJ40" s="69"/>
      <c r="DK40" s="69"/>
      <c r="DL40" s="69"/>
      <c r="DM40" s="69"/>
      <c r="DN40" s="69"/>
      <c r="DO40" s="69"/>
      <c r="DP40" s="69"/>
      <c r="DQ40" s="69"/>
      <c r="DR40" s="69"/>
      <c r="DS40" s="69"/>
      <c r="DT40" s="69"/>
      <c r="DU40" s="69"/>
      <c r="DV40" s="69"/>
      <c r="DW40" s="69"/>
      <c r="DX40" s="69"/>
      <c r="DY40" s="69"/>
      <c r="DZ40" s="69"/>
      <c r="EA40" s="69"/>
      <c r="EB40" s="69"/>
      <c r="EC40" s="69"/>
      <c r="ED40" s="69"/>
      <c r="EE40" s="95"/>
    </row>
    <row r="41" ht="7.5" customHeight="1">
      <c r="A41" s="56"/>
      <c r="B41" s="56"/>
      <c r="C41" s="72" t="str">
        <f t="array" ref="C41:EE41">IF(C40:EE40 &lt;&gt; "", VLOOKUP(C40:EE40,'Characters Database'!$E$6:$K45, 7, False), )</f>
        <v>Dark-Light
Attacker</v>
      </c>
      <c r="D41" s="72" t="s">
        <v>24</v>
      </c>
      <c r="E41" s="72" t="s">
        <v>47</v>
      </c>
      <c r="F41" s="72" t="s">
        <v>62</v>
      </c>
      <c r="G41" s="72" t="s">
        <v>79</v>
      </c>
      <c r="H41" s="72" t="s">
        <v>10</v>
      </c>
      <c r="I41" s="72" t="s">
        <v>127</v>
      </c>
      <c r="J41" s="72" t="s">
        <v>43</v>
      </c>
      <c r="K41" s="72" t="s">
        <v>62</v>
      </c>
      <c r="L41" s="72" t="s">
        <v>180</v>
      </c>
      <c r="M41" s="72" t="s">
        <v>140</v>
      </c>
      <c r="N41" s="72" t="s">
        <v>39</v>
      </c>
      <c r="O41" s="72" t="s">
        <v>28</v>
      </c>
      <c r="P41" s="72" t="s">
        <v>35</v>
      </c>
      <c r="Q41" s="72" t="s">
        <v>276</v>
      </c>
      <c r="R41" s="72" t="s">
        <v>114</v>
      </c>
      <c r="S41" s="72" t="s">
        <v>212</v>
      </c>
      <c r="T41" s="72" t="s">
        <v>79</v>
      </c>
      <c r="U41" s="72" t="s">
        <v>10</v>
      </c>
      <c r="V41" s="72" t="s">
        <v>348</v>
      </c>
      <c r="W41" s="72" t="s">
        <v>104</v>
      </c>
      <c r="X41" s="72" t="s">
        <v>86</v>
      </c>
      <c r="Y41" s="72" t="s">
        <v>446</v>
      </c>
      <c r="Z41" s="72" t="s">
        <v>140</v>
      </c>
      <c r="AA41" s="72" t="s">
        <v>24</v>
      </c>
      <c r="AB41" s="72" t="s">
        <v>35</v>
      </c>
      <c r="AC41" s="72" t="s">
        <v>104</v>
      </c>
      <c r="AD41" s="72" t="s">
        <v>10</v>
      </c>
      <c r="AE41" s="72" t="s">
        <v>114</v>
      </c>
      <c r="AF41" s="72" t="s">
        <v>212</v>
      </c>
      <c r="AG41" s="72" t="s">
        <v>75</v>
      </c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  <c r="CA41" s="72"/>
      <c r="CB41" s="72"/>
      <c r="CC41" s="72"/>
      <c r="CD41" s="72"/>
      <c r="CE41" s="72"/>
      <c r="CF41" s="72"/>
      <c r="CG41" s="72"/>
      <c r="CH41" s="72"/>
      <c r="CI41" s="72"/>
      <c r="CJ41" s="72"/>
      <c r="CK41" s="72"/>
      <c r="CL41" s="72"/>
      <c r="CM41" s="72"/>
      <c r="CN41" s="72"/>
      <c r="CO41" s="72"/>
      <c r="CP41" s="72"/>
      <c r="CQ41" s="72"/>
      <c r="CR41" s="72"/>
      <c r="CS41" s="72"/>
      <c r="CT41" s="72"/>
      <c r="CU41" s="72"/>
      <c r="CV41" s="72"/>
      <c r="CW41" s="72"/>
      <c r="CX41" s="72"/>
      <c r="CY41" s="72"/>
      <c r="CZ41" s="72"/>
      <c r="DA41" s="72"/>
      <c r="DB41" s="72"/>
      <c r="DC41" s="72"/>
      <c r="DD41" s="72"/>
      <c r="DE41" s="72"/>
      <c r="DF41" s="72"/>
      <c r="DG41" s="72"/>
      <c r="DH41" s="72"/>
      <c r="DI41" s="72"/>
      <c r="DJ41" s="72"/>
      <c r="DK41" s="72"/>
      <c r="DL41" s="72"/>
      <c r="DM41" s="72"/>
      <c r="DN41" s="72"/>
      <c r="DO41" s="72"/>
      <c r="DP41" s="72"/>
      <c r="DQ41" s="72"/>
      <c r="DR41" s="72"/>
      <c r="DS41" s="72"/>
      <c r="DT41" s="72"/>
      <c r="DU41" s="72"/>
      <c r="DV41" s="72"/>
      <c r="DW41" s="72"/>
      <c r="DX41" s="72"/>
      <c r="DY41" s="72"/>
      <c r="DZ41" s="72"/>
      <c r="EA41" s="72"/>
      <c r="EB41" s="72"/>
      <c r="EC41" s="72"/>
      <c r="ED41" s="72"/>
      <c r="EE41" s="72"/>
    </row>
    <row r="42" ht="75.0" customHeight="1">
      <c r="A42" s="96" t="s">
        <v>524</v>
      </c>
      <c r="B42" s="97">
        <f>COUNTIF(44:44,"*")</f>
        <v>5</v>
      </c>
      <c r="C42" s="60" t="str">
        <f t="array" ref="C42:EE42">IF(C44:EE44 &lt;&gt; "", IF(VLOOKUP(C44:EE44,'Characters Database'!$E$6:$I45, 5, False) = "", "-", IMAGE(VLOOKUP(C44:EE44,'Characters Database'!$E$6:$I45, 5, False))), )</f>
        <v/>
      </c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0"/>
      <c r="BU42" s="60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0"/>
      <c r="CO42" s="60"/>
      <c r="CP42" s="60"/>
      <c r="CQ42" s="60"/>
      <c r="CR42" s="60"/>
      <c r="CS42" s="60"/>
      <c r="CT42" s="60"/>
      <c r="CU42" s="60"/>
      <c r="CV42" s="60"/>
      <c r="CW42" s="60"/>
      <c r="CX42" s="60"/>
      <c r="CY42" s="60"/>
      <c r="CZ42" s="60"/>
      <c r="DA42" s="60"/>
      <c r="DB42" s="60"/>
      <c r="DC42" s="60"/>
      <c r="DD42" s="60"/>
      <c r="DE42" s="60"/>
      <c r="DF42" s="60"/>
      <c r="DG42" s="60"/>
      <c r="DH42" s="60"/>
      <c r="DI42" s="60"/>
      <c r="DJ42" s="60"/>
      <c r="DK42" s="60"/>
      <c r="DL42" s="60"/>
      <c r="DM42" s="60"/>
      <c r="DN42" s="60"/>
      <c r="DO42" s="60"/>
      <c r="DP42" s="60"/>
      <c r="DQ42" s="60"/>
      <c r="DR42" s="60"/>
      <c r="DS42" s="60"/>
      <c r="DT42" s="60"/>
      <c r="DU42" s="60"/>
      <c r="DV42" s="60"/>
      <c r="DW42" s="60"/>
      <c r="DX42" s="60"/>
      <c r="DY42" s="60"/>
      <c r="DZ42" s="60"/>
      <c r="EA42" s="60"/>
      <c r="EB42" s="60"/>
      <c r="EC42" s="60"/>
      <c r="ED42" s="60"/>
      <c r="EE42" s="61"/>
    </row>
    <row r="43" ht="22.5" customHeight="1">
      <c r="A43" s="62"/>
      <c r="B43" s="63"/>
      <c r="C43" s="64" t="str">
        <f t="array" ref="C43:EE43">IF(C44:EE44 &lt;&gt; "", IMAGE(VLOOKUP(C44:EE44,'Characters Database'!$E$6:$K45, 6, False)), )</f>
        <v/>
      </c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  <c r="BQ43" s="64"/>
      <c r="BR43" s="64"/>
      <c r="BS43" s="64"/>
      <c r="BT43" s="64"/>
      <c r="BU43" s="64"/>
      <c r="BV43" s="64"/>
      <c r="BW43" s="64"/>
      <c r="BX43" s="64"/>
      <c r="BY43" s="64"/>
      <c r="BZ43" s="64"/>
      <c r="CA43" s="64"/>
      <c r="CB43" s="64"/>
      <c r="CC43" s="64"/>
      <c r="CD43" s="64"/>
      <c r="CE43" s="64"/>
      <c r="CF43" s="64"/>
      <c r="CG43" s="64"/>
      <c r="CH43" s="64"/>
      <c r="CI43" s="64"/>
      <c r="CJ43" s="64"/>
      <c r="CK43" s="64"/>
      <c r="CL43" s="64"/>
      <c r="CM43" s="64"/>
      <c r="CN43" s="64"/>
      <c r="CO43" s="64"/>
      <c r="CP43" s="64"/>
      <c r="CQ43" s="64"/>
      <c r="CR43" s="64"/>
      <c r="CS43" s="64"/>
      <c r="CT43" s="64"/>
      <c r="CU43" s="64"/>
      <c r="CV43" s="64"/>
      <c r="CW43" s="64"/>
      <c r="CX43" s="64"/>
      <c r="CY43" s="64"/>
      <c r="CZ43" s="64"/>
      <c r="DA43" s="64"/>
      <c r="DB43" s="64"/>
      <c r="DC43" s="64"/>
      <c r="DD43" s="64"/>
      <c r="DE43" s="64"/>
      <c r="DF43" s="64"/>
      <c r="DG43" s="64"/>
      <c r="DH43" s="64"/>
      <c r="DI43" s="64"/>
      <c r="DJ43" s="64"/>
      <c r="DK43" s="64"/>
      <c r="DL43" s="64"/>
      <c r="DM43" s="64"/>
      <c r="DN43" s="64"/>
      <c r="DO43" s="64"/>
      <c r="DP43" s="64"/>
      <c r="DQ43" s="64"/>
      <c r="DR43" s="64"/>
      <c r="DS43" s="64"/>
      <c r="DT43" s="64"/>
      <c r="DU43" s="64"/>
      <c r="DV43" s="64"/>
      <c r="DW43" s="64"/>
      <c r="DX43" s="64"/>
      <c r="DY43" s="64"/>
      <c r="DZ43" s="64"/>
      <c r="EA43" s="64"/>
      <c r="EB43" s="64"/>
      <c r="EC43" s="64"/>
      <c r="ED43" s="64"/>
      <c r="EE43" s="65"/>
    </row>
    <row r="44" ht="22.5" customHeight="1">
      <c r="A44" s="66"/>
      <c r="B44" s="67"/>
      <c r="C44" s="68" t="str">
        <f>IFERROR(__xludf.DUMMYFUNCTION("TRANSPOSE(QUERY('Characters Database'!A$6:K45, ""Select E Where F = '"" &amp;  A42 &amp; ""'""))"),"Impel Down / Prisoner
Bon Clay, aka Mr. 2")</f>
        <v>Impel Down / Prisoner
Bon Clay, aka Mr. 2</v>
      </c>
      <c r="D44" s="69" t="str">
        <f>IFERROR(__xludf.DUMMYFUNCTION("""COMPUTED_VALUE"""),"The King of the Snipers
Sniper King")</f>
        <v>The King of the Snipers
Sniper King</v>
      </c>
      <c r="E44" s="69" t="str">
        <f>IFERROR(__xludf.DUMMYFUNCTION("""COMPUTED_VALUE"""),"Imprisoned Bride
Nami")</f>
        <v>Imprisoned Bride
Nami</v>
      </c>
      <c r="F44" s="69" t="str">
        <f>IFERROR(__xludf.DUMMYFUNCTION("""COMPUTED_VALUE"""),"Navy Infiltrator
Portgaz D. Ace")</f>
        <v>Navy Infiltrator
Portgaz D. Ace</v>
      </c>
      <c r="G44" s="69" t="str">
        <f>IFERROR(__xludf.DUMMYFUNCTION("""COMPUTED_VALUE"""),"Impel Down / Prisoner
Crocodile")</f>
        <v>Impel Down / Prisoner
Crocodile</v>
      </c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70"/>
      <c r="BJ44" s="70"/>
      <c r="BK44" s="70"/>
      <c r="BL44" s="70"/>
      <c r="BM44" s="70"/>
      <c r="BN44" s="70"/>
      <c r="BO44" s="70"/>
      <c r="BP44" s="70"/>
      <c r="BQ44" s="70"/>
      <c r="BR44" s="70"/>
      <c r="BS44" s="70"/>
      <c r="BT44" s="70"/>
      <c r="BU44" s="70"/>
      <c r="BV44" s="70"/>
      <c r="BW44" s="70"/>
      <c r="BX44" s="70"/>
      <c r="BY44" s="70"/>
      <c r="BZ44" s="70"/>
      <c r="CA44" s="70"/>
      <c r="CB44" s="70"/>
      <c r="CC44" s="70"/>
      <c r="CD44" s="70"/>
      <c r="CE44" s="70"/>
      <c r="CF44" s="70"/>
      <c r="CG44" s="70"/>
      <c r="CH44" s="70"/>
      <c r="CI44" s="70"/>
      <c r="CJ44" s="70"/>
      <c r="CK44" s="70"/>
      <c r="CL44" s="70"/>
      <c r="CM44" s="70"/>
      <c r="CN44" s="70"/>
      <c r="CO44" s="70"/>
      <c r="CP44" s="70"/>
      <c r="CQ44" s="70"/>
      <c r="CR44" s="70"/>
      <c r="CS44" s="70"/>
      <c r="CT44" s="70"/>
      <c r="CU44" s="70"/>
      <c r="CV44" s="70"/>
      <c r="CW44" s="70"/>
      <c r="CX44" s="70"/>
      <c r="CY44" s="70"/>
      <c r="CZ44" s="70"/>
      <c r="DA44" s="70"/>
      <c r="DB44" s="70"/>
      <c r="DC44" s="70"/>
      <c r="DD44" s="70"/>
      <c r="DE44" s="70"/>
      <c r="DF44" s="70"/>
      <c r="DG44" s="70"/>
      <c r="DH44" s="70"/>
      <c r="DI44" s="70"/>
      <c r="DJ44" s="70"/>
      <c r="DK44" s="70"/>
      <c r="DL44" s="70"/>
      <c r="DM44" s="70"/>
      <c r="DN44" s="70"/>
      <c r="DO44" s="70"/>
      <c r="DP44" s="70"/>
      <c r="DQ44" s="70"/>
      <c r="DR44" s="70"/>
      <c r="DS44" s="70"/>
      <c r="DT44" s="70"/>
      <c r="DU44" s="70"/>
      <c r="DV44" s="70"/>
      <c r="DW44" s="70"/>
      <c r="DX44" s="70"/>
      <c r="DY44" s="70"/>
      <c r="DZ44" s="70"/>
      <c r="EA44" s="70"/>
      <c r="EB44" s="70"/>
      <c r="EC44" s="70"/>
      <c r="ED44" s="70"/>
      <c r="EE44" s="71"/>
    </row>
    <row r="45" ht="7.5" customHeight="1">
      <c r="A45" s="56"/>
      <c r="B45" s="56"/>
      <c r="C45" s="72" t="str">
        <f t="array" ref="C45:EE45">IF(C44:EE44 &lt;&gt; "", VLOOKUP(C44:EE44,'Characters Database'!$E$6:$K45, 7, False), )</f>
        <v>Blue
Runner</v>
      </c>
      <c r="D45" s="72" t="s">
        <v>10</v>
      </c>
      <c r="E45" s="72" t="s">
        <v>212</v>
      </c>
      <c r="F45" s="72" t="s">
        <v>35</v>
      </c>
      <c r="G45" s="72" t="s">
        <v>86</v>
      </c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2"/>
      <c r="CG45" s="72"/>
      <c r="CH45" s="72"/>
      <c r="CI45" s="72"/>
      <c r="CJ45" s="72"/>
      <c r="CK45" s="72"/>
      <c r="CL45" s="72"/>
      <c r="CM45" s="72"/>
      <c r="CN45" s="72"/>
      <c r="CO45" s="72"/>
      <c r="CP45" s="72"/>
      <c r="CQ45" s="72"/>
      <c r="CR45" s="72"/>
      <c r="CS45" s="72"/>
      <c r="CT45" s="72"/>
      <c r="CU45" s="72"/>
      <c r="CV45" s="72"/>
      <c r="CW45" s="72"/>
      <c r="CX45" s="72"/>
      <c r="CY45" s="72"/>
      <c r="CZ45" s="72"/>
      <c r="DA45" s="72"/>
      <c r="DB45" s="72"/>
      <c r="DC45" s="72"/>
      <c r="DD45" s="72"/>
      <c r="DE45" s="72"/>
      <c r="DF45" s="72"/>
      <c r="DG45" s="72"/>
      <c r="DH45" s="72"/>
      <c r="DI45" s="72"/>
      <c r="DJ45" s="72"/>
      <c r="DK45" s="72"/>
      <c r="DL45" s="72"/>
      <c r="DM45" s="72"/>
      <c r="DN45" s="72"/>
      <c r="DO45" s="72"/>
      <c r="DP45" s="72"/>
      <c r="DQ45" s="72"/>
      <c r="DR45" s="72"/>
      <c r="DS45" s="72"/>
      <c r="DT45" s="72"/>
      <c r="DU45" s="72"/>
      <c r="DV45" s="72"/>
      <c r="DW45" s="72"/>
      <c r="DX45" s="72"/>
      <c r="DY45" s="72"/>
      <c r="DZ45" s="72"/>
      <c r="EA45" s="72"/>
      <c r="EB45" s="72"/>
      <c r="EC45" s="72"/>
      <c r="ED45" s="72"/>
      <c r="EE45" s="72"/>
    </row>
  </sheetData>
  <mergeCells count="22">
    <mergeCell ref="A2:A4"/>
    <mergeCell ref="B2:B4"/>
    <mergeCell ref="A6:A8"/>
    <mergeCell ref="B6:B8"/>
    <mergeCell ref="A10:A12"/>
    <mergeCell ref="B10:B12"/>
    <mergeCell ref="B14:B16"/>
    <mergeCell ref="A30:A32"/>
    <mergeCell ref="B30:B32"/>
    <mergeCell ref="A34:A36"/>
    <mergeCell ref="B34:B36"/>
    <mergeCell ref="A38:A40"/>
    <mergeCell ref="B38:B40"/>
    <mergeCell ref="A42:A44"/>
    <mergeCell ref="B42:B44"/>
    <mergeCell ref="A14:A16"/>
    <mergeCell ref="A18:A20"/>
    <mergeCell ref="B18:B20"/>
    <mergeCell ref="A22:A24"/>
    <mergeCell ref="B22:B24"/>
    <mergeCell ref="A26:A28"/>
    <mergeCell ref="B26:B28"/>
  </mergeCells>
  <conditionalFormatting sqref="C2:EE2 C6:EE6 C10:EE10 C14:EE14 C18:EE18 C22:EE22 C26:EE26 C30:EE30 C34:EE34 C38:EE38 C42:EE42">
    <cfRule type="expression" dxfId="5" priority="1">
      <formula>REGEXMATCH(C5, "^Red")</formula>
    </cfRule>
  </conditionalFormatting>
  <conditionalFormatting sqref="C2:EE2 C6:EE6 C10:EE10 C14:EE14 C18:EE18 C22:EE22 C26:EE26 C30:EE30 C34:EE34 C38:EE38 C42:EE42">
    <cfRule type="expression" dxfId="6" priority="2">
      <formula>REGEXMATCH(C5, "^Blue")</formula>
    </cfRule>
  </conditionalFormatting>
  <conditionalFormatting sqref="C2:EE2 C6:EE6 C10:EE10 C14:EE14 C18:EE18 C22:EE22 C26:EE26 C30:EE30 C34:EE34 C38:EE38 C42:EE42">
    <cfRule type="expression" dxfId="7" priority="3">
      <formula>REGEXMATCH(C5, "^Green")</formula>
    </cfRule>
  </conditionalFormatting>
  <conditionalFormatting sqref="C2:EE2 C6:EE6 C10:EE10 C14:EE14 C18:EE18 C22:EE22 C26:EE26 C30:EE30 C34:EE34 C38:EE38 C42:EE42">
    <cfRule type="expression" dxfId="16" priority="4">
      <formula>REGEXMATCH(C5, "^Light")</formula>
    </cfRule>
  </conditionalFormatting>
  <conditionalFormatting sqref="C2:EE2 C6:EE6 C10:EE10 C14:EE14 C18:EE18 C22:EE22 C26:EE26 C30:EE30 C34:EE34 C38:EE38 C42:EE42">
    <cfRule type="expression" dxfId="19" priority="5">
      <formula>REGEXMATCH(C5, "^Dark")</formula>
    </cfRule>
  </conditionalFormatting>
  <conditionalFormatting sqref="C3:EE3 C7:EE7 C11:EE11 C15:EE15 C19:EE19 C23:EE23 C27:EE27 C31:EE31 C35:EE35 C39:CS39 C43:EE43">
    <cfRule type="expression" dxfId="11" priority="6">
      <formula>REGEXMATCH(C5, "^Red")</formula>
    </cfRule>
  </conditionalFormatting>
  <conditionalFormatting sqref="C3:EE3 C7:EE7 C11:EE11 C15:EE15 C19:EE19 C23:EE23 C27:EE27 C31:EE31 C35:EE35 C39:CS39 C43:EE43">
    <cfRule type="expression" dxfId="12" priority="7">
      <formula>REGEXMATCH(C5, "^Blue")</formula>
    </cfRule>
  </conditionalFormatting>
  <conditionalFormatting sqref="C3:EE3 C7:EE7 C11:EE11 C15:EE15 C19:EE19 C23:EE23 C27:EE27 C31:EE31 C35:EE35 C39:CS39 C43:EE43">
    <cfRule type="expression" dxfId="13" priority="8">
      <formula>REGEXMATCH(C5, "^Green")</formula>
    </cfRule>
  </conditionalFormatting>
  <conditionalFormatting sqref="C3:EE3 C7:EE7 C11:EE11 C15:EE15 C19:EE19 C23:EE23 C27:EE27 C31:EE31 C35:EE35 C39:CS39 C43:EE43">
    <cfRule type="expression" dxfId="15" priority="9">
      <formula>REGEXMATCH(C5, "^Light")</formula>
    </cfRule>
  </conditionalFormatting>
  <conditionalFormatting sqref="C3:EE3 C7:EE7 C11:EE11 C15:EE15 C19:EE19 C23:EE23 C27:EE27 C31:EE31 C35:EE35 C39:CS39 C43:EE43">
    <cfRule type="expression" dxfId="18" priority="10">
      <formula>REGEXMATCH(C5, "^Dark")</formula>
    </cfRule>
  </conditionalFormatting>
  <conditionalFormatting sqref="C4:EE4 C8:EE8 C12:EE12 C16:EE16 C20:EE20 C24:EE24 C28:EE28 C32:EE32 C36:EE36 C40:EE40 C44:EE44">
    <cfRule type="expression" dxfId="8" priority="11">
      <formula>REGEXMATCH(C5, "^Red")</formula>
    </cfRule>
  </conditionalFormatting>
  <conditionalFormatting sqref="C4:EE4 C8:EE8 C12:EE12 C16:EE16 C20:EE20 C24:EE24 C28:EE28 C32:EE32 C36:EE36 C40:EE40 C44:EE44">
    <cfRule type="expression" dxfId="9" priority="12">
      <formula>REGEXMATCH(C5, "^Blue")</formula>
    </cfRule>
  </conditionalFormatting>
  <conditionalFormatting sqref="C4:EE4 C8:EE8 C12:EE12 C16:EE16 C20:EE20 C24:EE24 C28:EE28 C32:EE32 C36:EE36 C40:EE40 C44:EE44">
    <cfRule type="expression" dxfId="10" priority="13">
      <formula>REGEXMATCH(C5, "^Green")</formula>
    </cfRule>
  </conditionalFormatting>
  <conditionalFormatting sqref="C4:EE4 C8:EE8 C12:EE12 C16:EE16 C20:EE20 C24:EE24 C28:EE28 C32:EE32 C36:EE36 C40:EE40 C44:EE44">
    <cfRule type="expression" dxfId="17" priority="14">
      <formula>REGEXMATCH(C5, "^Light")</formula>
    </cfRule>
  </conditionalFormatting>
  <conditionalFormatting sqref="C4:EE4 C8:EE8 C12:EE12 C16:EE16 C20:EE20 C24:EE24 C28:EE28 C32:EE32 C36:EE36 C40:EE40 C44:EE44">
    <cfRule type="expression" dxfId="20" priority="15">
      <formula>REGEXMATCH(C5, "^Dark")</formula>
    </cfRule>
  </conditionalFormatting>
  <conditionalFormatting sqref="A2:ED4 A6:ED8 A10:ED12 A14:ED16 A18:ED20 A22:ED24 A26:ED28 A30:ED32 A34:ED36 A38:ED40 A42:ED44">
    <cfRule type="containsBlanks" dxfId="28" priority="16">
      <formula>LEN(TRIM(A2))=0</formula>
    </cfRule>
  </conditionalFormatting>
  <printOptions gridLines="1" horizontalCentered="1" verticalCentered="1"/>
  <pageMargins bottom="0.0" footer="0.0" header="0.0" left="0.0" right="0.0" top="0.0"/>
  <pageSetup cellComments="atEnd" orientation="landscape" pageOrder="overThenDown" paperHeight="8in" paperWidth="26.199999999999996i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2.63" defaultRowHeight="15.75" outlineLevelCol="1"/>
  <cols>
    <col customWidth="1" min="1" max="1" width="6.38"/>
    <col customWidth="1" min="2" max="2" width="25.13"/>
    <col customWidth="1" min="3" max="3" width="50.13"/>
    <col customWidth="1" min="4" max="4" width="9.5"/>
    <col customWidth="1" min="5" max="5" width="25.13"/>
    <col customWidth="1" min="6" max="6" width="9.5"/>
    <col customWidth="1" min="7" max="7" width="25.13"/>
    <col customWidth="1" min="8" max="8" width="9.5"/>
    <col customWidth="1" min="9" max="9" width="25.13"/>
    <col customWidth="1" min="10" max="10" width="9.5"/>
    <col customWidth="1" min="11" max="11" width="25.13"/>
    <col collapsed="1" customWidth="1" min="12" max="12" width="6.38"/>
    <col customWidth="1" hidden="1" min="13" max="17" width="3.25" outlineLevel="1"/>
  </cols>
  <sheetData>
    <row r="1" ht="37.5" customHeight="1">
      <c r="A1" s="98"/>
      <c r="B1" s="99"/>
      <c r="C1" s="100"/>
      <c r="D1" s="101"/>
      <c r="E1" s="101" t="str">
        <f t="array" ref="E1:E2">IF(M:M &lt;&gt; "-", IMAGE(M:M), )</f>
        <v>#REF!</v>
      </c>
      <c r="F1" s="101"/>
      <c r="G1" s="101" t="str">
        <f t="array" ref="G1:G2">IF(N:N &lt;&gt; "-", IMAGE(N:N), )</f>
        <v>#REF!</v>
      </c>
      <c r="H1" s="101"/>
      <c r="I1" s="101" t="str">
        <f t="array" ref="I1:I2">IF(O:O &lt;&gt; "-", IMAGE(O:O), )</f>
        <v>#REF!</v>
      </c>
      <c r="J1" s="101"/>
      <c r="K1" s="101" t="str">
        <f t="array" ref="K1:K2">IF(P:P &lt;&gt; "-", IMAGE(P:P), )</f>
        <v>#REF!</v>
      </c>
      <c r="L1" s="102"/>
      <c r="M1" s="103"/>
      <c r="N1" s="103"/>
      <c r="O1" s="103"/>
      <c r="P1" s="103"/>
      <c r="Q1" s="103"/>
    </row>
    <row r="2" ht="150.0" customHeight="1">
      <c r="A2" s="104">
        <v>341.0</v>
      </c>
      <c r="B2" s="105" t="str">
        <f>VLOOKUP($A2, 'Characters Database'!$A$2:$E68, 4, FALSE)</f>
        <v/>
      </c>
      <c r="C2" s="106" t="str">
        <f>VLOOKUP($A2, 'Characters Database'!$A$2:$E68, 5, FALSE)</f>
        <v>The Four Emperors
Marshall D. Teach</v>
      </c>
      <c r="D2" s="107" t="s">
        <v>973</v>
      </c>
      <c r="E2" s="108" t="str">
        <f t="shared" ref="E2:E67" si="1">IF(M2 &lt;&gt; "-", IMAGE(M2), )</f>
        <v/>
      </c>
      <c r="F2" s="107" t="s">
        <v>974</v>
      </c>
      <c r="G2" s="108" t="str">
        <f t="shared" ref="G2:G5" si="2">IF(N2 &lt;&gt; "-", IMAGE(N2), )</f>
        <v/>
      </c>
      <c r="H2" s="107" t="s">
        <v>975</v>
      </c>
      <c r="I2" s="108" t="str">
        <f t="shared" ref="I2:I5" si="3">IF(O2 &lt;&gt; "-", IMAGE(O2), )</f>
        <v/>
      </c>
      <c r="J2" s="107" t="s">
        <v>976</v>
      </c>
      <c r="K2" s="108" t="str">
        <f t="shared" ref="K2:K5" si="4">IF(P2 &lt;&gt; "-", IMAGE(P2), )</f>
        <v/>
      </c>
      <c r="L2" s="102"/>
      <c r="M2" s="109" t="s">
        <v>977</v>
      </c>
      <c r="N2" s="109" t="s">
        <v>978</v>
      </c>
      <c r="O2" s="109" t="s">
        <v>979</v>
      </c>
      <c r="P2" s="109" t="s">
        <v>980</v>
      </c>
      <c r="Q2" s="110"/>
    </row>
    <row r="3" ht="150.0" customHeight="1">
      <c r="A3" s="104">
        <v>340.0</v>
      </c>
      <c r="B3" s="105" t="str">
        <f>VLOOKUP($A3, 'Characters Database'!$A$2:$E68, 4, FALSE)</f>
        <v/>
      </c>
      <c r="C3" s="106" t="str">
        <f>VLOOKUP($A3, 'Characters Database'!$A$2:$E68, 5, FALSE)</f>
        <v>ASL
Ace &amp; Sabo &amp; Luffy</v>
      </c>
      <c r="D3" s="107" t="s">
        <v>973</v>
      </c>
      <c r="E3" s="108" t="str">
        <f t="shared" si="1"/>
        <v/>
      </c>
      <c r="F3" s="107" t="s">
        <v>974</v>
      </c>
      <c r="G3" s="108" t="str">
        <f t="shared" si="2"/>
        <v/>
      </c>
      <c r="H3" s="107" t="s">
        <v>975</v>
      </c>
      <c r="I3" s="108" t="str">
        <f t="shared" si="3"/>
        <v/>
      </c>
      <c r="J3" s="107" t="s">
        <v>976</v>
      </c>
      <c r="K3" s="108" t="str">
        <f t="shared" si="4"/>
        <v/>
      </c>
      <c r="L3" s="102"/>
      <c r="M3" s="109" t="s">
        <v>981</v>
      </c>
      <c r="N3" s="109" t="s">
        <v>982</v>
      </c>
      <c r="O3" s="109" t="s">
        <v>983</v>
      </c>
      <c r="P3" s="109" t="s">
        <v>984</v>
      </c>
      <c r="Q3" s="110"/>
    </row>
    <row r="4" ht="150.0" customHeight="1">
      <c r="A4" s="104">
        <v>339.0</v>
      </c>
      <c r="B4" s="105" t="str">
        <f>VLOOKUP($A4, 'Characters Database'!$A$2:$E68, 4, FALSE)</f>
        <v/>
      </c>
      <c r="C4" s="106" t="str">
        <f>VLOOKUP($A4, 'Characters Database'!$A$2:$E68, 5, FALSE)</f>
        <v>Winner Island
Trafalgar Law</v>
      </c>
      <c r="D4" s="107" t="s">
        <v>985</v>
      </c>
      <c r="E4" s="108" t="str">
        <f t="shared" si="1"/>
        <v/>
      </c>
      <c r="F4" s="107" t="s">
        <v>986</v>
      </c>
      <c r="G4" s="108" t="str">
        <f t="shared" si="2"/>
        <v/>
      </c>
      <c r="H4" s="107" t="s">
        <v>987</v>
      </c>
      <c r="I4" s="108" t="str">
        <f t="shared" si="3"/>
        <v/>
      </c>
      <c r="J4" s="111"/>
      <c r="K4" s="108" t="str">
        <f t="shared" si="4"/>
        <v/>
      </c>
      <c r="L4" s="102"/>
      <c r="M4" s="109" t="s">
        <v>988</v>
      </c>
      <c r="N4" s="109" t="s">
        <v>989</v>
      </c>
      <c r="O4" s="109" t="s">
        <v>990</v>
      </c>
      <c r="P4" s="112" t="s">
        <v>972</v>
      </c>
      <c r="Q4" s="110"/>
    </row>
    <row r="5" ht="150.0" customHeight="1">
      <c r="A5" s="104">
        <v>338.0</v>
      </c>
      <c r="B5" s="105" t="str">
        <f>VLOOKUP($A5, 'Characters Database'!$A$2:$E68, 4, FALSE)</f>
        <v/>
      </c>
      <c r="C5" s="106" t="str">
        <f>VLOOKUP($A5, 'Characters Database'!$A$2:$E68, 5, FALSE)</f>
        <v>Winner Island
Bepo</v>
      </c>
      <c r="D5" s="107" t="s">
        <v>985</v>
      </c>
      <c r="E5" s="108" t="str">
        <f t="shared" si="1"/>
        <v/>
      </c>
      <c r="F5" s="107" t="s">
        <v>986</v>
      </c>
      <c r="G5" s="108" t="str">
        <f t="shared" si="2"/>
        <v/>
      </c>
      <c r="H5" s="107" t="s">
        <v>987</v>
      </c>
      <c r="I5" s="108" t="str">
        <f t="shared" si="3"/>
        <v/>
      </c>
      <c r="J5" s="111"/>
      <c r="K5" s="108" t="str">
        <f t="shared" si="4"/>
        <v/>
      </c>
      <c r="L5" s="102"/>
      <c r="M5" s="109" t="s">
        <v>991</v>
      </c>
      <c r="N5" s="109" t="s">
        <v>992</v>
      </c>
      <c r="O5" s="109" t="s">
        <v>993</v>
      </c>
      <c r="P5" s="112" t="s">
        <v>972</v>
      </c>
      <c r="Q5" s="110"/>
    </row>
    <row r="6" ht="150.0" customHeight="1">
      <c r="A6" s="113">
        <v>336.0</v>
      </c>
      <c r="B6" s="114" t="str">
        <f>VLOOKUP($A6, 'Characters Database'!$A$2:$E68, 4, FALSE)</f>
        <v/>
      </c>
      <c r="C6" s="115" t="str">
        <f>VLOOKUP($A6, 'Characters Database'!$A$2:$E68, 5, FALSE)</f>
        <v>Father and Daughter
Kuma &amp; Bonney</v>
      </c>
      <c r="D6" s="107" t="s">
        <v>994</v>
      </c>
      <c r="E6" s="108" t="str">
        <f t="shared" si="1"/>
        <v/>
      </c>
      <c r="F6" s="116"/>
      <c r="G6" s="116"/>
      <c r="H6" s="117" t="s">
        <v>995</v>
      </c>
      <c r="I6" s="108" t="str">
        <f>IF(N6 &lt;&gt; "-", IMAGE(N6), )</f>
        <v/>
      </c>
      <c r="J6" s="116"/>
      <c r="K6" s="116"/>
      <c r="L6" s="102"/>
      <c r="M6" s="109" t="s">
        <v>996</v>
      </c>
      <c r="N6" s="109" t="s">
        <v>997</v>
      </c>
      <c r="O6" s="118" t="s">
        <v>972</v>
      </c>
      <c r="P6" s="112" t="s">
        <v>972</v>
      </c>
      <c r="Q6" s="110"/>
    </row>
    <row r="7" ht="150.0" customHeight="1">
      <c r="A7" s="116"/>
      <c r="B7" s="116"/>
      <c r="C7" s="116"/>
      <c r="D7" s="117" t="s">
        <v>998</v>
      </c>
      <c r="E7" s="108" t="str">
        <f t="shared" si="1"/>
        <v/>
      </c>
      <c r="F7" s="116"/>
      <c r="G7" s="116"/>
      <c r="H7" s="111"/>
      <c r="I7" s="108"/>
      <c r="J7" s="111"/>
      <c r="K7" s="119" t="s">
        <v>981</v>
      </c>
      <c r="L7" s="102"/>
      <c r="M7" s="109" t="s">
        <v>999</v>
      </c>
      <c r="N7" s="120" t="s">
        <v>972</v>
      </c>
      <c r="O7" s="120" t="s">
        <v>972</v>
      </c>
      <c r="P7" s="118" t="s">
        <v>972</v>
      </c>
      <c r="Q7" s="110"/>
    </row>
    <row r="8" ht="150.0" customHeight="1">
      <c r="A8" s="98">
        <v>335.0</v>
      </c>
      <c r="B8" s="105" t="str">
        <f>VLOOKUP($A8, 'Characters Database'!$A$2:$E68, 4, FALSE)</f>
        <v/>
      </c>
      <c r="C8" s="106" t="str">
        <f>VLOOKUP($A8, 'Characters Database'!$A$2:$E68, 5, FALSE)</f>
        <v>Egghead
Jinbe</v>
      </c>
      <c r="D8" s="107" t="s">
        <v>994</v>
      </c>
      <c r="E8" s="108" t="str">
        <f t="shared" si="1"/>
        <v/>
      </c>
      <c r="F8" s="117" t="s">
        <v>995</v>
      </c>
      <c r="G8" s="108" t="str">
        <f t="shared" ref="G8:G33" si="5">IF(N8 &lt;&gt; "-", IMAGE(N8), )</f>
        <v/>
      </c>
      <c r="H8" s="117" t="s">
        <v>998</v>
      </c>
      <c r="I8" s="108" t="str">
        <f t="shared" ref="I8:I33" si="6">IF(O8 &lt;&gt; "-", IMAGE(O8), )</f>
        <v/>
      </c>
      <c r="J8" s="111"/>
      <c r="K8" s="119" t="s">
        <v>982</v>
      </c>
      <c r="L8" s="102"/>
      <c r="M8" s="109" t="s">
        <v>1000</v>
      </c>
      <c r="N8" s="109" t="s">
        <v>1001</v>
      </c>
      <c r="O8" s="109" t="s">
        <v>1002</v>
      </c>
      <c r="P8" s="112" t="s">
        <v>972</v>
      </c>
      <c r="Q8" s="110"/>
    </row>
    <row r="9" ht="150.0" customHeight="1">
      <c r="A9" s="98">
        <v>334.0</v>
      </c>
      <c r="B9" s="105" t="str">
        <f>VLOOKUP($A9, 'Characters Database'!$A$2:$E68, 4, FALSE)</f>
        <v/>
      </c>
      <c r="C9" s="106" t="str">
        <f>VLOOKUP($A9, 'Characters Database'!$A$2:$E68, 5, FALSE)</f>
        <v>Egghead
Franky</v>
      </c>
      <c r="D9" s="107" t="s">
        <v>1003</v>
      </c>
      <c r="E9" s="108" t="str">
        <f t="shared" si="1"/>
        <v/>
      </c>
      <c r="F9" s="117" t="s">
        <v>1004</v>
      </c>
      <c r="G9" s="108" t="str">
        <f t="shared" si="5"/>
        <v/>
      </c>
      <c r="H9" s="117" t="s">
        <v>1005</v>
      </c>
      <c r="I9" s="108" t="str">
        <f t="shared" si="6"/>
        <v/>
      </c>
      <c r="J9" s="111"/>
      <c r="K9" s="119" t="s">
        <v>983</v>
      </c>
      <c r="L9" s="102"/>
      <c r="M9" s="109" t="s">
        <v>1006</v>
      </c>
      <c r="N9" s="109" t="s">
        <v>1007</v>
      </c>
      <c r="O9" s="109" t="s">
        <v>1008</v>
      </c>
      <c r="P9" s="112" t="s">
        <v>972</v>
      </c>
      <c r="Q9" s="110"/>
    </row>
    <row r="10" ht="150.0" customHeight="1">
      <c r="A10" s="98">
        <v>332.0</v>
      </c>
      <c r="B10" s="105" t="str">
        <f>VLOOKUP($A10, 'Characters Database'!$A$2:$E68, 4, FALSE)</f>
        <v/>
      </c>
      <c r="C10" s="106" t="str">
        <f>VLOOKUP($A10, 'Characters Database'!$A$2:$E68, 5, FALSE)</f>
        <v>Egghead
Nico Robin</v>
      </c>
      <c r="D10" s="107" t="s">
        <v>1009</v>
      </c>
      <c r="E10" s="108" t="str">
        <f t="shared" si="1"/>
        <v/>
      </c>
      <c r="F10" s="117" t="s">
        <v>1010</v>
      </c>
      <c r="G10" s="108" t="str">
        <f t="shared" si="5"/>
        <v/>
      </c>
      <c r="H10" s="117" t="s">
        <v>1011</v>
      </c>
      <c r="I10" s="108" t="str">
        <f t="shared" si="6"/>
        <v/>
      </c>
      <c r="J10" s="111"/>
      <c r="K10" s="119" t="s">
        <v>984</v>
      </c>
      <c r="L10" s="102"/>
      <c r="M10" s="109" t="s">
        <v>1012</v>
      </c>
      <c r="N10" s="109" t="s">
        <v>1013</v>
      </c>
      <c r="O10" s="109" t="s">
        <v>1014</v>
      </c>
      <c r="P10" s="112" t="s">
        <v>972</v>
      </c>
      <c r="Q10" s="110"/>
    </row>
    <row r="11" ht="150.0" customHeight="1">
      <c r="A11" s="98">
        <v>331.0</v>
      </c>
      <c r="B11" s="105" t="str">
        <f>VLOOKUP($A11, 'Characters Database'!$A$2:$E68, 4, FALSE)</f>
        <v/>
      </c>
      <c r="C11" s="106" t="str">
        <f>VLOOKUP($A11, 'Characters Database'!$A$2:$E68, 5, FALSE)</f>
        <v>Egghead
Tony Tony Chopper</v>
      </c>
      <c r="D11" s="107" t="s">
        <v>1009</v>
      </c>
      <c r="E11" s="108" t="str">
        <f t="shared" si="1"/>
        <v/>
      </c>
      <c r="F11" s="117" t="s">
        <v>1010</v>
      </c>
      <c r="G11" s="108" t="str">
        <f t="shared" si="5"/>
        <v/>
      </c>
      <c r="H11" s="117" t="s">
        <v>1011</v>
      </c>
      <c r="I11" s="108" t="str">
        <f t="shared" si="6"/>
        <v/>
      </c>
      <c r="J11" s="111"/>
      <c r="K11" s="108" t="str">
        <f t="shared" ref="K11:K33" si="7">IF(P11 &lt;&gt; "-", IMAGE(P11), )</f>
        <v/>
      </c>
      <c r="L11" s="102"/>
      <c r="M11" s="109" t="s">
        <v>1015</v>
      </c>
      <c r="N11" s="109" t="s">
        <v>1016</v>
      </c>
      <c r="O11" s="109" t="s">
        <v>1017</v>
      </c>
      <c r="P11" s="112" t="s">
        <v>972</v>
      </c>
      <c r="Q11" s="110"/>
    </row>
    <row r="12" ht="150.0" customHeight="1">
      <c r="A12" s="98">
        <v>330.0</v>
      </c>
      <c r="B12" s="105" t="str">
        <f>VLOOKUP($A12, 'Characters Database'!$A$2:$E68, 4, FALSE)</f>
        <v/>
      </c>
      <c r="C12" s="106" t="str">
        <f>VLOOKUP($A12, 'Characters Database'!$A$2:$E68, 5, FALSE)</f>
        <v>Egghead
Brook</v>
      </c>
      <c r="D12" s="107" t="s">
        <v>1003</v>
      </c>
      <c r="E12" s="108" t="str">
        <f t="shared" si="1"/>
        <v/>
      </c>
      <c r="F12" s="117" t="s">
        <v>1004</v>
      </c>
      <c r="G12" s="108" t="str">
        <f t="shared" si="5"/>
        <v/>
      </c>
      <c r="H12" s="117" t="s">
        <v>1005</v>
      </c>
      <c r="I12" s="108" t="str">
        <f t="shared" si="6"/>
        <v/>
      </c>
      <c r="J12" s="111"/>
      <c r="K12" s="108" t="str">
        <f t="shared" si="7"/>
        <v/>
      </c>
      <c r="L12" s="102"/>
      <c r="M12" s="109" t="s">
        <v>1018</v>
      </c>
      <c r="N12" s="109" t="s">
        <v>1019</v>
      </c>
      <c r="O12" s="109" t="s">
        <v>1020</v>
      </c>
      <c r="P12" s="112" t="s">
        <v>972</v>
      </c>
      <c r="Q12" s="110"/>
    </row>
    <row r="13" ht="150.0" customHeight="1">
      <c r="A13" s="98">
        <v>328.0</v>
      </c>
      <c r="B13" s="105" t="str">
        <f>VLOOKUP($A13, 'Characters Database'!$A$2:$E68, 4, FALSE)</f>
        <v/>
      </c>
      <c r="C13" s="106" t="str">
        <f>VLOOKUP($A13, 'Characters Database'!$A$2:$E68, 5, FALSE)</f>
        <v>Egghead
Usopp</v>
      </c>
      <c r="D13" s="107" t="s">
        <v>1021</v>
      </c>
      <c r="E13" s="108" t="str">
        <f t="shared" si="1"/>
        <v/>
      </c>
      <c r="F13" s="117" t="s">
        <v>1022</v>
      </c>
      <c r="G13" s="108" t="str">
        <f t="shared" si="5"/>
        <v/>
      </c>
      <c r="H13" s="117" t="s">
        <v>1023</v>
      </c>
      <c r="I13" s="108" t="str">
        <f t="shared" si="6"/>
        <v/>
      </c>
      <c r="J13" s="117" t="s">
        <v>1024</v>
      </c>
      <c r="K13" s="108" t="str">
        <f t="shared" si="7"/>
        <v/>
      </c>
      <c r="L13" s="102"/>
      <c r="M13" s="109" t="s">
        <v>1025</v>
      </c>
      <c r="N13" s="109" t="s">
        <v>1026</v>
      </c>
      <c r="O13" s="109" t="s">
        <v>1027</v>
      </c>
      <c r="P13" s="109" t="s">
        <v>1028</v>
      </c>
      <c r="Q13" s="110"/>
    </row>
    <row r="14" ht="150.0" customHeight="1">
      <c r="A14" s="98">
        <v>327.0</v>
      </c>
      <c r="B14" s="105" t="str">
        <f>VLOOKUP($A14, 'Characters Database'!$A$2:$E68, 4, FALSE)</f>
        <v/>
      </c>
      <c r="C14" s="106" t="str">
        <f>VLOOKUP($A14, 'Characters Database'!$A$2:$E68, 5, FALSE)</f>
        <v>Egghead
Nami</v>
      </c>
      <c r="D14" s="107" t="s">
        <v>1021</v>
      </c>
      <c r="E14" s="108" t="str">
        <f t="shared" si="1"/>
        <v/>
      </c>
      <c r="F14" s="117" t="s">
        <v>1022</v>
      </c>
      <c r="G14" s="108" t="str">
        <f t="shared" si="5"/>
        <v/>
      </c>
      <c r="H14" s="117" t="s">
        <v>1023</v>
      </c>
      <c r="I14" s="108" t="str">
        <f t="shared" si="6"/>
        <v/>
      </c>
      <c r="J14" s="117" t="s">
        <v>1024</v>
      </c>
      <c r="K14" s="108" t="str">
        <f t="shared" si="7"/>
        <v/>
      </c>
      <c r="L14" s="102"/>
      <c r="M14" s="109" t="s">
        <v>1029</v>
      </c>
      <c r="N14" s="109" t="s">
        <v>1030</v>
      </c>
      <c r="O14" s="109" t="s">
        <v>1031</v>
      </c>
      <c r="P14" s="109" t="s">
        <v>1032</v>
      </c>
      <c r="Q14" s="110"/>
    </row>
    <row r="15" ht="150.0" customHeight="1">
      <c r="A15" s="121">
        <v>326.0</v>
      </c>
      <c r="B15" s="105" t="str">
        <f>VLOOKUP($A15, 'Characters Database'!$A$2:$E68, 4, FALSE)</f>
        <v/>
      </c>
      <c r="C15" s="106" t="str">
        <f>VLOOKUP($A15, 'Characters Database'!$A$2:$E68, 5, FALSE)</f>
        <v>Blind Swordsman Fujitora
[Issho]</v>
      </c>
      <c r="D15" s="122" t="s">
        <v>1033</v>
      </c>
      <c r="E15" s="108" t="str">
        <f t="shared" si="1"/>
        <v/>
      </c>
      <c r="F15" s="111" t="s">
        <v>1034</v>
      </c>
      <c r="G15" s="108" t="str">
        <f t="shared" si="5"/>
        <v/>
      </c>
      <c r="H15" s="111" t="s">
        <v>1035</v>
      </c>
      <c r="I15" s="108" t="str">
        <f t="shared" si="6"/>
        <v/>
      </c>
      <c r="J15" s="111" t="s">
        <v>1036</v>
      </c>
      <c r="K15" s="108" t="str">
        <f t="shared" si="7"/>
        <v/>
      </c>
      <c r="L15" s="123"/>
      <c r="M15" s="124" t="s">
        <v>1037</v>
      </c>
      <c r="N15" s="124" t="s">
        <v>1038</v>
      </c>
      <c r="O15" s="124" t="s">
        <v>1039</v>
      </c>
      <c r="P15" s="124" t="s">
        <v>1040</v>
      </c>
      <c r="Q15" s="125"/>
    </row>
    <row r="16" ht="150.0" customHeight="1">
      <c r="A16" s="121">
        <v>325.0</v>
      </c>
      <c r="B16" s="105" t="str">
        <f>VLOOKUP($A16, 'Characters Database'!$A$2:$E68, 4, FALSE)</f>
        <v/>
      </c>
      <c r="C16" s="106" t="str">
        <f>VLOOKUP($A16, 'Characters Database'!$A$2:$E68, 5, FALSE)</f>
        <v>Groves of Wrath Ryokugyu
[Aramaki]</v>
      </c>
      <c r="D16" s="122" t="s">
        <v>1041</v>
      </c>
      <c r="E16" s="108" t="str">
        <f t="shared" si="1"/>
        <v/>
      </c>
      <c r="F16" s="111" t="s">
        <v>1042</v>
      </c>
      <c r="G16" s="108" t="str">
        <f t="shared" si="5"/>
        <v/>
      </c>
      <c r="H16" s="111" t="s">
        <v>1043</v>
      </c>
      <c r="I16" s="108" t="str">
        <f t="shared" si="6"/>
        <v/>
      </c>
      <c r="J16" s="111" t="s">
        <v>1044</v>
      </c>
      <c r="K16" s="108" t="str">
        <f t="shared" si="7"/>
        <v/>
      </c>
      <c r="L16" s="123"/>
      <c r="M16" s="124" t="s">
        <v>1045</v>
      </c>
      <c r="N16" s="124" t="s">
        <v>1046</v>
      </c>
      <c r="O16" s="124" t="s">
        <v>1047</v>
      </c>
      <c r="P16" s="124" t="s">
        <v>1048</v>
      </c>
      <c r="Q16" s="125"/>
    </row>
    <row r="17" ht="150.0" customHeight="1">
      <c r="A17" s="121">
        <v>324.0</v>
      </c>
      <c r="B17" s="105" t="str">
        <f>VLOOKUP($A17, 'Characters Database'!$A$2:$E68, 4, FALSE)</f>
        <v/>
      </c>
      <c r="C17" s="106" t="str">
        <f>VLOOKUP($A17, 'Characters Database'!$A$2:$E68, 5, FALSE)</f>
        <v>Ama no Murakumo Sword Kizaru
[Borsalino]</v>
      </c>
      <c r="D17" s="107" t="s">
        <v>1049</v>
      </c>
      <c r="E17" s="108" t="str">
        <f t="shared" si="1"/>
        <v/>
      </c>
      <c r="F17" s="117" t="s">
        <v>1050</v>
      </c>
      <c r="G17" s="108" t="str">
        <f t="shared" si="5"/>
        <v/>
      </c>
      <c r="H17" s="117" t="s">
        <v>1051</v>
      </c>
      <c r="I17" s="108" t="str">
        <f t="shared" si="6"/>
        <v/>
      </c>
      <c r="J17" s="117" t="s">
        <v>1052</v>
      </c>
      <c r="K17" s="108" t="str">
        <f t="shared" si="7"/>
        <v/>
      </c>
      <c r="L17" s="123"/>
      <c r="M17" s="124" t="s">
        <v>1053</v>
      </c>
      <c r="N17" s="124" t="s">
        <v>1054</v>
      </c>
      <c r="O17" s="124" t="s">
        <v>1055</v>
      </c>
      <c r="P17" s="124" t="s">
        <v>1056</v>
      </c>
      <c r="Q17" s="125"/>
    </row>
    <row r="18" ht="150.0" customHeight="1">
      <c r="A18" s="121">
        <v>317.0</v>
      </c>
      <c r="B18" s="105" t="str">
        <f>VLOOKUP($A18, 'Characters Database'!$A$2:$E68, 4, FALSE)</f>
        <v/>
      </c>
      <c r="C18" s="106" t="str">
        <f>VLOOKUP($A18, 'Characters Database'!$A$2:$E68, 5, FALSE)</f>
        <v>Clear-Clear Fruit
Shiryu</v>
      </c>
      <c r="D18" s="107" t="s">
        <v>1057</v>
      </c>
      <c r="E18" s="108" t="str">
        <f t="shared" si="1"/>
        <v/>
      </c>
      <c r="F18" s="117" t="s">
        <v>1058</v>
      </c>
      <c r="G18" s="108" t="str">
        <f t="shared" si="5"/>
        <v/>
      </c>
      <c r="H18" s="117" t="s">
        <v>1059</v>
      </c>
      <c r="I18" s="108" t="str">
        <f t="shared" si="6"/>
        <v/>
      </c>
      <c r="J18" s="111"/>
      <c r="K18" s="108" t="str">
        <f t="shared" si="7"/>
        <v/>
      </c>
      <c r="L18" s="123"/>
      <c r="M18" s="124" t="s">
        <v>1060</v>
      </c>
      <c r="N18" s="124" t="s">
        <v>1061</v>
      </c>
      <c r="O18" s="124" t="s">
        <v>1062</v>
      </c>
      <c r="P18" s="126" t="s">
        <v>972</v>
      </c>
      <c r="Q18" s="125"/>
    </row>
    <row r="19" ht="150.0" customHeight="1">
      <c r="A19" s="121">
        <v>316.0</v>
      </c>
      <c r="B19" s="105" t="str">
        <f>VLOOKUP($A19, 'Characters Database'!$A$2:$E68, 4, FALSE)</f>
        <v/>
      </c>
      <c r="C19" s="106" t="str">
        <f>VLOOKUP($A19, 'Characters Database'!$A$2:$E68, 5, FALSE)</f>
        <v>Strong-Strong Fruit
Jesus Burgess</v>
      </c>
      <c r="D19" s="107" t="s">
        <v>1057</v>
      </c>
      <c r="E19" s="108" t="str">
        <f t="shared" si="1"/>
        <v/>
      </c>
      <c r="F19" s="117" t="s">
        <v>1058</v>
      </c>
      <c r="G19" s="108" t="str">
        <f t="shared" si="5"/>
        <v/>
      </c>
      <c r="H19" s="117" t="s">
        <v>1059</v>
      </c>
      <c r="I19" s="108" t="str">
        <f t="shared" si="6"/>
        <v/>
      </c>
      <c r="J19" s="111"/>
      <c r="K19" s="108" t="str">
        <f t="shared" si="7"/>
        <v/>
      </c>
      <c r="L19" s="123"/>
      <c r="M19" s="124" t="s">
        <v>1063</v>
      </c>
      <c r="N19" s="124" t="s">
        <v>1064</v>
      </c>
      <c r="O19" s="124" t="s">
        <v>1065</v>
      </c>
      <c r="P19" s="126" t="s">
        <v>972</v>
      </c>
      <c r="Q19" s="125"/>
    </row>
    <row r="20" ht="150.0" customHeight="1">
      <c r="A20" s="121">
        <v>312.0</v>
      </c>
      <c r="B20" s="105" t="str">
        <f>VLOOKUP($A20, 'Characters Database'!$A$2:$E68, 4, FALSE)</f>
        <v/>
      </c>
      <c r="C20" s="106" t="str">
        <f>VLOOKUP($A20, 'Characters Database'!$A$2:$E68, 5, FALSE)</f>
        <v>Flame Emperor
Sabo</v>
      </c>
      <c r="D20" s="107" t="s">
        <v>1066</v>
      </c>
      <c r="E20" s="108" t="str">
        <f t="shared" si="1"/>
        <v/>
      </c>
      <c r="F20" s="117" t="s">
        <v>1067</v>
      </c>
      <c r="G20" s="108" t="str">
        <f t="shared" si="5"/>
        <v/>
      </c>
      <c r="H20" s="117" t="s">
        <v>1068</v>
      </c>
      <c r="I20" s="108" t="str">
        <f t="shared" si="6"/>
        <v/>
      </c>
      <c r="J20" s="111"/>
      <c r="K20" s="108" t="str">
        <f t="shared" si="7"/>
        <v/>
      </c>
      <c r="L20" s="123"/>
      <c r="M20" s="124" t="s">
        <v>1069</v>
      </c>
      <c r="N20" s="124" t="s">
        <v>1070</v>
      </c>
      <c r="O20" s="124" t="s">
        <v>1071</v>
      </c>
      <c r="P20" s="126" t="s">
        <v>972</v>
      </c>
      <c r="Q20" s="125"/>
    </row>
    <row r="21" ht="150.0" customHeight="1">
      <c r="A21" s="121">
        <v>310.0</v>
      </c>
      <c r="B21" s="105" t="str">
        <f>VLOOKUP($A21, 'Characters Database'!$A$2:$E68, 4, FALSE)</f>
        <v/>
      </c>
      <c r="C21" s="106" t="str">
        <f>VLOOKUP($A21, 'Characters Database'!$A$2:$E68, 5, FALSE)</f>
        <v>Blackbeard Pirates
Kuzan</v>
      </c>
      <c r="D21" s="107" t="s">
        <v>1057</v>
      </c>
      <c r="E21" s="108" t="str">
        <f t="shared" si="1"/>
        <v/>
      </c>
      <c r="F21" s="117" t="s">
        <v>1058</v>
      </c>
      <c r="G21" s="108" t="str">
        <f t="shared" si="5"/>
        <v/>
      </c>
      <c r="H21" s="117" t="s">
        <v>1059</v>
      </c>
      <c r="I21" s="108" t="str">
        <f t="shared" si="6"/>
        <v/>
      </c>
      <c r="J21" s="111"/>
      <c r="K21" s="108" t="str">
        <f t="shared" si="7"/>
        <v/>
      </c>
      <c r="L21" s="123"/>
      <c r="M21" s="124" t="s">
        <v>1072</v>
      </c>
      <c r="N21" s="124" t="s">
        <v>1073</v>
      </c>
      <c r="O21" s="124" t="s">
        <v>1074</v>
      </c>
      <c r="P21" s="126" t="s">
        <v>972</v>
      </c>
      <c r="Q21" s="125"/>
    </row>
    <row r="22" ht="150.0" customHeight="1">
      <c r="A22" s="121">
        <v>309.0</v>
      </c>
      <c r="B22" s="105" t="str">
        <f>VLOOKUP($A22, 'Characters Database'!$A$2:$E68, 4, FALSE)</f>
        <v/>
      </c>
      <c r="C22" s="106" t="str">
        <f>VLOOKUP($A22, 'Characters Database'!$A$2:$E68, 5, FALSE)</f>
        <v>Navy HQ / Captain
Koby</v>
      </c>
      <c r="D22" s="107" t="s">
        <v>1075</v>
      </c>
      <c r="E22" s="108" t="str">
        <f t="shared" si="1"/>
        <v/>
      </c>
      <c r="F22" s="117" t="s">
        <v>1076</v>
      </c>
      <c r="G22" s="108" t="str">
        <f t="shared" si="5"/>
        <v/>
      </c>
      <c r="H22" s="117" t="s">
        <v>1077</v>
      </c>
      <c r="I22" s="108" t="str">
        <f t="shared" si="6"/>
        <v/>
      </c>
      <c r="J22" s="111"/>
      <c r="K22" s="108" t="str">
        <f t="shared" si="7"/>
        <v/>
      </c>
      <c r="L22" s="123"/>
      <c r="M22" s="124" t="s">
        <v>1078</v>
      </c>
      <c r="N22" s="124" t="s">
        <v>1079</v>
      </c>
      <c r="O22" s="124" t="s">
        <v>1080</v>
      </c>
      <c r="P22" s="126" t="s">
        <v>972</v>
      </c>
      <c r="Q22" s="125"/>
    </row>
    <row r="23" ht="150.0" customHeight="1">
      <c r="A23" s="121">
        <v>308.0</v>
      </c>
      <c r="B23" s="105" t="str">
        <f>VLOOKUP($A23, 'Characters Database'!$A$2:$E68, 4, FALSE)</f>
        <v/>
      </c>
      <c r="C23" s="106" t="str">
        <f>VLOOKUP($A23, 'Characters Database'!$A$2:$E68, 5, FALSE)</f>
        <v>Legendary Hero
Monkey D. Garp</v>
      </c>
      <c r="D23" s="107" t="s">
        <v>1081</v>
      </c>
      <c r="E23" s="108" t="str">
        <f t="shared" si="1"/>
        <v/>
      </c>
      <c r="F23" s="117" t="s">
        <v>1082</v>
      </c>
      <c r="G23" s="108" t="str">
        <f t="shared" si="5"/>
        <v/>
      </c>
      <c r="H23" s="117" t="s">
        <v>1083</v>
      </c>
      <c r="I23" s="108" t="str">
        <f t="shared" si="6"/>
        <v/>
      </c>
      <c r="J23" s="117" t="s">
        <v>1084</v>
      </c>
      <c r="K23" s="108" t="str">
        <f t="shared" si="7"/>
        <v/>
      </c>
      <c r="L23" s="123"/>
      <c r="M23" s="124" t="s">
        <v>1085</v>
      </c>
      <c r="N23" s="124" t="s">
        <v>1086</v>
      </c>
      <c r="O23" s="124" t="s">
        <v>1087</v>
      </c>
      <c r="P23" s="124" t="s">
        <v>1088</v>
      </c>
      <c r="Q23" s="125"/>
    </row>
    <row r="24" ht="150.0" customHeight="1">
      <c r="A24" s="121">
        <v>306.0</v>
      </c>
      <c r="B24" s="105" t="str">
        <f>VLOOKUP($A24, 'Characters Database'!$A$2:$E68, 4, FALSE)</f>
        <v/>
      </c>
      <c r="C24" s="106" t="str">
        <f>VLOOKUP($A24, 'Characters Database'!$A$2:$E68, 5, FALSE)</f>
        <v>Egghead
Jewelry Bonney</v>
      </c>
      <c r="D24" s="107" t="s">
        <v>1089</v>
      </c>
      <c r="E24" s="108" t="str">
        <f t="shared" si="1"/>
        <v/>
      </c>
      <c r="F24" s="117" t="s">
        <v>1090</v>
      </c>
      <c r="G24" s="108" t="str">
        <f t="shared" si="5"/>
        <v/>
      </c>
      <c r="H24" s="117" t="s">
        <v>1091</v>
      </c>
      <c r="I24" s="108" t="str">
        <f t="shared" si="6"/>
        <v/>
      </c>
      <c r="J24" s="117" t="s">
        <v>1092</v>
      </c>
      <c r="K24" s="108" t="str">
        <f t="shared" si="7"/>
        <v/>
      </c>
      <c r="L24" s="123"/>
      <c r="M24" s="124" t="s">
        <v>1093</v>
      </c>
      <c r="N24" s="124" t="s">
        <v>1094</v>
      </c>
      <c r="O24" s="124" t="s">
        <v>1095</v>
      </c>
      <c r="P24" s="124" t="s">
        <v>1096</v>
      </c>
      <c r="Q24" s="127"/>
    </row>
    <row r="25" ht="150.0" customHeight="1">
      <c r="A25" s="121">
        <v>305.0</v>
      </c>
      <c r="B25" s="105" t="str">
        <f>VLOOKUP($A25, 'Characters Database'!$A$2:$E68, 4, FALSE)</f>
        <v/>
      </c>
      <c r="C25" s="106" t="str">
        <f>VLOOKUP($A25, 'Characters Database'!$A$2:$E68, 5, FALSE)</f>
        <v>Egghead
Sanji</v>
      </c>
      <c r="D25" s="107" t="s">
        <v>1097</v>
      </c>
      <c r="E25" s="108" t="str">
        <f t="shared" si="1"/>
        <v/>
      </c>
      <c r="F25" s="117" t="s">
        <v>1098</v>
      </c>
      <c r="G25" s="108" t="str">
        <f t="shared" si="5"/>
        <v/>
      </c>
      <c r="H25" s="117" t="s">
        <v>1099</v>
      </c>
      <c r="I25" s="108" t="str">
        <f t="shared" si="6"/>
        <v/>
      </c>
      <c r="J25" s="111"/>
      <c r="K25" s="108" t="str">
        <f t="shared" si="7"/>
        <v/>
      </c>
      <c r="L25" s="123"/>
      <c r="M25" s="124" t="s">
        <v>1100</v>
      </c>
      <c r="N25" s="124" t="s">
        <v>1101</v>
      </c>
      <c r="O25" s="124" t="s">
        <v>1102</v>
      </c>
      <c r="P25" s="128" t="s">
        <v>972</v>
      </c>
      <c r="Q25" s="127"/>
    </row>
    <row r="26" ht="150.0" customHeight="1">
      <c r="A26" s="121">
        <v>300.0</v>
      </c>
      <c r="B26" s="105" t="str">
        <f>VLOOKUP($A26, 'Characters Database'!$A$2:$E68, 4, FALSE)</f>
        <v/>
      </c>
      <c r="C26" s="106" t="str">
        <f>VLOOKUP($A26, 'Characters Database'!$A$2:$E68, 5, FALSE)</f>
        <v>Punk-02
Lilith</v>
      </c>
      <c r="D26" s="107" t="s">
        <v>1103</v>
      </c>
      <c r="E26" s="108" t="str">
        <f t="shared" si="1"/>
        <v/>
      </c>
      <c r="F26" s="117" t="s">
        <v>1104</v>
      </c>
      <c r="G26" s="108" t="str">
        <f t="shared" si="5"/>
        <v/>
      </c>
      <c r="H26" s="117" t="s">
        <v>1091</v>
      </c>
      <c r="I26" s="108" t="str">
        <f t="shared" si="6"/>
        <v/>
      </c>
      <c r="J26" s="111"/>
      <c r="K26" s="108" t="str">
        <f t="shared" si="7"/>
        <v/>
      </c>
      <c r="L26" s="123"/>
      <c r="M26" s="124" t="s">
        <v>1105</v>
      </c>
      <c r="N26" s="124" t="s">
        <v>1106</v>
      </c>
      <c r="O26" s="124" t="s">
        <v>1107</v>
      </c>
      <c r="P26" s="128" t="s">
        <v>972</v>
      </c>
      <c r="Q26" s="127"/>
    </row>
    <row r="27" ht="150.0" customHeight="1">
      <c r="A27" s="121">
        <v>298.0</v>
      </c>
      <c r="B27" s="105" t="str">
        <f>VLOOKUP($A27, 'Characters Database'!$A$2:$E68, 4, FALSE)</f>
        <v/>
      </c>
      <c r="C27" s="106" t="str">
        <f>VLOOKUP($A27, 'Characters Database'!$A$2:$E68, 5, FALSE)</f>
        <v>The Red
Broggy</v>
      </c>
      <c r="D27" s="107" t="s">
        <v>1075</v>
      </c>
      <c r="E27" s="108" t="str">
        <f t="shared" si="1"/>
        <v/>
      </c>
      <c r="F27" s="117" t="s">
        <v>1076</v>
      </c>
      <c r="G27" s="108" t="str">
        <f t="shared" si="5"/>
        <v/>
      </c>
      <c r="H27" s="111"/>
      <c r="I27" s="108" t="str">
        <f t="shared" si="6"/>
        <v/>
      </c>
      <c r="J27" s="111"/>
      <c r="K27" s="108" t="str">
        <f t="shared" si="7"/>
        <v/>
      </c>
      <c r="L27" s="123"/>
      <c r="M27" s="124" t="s">
        <v>1108</v>
      </c>
      <c r="N27" s="124" t="s">
        <v>1109</v>
      </c>
      <c r="O27" s="128" t="s">
        <v>972</v>
      </c>
      <c r="P27" s="128" t="s">
        <v>972</v>
      </c>
      <c r="Q27" s="127"/>
    </row>
    <row r="28" ht="150.0" customHeight="1">
      <c r="A28" s="121">
        <v>297.0</v>
      </c>
      <c r="B28" s="105" t="str">
        <f>VLOOKUP($A28, 'Characters Database'!$A$2:$E68, 4, FALSE)</f>
        <v/>
      </c>
      <c r="C28" s="106" t="str">
        <f>VLOOKUP($A28, 'Characters Database'!$A$2:$E68, 5, FALSE)</f>
        <v>The Blue
Dorry</v>
      </c>
      <c r="D28" s="107" t="s">
        <v>1075</v>
      </c>
      <c r="E28" s="108" t="str">
        <f t="shared" si="1"/>
        <v/>
      </c>
      <c r="F28" s="117" t="s">
        <v>1076</v>
      </c>
      <c r="G28" s="108" t="str">
        <f t="shared" si="5"/>
        <v/>
      </c>
      <c r="H28" s="111"/>
      <c r="I28" s="108" t="str">
        <f t="shared" si="6"/>
        <v/>
      </c>
      <c r="J28" s="111"/>
      <c r="K28" s="108" t="str">
        <f t="shared" si="7"/>
        <v/>
      </c>
      <c r="L28" s="123"/>
      <c r="M28" s="124" t="s">
        <v>1110</v>
      </c>
      <c r="N28" s="124" t="s">
        <v>1111</v>
      </c>
      <c r="O28" s="128" t="s">
        <v>972</v>
      </c>
      <c r="P28" s="128" t="s">
        <v>972</v>
      </c>
      <c r="Q28" s="127"/>
    </row>
    <row r="29" ht="150.0" customHeight="1">
      <c r="A29" s="121">
        <v>296.0</v>
      </c>
      <c r="B29" s="105" t="str">
        <f>VLOOKUP($A29, 'Characters Database'!$A$2:$E68, 4, FALSE)</f>
        <v/>
      </c>
      <c r="C29" s="106" t="str">
        <f>VLOOKUP($A29, 'Characters Database'!$A$2:$E68, 5, FALSE)</f>
        <v>Divine Departure
Shanks</v>
      </c>
      <c r="D29" s="107" t="s">
        <v>1112</v>
      </c>
      <c r="E29" s="108" t="str">
        <f t="shared" si="1"/>
        <v/>
      </c>
      <c r="F29" s="117" t="s">
        <v>1113</v>
      </c>
      <c r="G29" s="108" t="str">
        <f t="shared" si="5"/>
        <v/>
      </c>
      <c r="H29" s="117" t="s">
        <v>1068</v>
      </c>
      <c r="I29" s="108" t="str">
        <f t="shared" si="6"/>
        <v/>
      </c>
      <c r="J29" s="111"/>
      <c r="K29" s="108" t="str">
        <f t="shared" si="7"/>
        <v/>
      </c>
      <c r="L29" s="123"/>
      <c r="M29" s="124" t="s">
        <v>1114</v>
      </c>
      <c r="N29" s="124" t="s">
        <v>1115</v>
      </c>
      <c r="O29" s="124" t="s">
        <v>1116</v>
      </c>
      <c r="P29" s="128" t="s">
        <v>972</v>
      </c>
      <c r="Q29" s="127"/>
    </row>
    <row r="30" ht="150.0" customHeight="1">
      <c r="A30" s="121">
        <v>289.0</v>
      </c>
      <c r="B30" s="105" t="str">
        <f>VLOOKUP($A30, 'Characters Database'!$A$2:$E68, 4, FALSE)</f>
        <v/>
      </c>
      <c r="C30" s="106" t="str">
        <f>VLOOKUP($A30, 'Characters Database'!$A$2:$E68, 5, FALSE)</f>
        <v>Egghead
Roronoa Zoro</v>
      </c>
      <c r="D30" s="107" t="s">
        <v>1097</v>
      </c>
      <c r="E30" s="108" t="str">
        <f t="shared" si="1"/>
        <v/>
      </c>
      <c r="F30" s="117" t="s">
        <v>1098</v>
      </c>
      <c r="G30" s="108" t="str">
        <f t="shared" si="5"/>
        <v/>
      </c>
      <c r="H30" s="117" t="s">
        <v>1099</v>
      </c>
      <c r="I30" s="108" t="str">
        <f t="shared" si="6"/>
        <v/>
      </c>
      <c r="J30" s="111"/>
      <c r="K30" s="108" t="str">
        <f t="shared" si="7"/>
        <v/>
      </c>
      <c r="L30" s="123"/>
      <c r="M30" s="124" t="s">
        <v>1117</v>
      </c>
      <c r="N30" s="124" t="s">
        <v>1118</v>
      </c>
      <c r="O30" s="124" t="s">
        <v>1119</v>
      </c>
      <c r="P30" s="128" t="s">
        <v>972</v>
      </c>
      <c r="Q30" s="127"/>
    </row>
    <row r="31" ht="150.0" customHeight="1">
      <c r="A31" s="121">
        <v>287.0</v>
      </c>
      <c r="B31" s="105" t="str">
        <f>VLOOKUP($A31, 'Characters Database'!$A$2:$E68, 4, FALSE)</f>
        <v/>
      </c>
      <c r="C31" s="106" t="str">
        <f>VLOOKUP($A31, 'Characters Database'!$A$2:$E68, 5, FALSE)</f>
        <v>Egghead
Monkey D. Luffy</v>
      </c>
      <c r="D31" s="107" t="s">
        <v>1103</v>
      </c>
      <c r="E31" s="108" t="str">
        <f t="shared" si="1"/>
        <v/>
      </c>
      <c r="F31" s="117" t="s">
        <v>1104</v>
      </c>
      <c r="G31" s="108" t="str">
        <f t="shared" si="5"/>
        <v/>
      </c>
      <c r="H31" s="117" t="s">
        <v>1091</v>
      </c>
      <c r="I31" s="108" t="str">
        <f t="shared" si="6"/>
        <v/>
      </c>
      <c r="J31" s="111"/>
      <c r="K31" s="108" t="str">
        <f t="shared" si="7"/>
        <v/>
      </c>
      <c r="L31" s="123"/>
      <c r="M31" s="124" t="s">
        <v>1120</v>
      </c>
      <c r="N31" s="124" t="s">
        <v>1121</v>
      </c>
      <c r="O31" s="124" t="s">
        <v>1122</v>
      </c>
      <c r="P31" s="128" t="s">
        <v>972</v>
      </c>
      <c r="Q31" s="127"/>
    </row>
    <row r="32" ht="150.0" customHeight="1">
      <c r="A32" s="121">
        <v>279.0</v>
      </c>
      <c r="B32" s="105" t="str">
        <f>VLOOKUP($A32, 'Characters Database'!$A$2:$E68, 4, FALSE)</f>
        <v/>
      </c>
      <c r="C32" s="106" t="str">
        <f>VLOOKUP($A32, 'Characters Database'!$A$2:$E68, 5, FALSE)</f>
        <v>Great Pirate
Gol D. Roger</v>
      </c>
      <c r="D32" s="122" t="s">
        <v>1123</v>
      </c>
      <c r="E32" s="108" t="str">
        <f t="shared" si="1"/>
        <v/>
      </c>
      <c r="F32" s="111" t="s">
        <v>1124</v>
      </c>
      <c r="G32" s="108" t="str">
        <f t="shared" si="5"/>
        <v/>
      </c>
      <c r="H32" s="111"/>
      <c r="I32" s="108" t="str">
        <f t="shared" si="6"/>
        <v/>
      </c>
      <c r="J32" s="111"/>
      <c r="K32" s="108" t="str">
        <f t="shared" si="7"/>
        <v/>
      </c>
      <c r="L32" s="123"/>
      <c r="M32" s="124" t="s">
        <v>1125</v>
      </c>
      <c r="N32" s="124" t="s">
        <v>1126</v>
      </c>
      <c r="O32" s="128" t="s">
        <v>972</v>
      </c>
      <c r="P32" s="128" t="s">
        <v>972</v>
      </c>
      <c r="Q32" s="127"/>
    </row>
    <row r="33" ht="150.0" customHeight="1">
      <c r="A33" s="121">
        <v>276.0</v>
      </c>
      <c r="B33" s="105" t="str">
        <f>VLOOKUP($A33, 'Characters Database'!$A$2:$E68, 4, FALSE)</f>
        <v/>
      </c>
      <c r="C33" s="106" t="str">
        <f>VLOOKUP($A33, 'Characters Database'!$A$2:$E68, 5, FALSE)</f>
        <v>Great Pirate
Edward Newgate</v>
      </c>
      <c r="D33" s="122" t="s">
        <v>1127</v>
      </c>
      <c r="E33" s="108" t="str">
        <f t="shared" si="1"/>
        <v/>
      </c>
      <c r="F33" s="129"/>
      <c r="G33" s="108" t="str">
        <f t="shared" si="5"/>
        <v/>
      </c>
      <c r="H33" s="111"/>
      <c r="I33" s="108" t="str">
        <f t="shared" si="6"/>
        <v/>
      </c>
      <c r="J33" s="111"/>
      <c r="K33" s="108" t="str">
        <f t="shared" si="7"/>
        <v/>
      </c>
      <c r="L33" s="123"/>
      <c r="M33" s="124" t="s">
        <v>1128</v>
      </c>
      <c r="N33" s="128" t="s">
        <v>972</v>
      </c>
      <c r="O33" s="128" t="s">
        <v>972</v>
      </c>
      <c r="P33" s="128" t="s">
        <v>972</v>
      </c>
      <c r="Q33" s="127"/>
    </row>
    <row r="34" ht="150.0" customHeight="1">
      <c r="A34" s="121">
        <v>275.0</v>
      </c>
      <c r="B34" s="105" t="str">
        <f>VLOOKUP($A34, 'Characters Database'!$A$2:$E68, 4, FALSE)</f>
        <v/>
      </c>
      <c r="C34" s="106" t="str">
        <f>VLOOKUP($A34, 'Characters Database'!$A$2:$E68, 5, FALSE)</f>
        <v>Fire Fist Ogre Princess
Ace &amp; Yamato</v>
      </c>
      <c r="D34" s="122" t="s">
        <v>1129</v>
      </c>
      <c r="E34" s="108" t="str">
        <f t="shared" si="1"/>
        <v/>
      </c>
      <c r="F34" s="116"/>
      <c r="G34" s="116"/>
      <c r="H34" s="111"/>
      <c r="I34" s="108" t="str">
        <f>IF(N34 &lt;&gt; "-", IMAGE(N34), )</f>
        <v/>
      </c>
      <c r="J34" s="116"/>
      <c r="K34" s="116"/>
      <c r="L34" s="123"/>
      <c r="M34" s="124" t="s">
        <v>1130</v>
      </c>
      <c r="N34" s="128" t="s">
        <v>972</v>
      </c>
      <c r="O34" s="128" t="s">
        <v>972</v>
      </c>
      <c r="P34" s="128" t="s">
        <v>972</v>
      </c>
      <c r="Q34" s="127"/>
    </row>
    <row r="35" ht="150.0" customHeight="1">
      <c r="A35" s="121">
        <v>274.0</v>
      </c>
      <c r="B35" s="105" t="str">
        <f>VLOOKUP($A35, 'Characters Database'!$A$2:$E68, 4, FALSE)</f>
        <v/>
      </c>
      <c r="C35" s="106" t="str">
        <f>VLOOKUP($A35, 'Characters Database'!$A$2:$E68, 5, FALSE)</f>
        <v>Shogun of Wano
Kozuki Momonosuke</v>
      </c>
      <c r="D35" s="122" t="s">
        <v>1129</v>
      </c>
      <c r="E35" s="108" t="str">
        <f t="shared" si="1"/>
        <v/>
      </c>
      <c r="F35" s="122"/>
      <c r="G35" s="108" t="str">
        <f t="shared" ref="G35:G41" si="8">IF(N35 &lt;&gt; "-", IMAGE(N35), )</f>
        <v/>
      </c>
      <c r="H35" s="111"/>
      <c r="I35" s="108" t="str">
        <f t="shared" ref="I35:I41" si="9">IF(O35 &lt;&gt; "-", IMAGE(O35), )</f>
        <v/>
      </c>
      <c r="J35" s="111"/>
      <c r="K35" s="108" t="str">
        <f t="shared" ref="K35:K41" si="10">IF(P35 &lt;&gt; "-", IMAGE(P35), )</f>
        <v/>
      </c>
      <c r="L35" s="123"/>
      <c r="M35" s="124" t="s">
        <v>1131</v>
      </c>
      <c r="N35" s="126" t="s">
        <v>972</v>
      </c>
      <c r="O35" s="126" t="s">
        <v>972</v>
      </c>
      <c r="P35" s="128" t="s">
        <v>972</v>
      </c>
      <c r="Q35" s="127"/>
    </row>
    <row r="36" ht="150.0" customHeight="1">
      <c r="A36" s="121">
        <v>271.0</v>
      </c>
      <c r="B36" s="105" t="str">
        <f>VLOOKUP($A36, 'Characters Database'!$A$2:$E68, 4, FALSE)</f>
        <v/>
      </c>
      <c r="C36" s="106" t="str">
        <f>VLOOKUP($A36, 'Characters Database'!$A$2:$E68, 5, FALSE)</f>
        <v>Raid on Onigashima
Franky</v>
      </c>
      <c r="D36" s="122" t="s">
        <v>1132</v>
      </c>
      <c r="E36" s="108" t="str">
        <f t="shared" si="1"/>
        <v/>
      </c>
      <c r="F36" s="129"/>
      <c r="G36" s="108" t="str">
        <f t="shared" si="8"/>
        <v/>
      </c>
      <c r="H36" s="111"/>
      <c r="I36" s="108" t="str">
        <f t="shared" si="9"/>
        <v/>
      </c>
      <c r="J36" s="111"/>
      <c r="K36" s="108" t="str">
        <f t="shared" si="10"/>
        <v/>
      </c>
      <c r="L36" s="123"/>
      <c r="M36" s="124" t="s">
        <v>1133</v>
      </c>
      <c r="N36" s="128" t="s">
        <v>972</v>
      </c>
      <c r="O36" s="128" t="s">
        <v>972</v>
      </c>
      <c r="P36" s="128" t="s">
        <v>972</v>
      </c>
      <c r="Q36" s="127"/>
    </row>
    <row r="37" ht="150.0" customHeight="1">
      <c r="A37" s="121">
        <v>270.0</v>
      </c>
      <c r="B37" s="105" t="str">
        <f>VLOOKUP($A37, 'Characters Database'!$A$2:$E68, 4, FALSE)</f>
        <v/>
      </c>
      <c r="C37" s="106" t="str">
        <f>VLOOKUP($A37, 'Characters Database'!$A$2:$E68, 5, FALSE)</f>
        <v>Raid on Onigashima
Tony Tony Chopper</v>
      </c>
      <c r="D37" s="122" t="s">
        <v>1134</v>
      </c>
      <c r="E37" s="108" t="str">
        <f t="shared" si="1"/>
        <v/>
      </c>
      <c r="F37" s="122"/>
      <c r="G37" s="108" t="str">
        <f t="shared" si="8"/>
        <v/>
      </c>
      <c r="H37" s="111"/>
      <c r="I37" s="108" t="str">
        <f t="shared" si="9"/>
        <v/>
      </c>
      <c r="J37" s="111"/>
      <c r="K37" s="108" t="str">
        <f t="shared" si="10"/>
        <v/>
      </c>
      <c r="L37" s="123"/>
      <c r="M37" s="124" t="s">
        <v>1135</v>
      </c>
      <c r="N37" s="126" t="s">
        <v>972</v>
      </c>
      <c r="O37" s="126" t="s">
        <v>972</v>
      </c>
      <c r="P37" s="128" t="s">
        <v>972</v>
      </c>
      <c r="Q37" s="127"/>
    </row>
    <row r="38" ht="150.0" customHeight="1">
      <c r="A38" s="121">
        <v>263.0</v>
      </c>
      <c r="B38" s="105" t="str">
        <f>VLOOKUP($A38, 'Characters Database'!$A$2:$E68, 4, FALSE)</f>
        <v/>
      </c>
      <c r="C38" s="106" t="str">
        <f>VLOOKUP($A38, 'Characters Database'!$A$2:$E68, 5, FALSE)</f>
        <v>Lunarian
Alber</v>
      </c>
      <c r="D38" s="122" t="s">
        <v>1136</v>
      </c>
      <c r="E38" s="108" t="str">
        <f t="shared" si="1"/>
        <v/>
      </c>
      <c r="F38" s="122"/>
      <c r="G38" s="108" t="str">
        <f t="shared" si="8"/>
        <v/>
      </c>
      <c r="H38" s="111"/>
      <c r="I38" s="108" t="str">
        <f t="shared" si="9"/>
        <v/>
      </c>
      <c r="J38" s="111"/>
      <c r="K38" s="108" t="str">
        <f t="shared" si="10"/>
        <v/>
      </c>
      <c r="L38" s="123"/>
      <c r="M38" s="124" t="s">
        <v>1137</v>
      </c>
      <c r="N38" s="126" t="s">
        <v>972</v>
      </c>
      <c r="O38" s="126" t="s">
        <v>972</v>
      </c>
      <c r="P38" s="128" t="s">
        <v>972</v>
      </c>
      <c r="Q38" s="127"/>
    </row>
    <row r="39" ht="150.0" customHeight="1">
      <c r="A39" s="121">
        <v>261.0</v>
      </c>
      <c r="B39" s="105" t="str">
        <f>VLOOKUP($A39, 'Characters Database'!$A$2:$E68, 4, FALSE)</f>
        <v/>
      </c>
      <c r="C39" s="106" t="str">
        <f>VLOOKUP($A39, 'Characters Database'!$A$2:$E68, 5, FALSE)</f>
        <v>Raid on Onigashima
Sanji</v>
      </c>
      <c r="D39" s="122" t="s">
        <v>1134</v>
      </c>
      <c r="E39" s="108" t="str">
        <f t="shared" si="1"/>
        <v/>
      </c>
      <c r="F39" s="122"/>
      <c r="G39" s="108" t="str">
        <f t="shared" si="8"/>
        <v/>
      </c>
      <c r="H39" s="111"/>
      <c r="I39" s="108" t="str">
        <f t="shared" si="9"/>
        <v/>
      </c>
      <c r="J39" s="111"/>
      <c r="K39" s="108" t="str">
        <f t="shared" si="10"/>
        <v/>
      </c>
      <c r="L39" s="123"/>
      <c r="M39" s="124" t="s">
        <v>1138</v>
      </c>
      <c r="N39" s="126" t="s">
        <v>972</v>
      </c>
      <c r="O39" s="126" t="s">
        <v>972</v>
      </c>
      <c r="P39" s="126" t="s">
        <v>972</v>
      </c>
      <c r="Q39" s="125"/>
    </row>
    <row r="40" ht="150.0" customHeight="1">
      <c r="A40" s="121">
        <v>259.0</v>
      </c>
      <c r="B40" s="105" t="str">
        <f>VLOOKUP($A40, 'Characters Database'!$A$2:$E68, 4, FALSE)</f>
        <v/>
      </c>
      <c r="C40" s="106" t="str">
        <f>VLOOKUP($A40, 'Characters Database'!$A$2:$E68, 5, FALSE)</f>
        <v>Singer of the New Genesis
Uta</v>
      </c>
      <c r="D40" s="122" t="s">
        <v>1139</v>
      </c>
      <c r="E40" s="108" t="str">
        <f t="shared" si="1"/>
        <v/>
      </c>
      <c r="F40" s="122" t="s">
        <v>1140</v>
      </c>
      <c r="G40" s="108" t="str">
        <f t="shared" si="8"/>
        <v/>
      </c>
      <c r="H40" s="111"/>
      <c r="I40" s="108" t="str">
        <f t="shared" si="9"/>
        <v/>
      </c>
      <c r="J40" s="111"/>
      <c r="K40" s="108" t="str">
        <f t="shared" si="10"/>
        <v/>
      </c>
      <c r="L40" s="123"/>
      <c r="M40" s="124" t="s">
        <v>1141</v>
      </c>
      <c r="N40" s="124" t="s">
        <v>1142</v>
      </c>
      <c r="O40" s="128" t="s">
        <v>972</v>
      </c>
      <c r="P40" s="128" t="s">
        <v>972</v>
      </c>
      <c r="Q40" s="127"/>
    </row>
    <row r="41" ht="150.0" customHeight="1">
      <c r="A41" s="121">
        <v>258.0</v>
      </c>
      <c r="B41" s="105" t="str">
        <f>VLOOKUP($A41, 'Characters Database'!$A$2:$E68, 4, FALSE)</f>
        <v/>
      </c>
      <c r="C41" s="106" t="str">
        <f>VLOOKUP($A41, 'Characters Database'!$A$2:$E68, 5, FALSE)</f>
        <v>Raid on Onigashima
Killer</v>
      </c>
      <c r="D41" s="122" t="s">
        <v>1143</v>
      </c>
      <c r="E41" s="108" t="str">
        <f t="shared" si="1"/>
        <v/>
      </c>
      <c r="F41" s="122"/>
      <c r="G41" s="108" t="str">
        <f t="shared" si="8"/>
        <v/>
      </c>
      <c r="H41" s="111"/>
      <c r="I41" s="108" t="str">
        <f t="shared" si="9"/>
        <v/>
      </c>
      <c r="J41" s="111"/>
      <c r="K41" s="108" t="str">
        <f t="shared" si="10"/>
        <v/>
      </c>
      <c r="L41" s="123"/>
      <c r="M41" s="124" t="s">
        <v>1144</v>
      </c>
      <c r="N41" s="126" t="s">
        <v>972</v>
      </c>
      <c r="O41" s="126" t="s">
        <v>972</v>
      </c>
      <c r="P41" s="126" t="s">
        <v>972</v>
      </c>
      <c r="Q41" s="125"/>
    </row>
    <row r="42" ht="150.0" customHeight="1">
      <c r="A42" s="121">
        <v>257.0</v>
      </c>
      <c r="B42" s="105" t="str">
        <f>VLOOKUP($A42, 'Characters Database'!$A$2:$E68, 4, FALSE)</f>
        <v/>
      </c>
      <c r="C42" s="106" t="str">
        <f>VLOOKUP($A42, 'Characters Database'!$A$2:$E68, 5, FALSE)</f>
        <v>Battle of Monsters on Onigashima
Kid &amp; Law</v>
      </c>
      <c r="D42" s="122" t="s">
        <v>1145</v>
      </c>
      <c r="E42" s="108" t="str">
        <f t="shared" si="1"/>
        <v/>
      </c>
      <c r="F42" s="116"/>
      <c r="G42" s="116"/>
      <c r="H42" s="111" t="s">
        <v>1146</v>
      </c>
      <c r="I42" s="108" t="str">
        <f>IF(N42 &lt;&gt; "-", IMAGE(N42), )</f>
        <v/>
      </c>
      <c r="J42" s="116"/>
      <c r="K42" s="116"/>
      <c r="L42" s="123"/>
      <c r="M42" s="124" t="s">
        <v>1147</v>
      </c>
      <c r="N42" s="124" t="s">
        <v>1148</v>
      </c>
      <c r="O42" s="130" t="s">
        <v>972</v>
      </c>
      <c r="P42" s="128" t="s">
        <v>972</v>
      </c>
      <c r="Q42" s="127"/>
    </row>
    <row r="43" ht="150.0" customHeight="1">
      <c r="A43" s="121">
        <v>252.0</v>
      </c>
      <c r="B43" s="105" t="str">
        <f>VLOOKUP($A43, 'Characters Database'!$A$2:$E68, 4, FALSE)</f>
        <v/>
      </c>
      <c r="C43" s="106" t="str">
        <f>VLOOKUP($A43, 'Characters Database'!$A$2:$E68, 5, FALSE)</f>
        <v>Raid on Onigashima
Usopp</v>
      </c>
      <c r="D43" s="122" t="s">
        <v>1134</v>
      </c>
      <c r="E43" s="108" t="str">
        <f t="shared" si="1"/>
        <v/>
      </c>
      <c r="F43" s="129"/>
      <c r="G43" s="108" t="str">
        <f t="shared" ref="G43:G67" si="11">IF(N43 &lt;&gt; "-", IMAGE(N43), )</f>
        <v/>
      </c>
      <c r="H43" s="111"/>
      <c r="I43" s="108" t="str">
        <f t="shared" ref="I43:I67" si="12">IF(O43 &lt;&gt; "-", IMAGE(O43), )</f>
        <v/>
      </c>
      <c r="J43" s="111"/>
      <c r="K43" s="108" t="str">
        <f t="shared" ref="K43:K67" si="13">IF(P43 &lt;&gt; "-", IMAGE(P43), )</f>
        <v/>
      </c>
      <c r="L43" s="123"/>
      <c r="M43" s="124" t="s">
        <v>1149</v>
      </c>
      <c r="N43" s="128" t="s">
        <v>972</v>
      </c>
      <c r="O43" s="128" t="s">
        <v>972</v>
      </c>
      <c r="P43" s="128" t="s">
        <v>972</v>
      </c>
      <c r="Q43" s="127"/>
    </row>
    <row r="44" ht="150.0" customHeight="1">
      <c r="A44" s="121">
        <v>251.0</v>
      </c>
      <c r="B44" s="105" t="str">
        <f>VLOOKUP($A44, 'Characters Database'!$A$2:$E68, 4, FALSE)</f>
        <v/>
      </c>
      <c r="C44" s="106" t="str">
        <f>VLOOKUP($A44, 'Characters Database'!$A$2:$E68, 5, FALSE)</f>
        <v>Raid on Onigashima
Nami</v>
      </c>
      <c r="D44" s="122" t="s">
        <v>1150</v>
      </c>
      <c r="E44" s="108" t="str">
        <f t="shared" si="1"/>
        <v/>
      </c>
      <c r="F44" s="129"/>
      <c r="G44" s="108" t="str">
        <f t="shared" si="11"/>
        <v/>
      </c>
      <c r="H44" s="111"/>
      <c r="I44" s="108" t="str">
        <f t="shared" si="12"/>
        <v/>
      </c>
      <c r="J44" s="111"/>
      <c r="K44" s="108" t="str">
        <f t="shared" si="13"/>
        <v/>
      </c>
      <c r="L44" s="123"/>
      <c r="M44" s="124" t="s">
        <v>1151</v>
      </c>
      <c r="N44" s="128" t="s">
        <v>972</v>
      </c>
      <c r="O44" s="128" t="s">
        <v>972</v>
      </c>
      <c r="P44" s="128" t="s">
        <v>972</v>
      </c>
      <c r="Q44" s="127"/>
    </row>
    <row r="45" ht="150.0" customHeight="1">
      <c r="A45" s="121">
        <v>249.0</v>
      </c>
      <c r="B45" s="105" t="str">
        <f>VLOOKUP($A45, 'Characters Database'!$A$2:$E68, 4, FALSE)</f>
        <v/>
      </c>
      <c r="C45" s="106" t="str">
        <f>VLOOKUP($A45, 'Characters Database'!$A$2:$E68, 5, FALSE)</f>
        <v>Raid on Onigashima
Brook</v>
      </c>
      <c r="D45" s="122" t="s">
        <v>1132</v>
      </c>
      <c r="E45" s="108" t="str">
        <f t="shared" si="1"/>
        <v/>
      </c>
      <c r="F45" s="129"/>
      <c r="G45" s="108" t="str">
        <f t="shared" si="11"/>
        <v/>
      </c>
      <c r="H45" s="111"/>
      <c r="I45" s="108" t="str">
        <f t="shared" si="12"/>
        <v/>
      </c>
      <c r="J45" s="111"/>
      <c r="K45" s="108" t="str">
        <f t="shared" si="13"/>
        <v/>
      </c>
      <c r="L45" s="123"/>
      <c r="M45" s="124" t="s">
        <v>1152</v>
      </c>
      <c r="N45" s="128" t="s">
        <v>972</v>
      </c>
      <c r="O45" s="128" t="s">
        <v>972</v>
      </c>
      <c r="P45" s="128" t="s">
        <v>972</v>
      </c>
      <c r="Q45" s="127"/>
    </row>
    <row r="46" ht="150.0" customHeight="1">
      <c r="A46" s="121">
        <v>248.0</v>
      </c>
      <c r="B46" s="105" t="str">
        <f>VLOOKUP($A46, 'Characters Database'!$A$2:$E68, 4, FALSE)</f>
        <v/>
      </c>
      <c r="C46" s="106" t="str">
        <f>VLOOKUP($A46, 'Characters Database'!$A$2:$E68, 5, FALSE)</f>
        <v>Raid on Onigashima
Nico Robin</v>
      </c>
      <c r="D46" s="122" t="s">
        <v>1132</v>
      </c>
      <c r="E46" s="108" t="str">
        <f t="shared" si="1"/>
        <v/>
      </c>
      <c r="F46" s="129"/>
      <c r="G46" s="108" t="str">
        <f t="shared" si="11"/>
        <v/>
      </c>
      <c r="H46" s="111"/>
      <c r="I46" s="108" t="str">
        <f t="shared" si="12"/>
        <v/>
      </c>
      <c r="J46" s="111"/>
      <c r="K46" s="108" t="str">
        <f t="shared" si="13"/>
        <v/>
      </c>
      <c r="L46" s="123"/>
      <c r="M46" s="124" t="s">
        <v>1153</v>
      </c>
      <c r="N46" s="128" t="s">
        <v>972</v>
      </c>
      <c r="O46" s="128" t="s">
        <v>972</v>
      </c>
      <c r="P46" s="128" t="s">
        <v>972</v>
      </c>
      <c r="Q46" s="127"/>
    </row>
    <row r="47" ht="150.0" customHeight="1">
      <c r="A47" s="121">
        <v>238.0</v>
      </c>
      <c r="B47" s="105" t="str">
        <f>VLOOKUP($A47, 'Characters Database'!$A$2:$E68, 4, FALSE)</f>
        <v/>
      </c>
      <c r="C47" s="106" t="str">
        <f>VLOOKUP($A47, 'Characters Database'!$A$2:$E68, 5, FALSE)</f>
        <v>First Act as a Married Couple
Charlotte Pudding</v>
      </c>
      <c r="D47" s="122" t="s">
        <v>1154</v>
      </c>
      <c r="E47" s="108" t="str">
        <f t="shared" si="1"/>
        <v/>
      </c>
      <c r="F47" s="122"/>
      <c r="G47" s="108" t="str">
        <f t="shared" si="11"/>
        <v/>
      </c>
      <c r="H47" s="111"/>
      <c r="I47" s="108" t="str">
        <f t="shared" si="12"/>
        <v/>
      </c>
      <c r="J47" s="111"/>
      <c r="K47" s="108" t="str">
        <f t="shared" si="13"/>
        <v/>
      </c>
      <c r="L47" s="123"/>
      <c r="M47" s="124" t="s">
        <v>1155</v>
      </c>
      <c r="N47" s="126" t="s">
        <v>972</v>
      </c>
      <c r="O47" s="126" t="s">
        <v>972</v>
      </c>
      <c r="P47" s="128" t="s">
        <v>972</v>
      </c>
      <c r="Q47" s="127"/>
    </row>
    <row r="48" ht="150.0" customHeight="1">
      <c r="A48" s="121">
        <v>236.0</v>
      </c>
      <c r="B48" s="105" t="str">
        <f>VLOOKUP($A48, 'Characters Database'!$A$2:$E68, 4, FALSE)</f>
        <v/>
      </c>
      <c r="C48" s="106" t="str">
        <f>VLOOKUP($A48, 'Characters Database'!$A$2:$E68, 5, FALSE)</f>
        <v>Raid on Onigashima
Jinbe</v>
      </c>
      <c r="D48" s="122" t="s">
        <v>1156</v>
      </c>
      <c r="E48" s="108" t="str">
        <f t="shared" si="1"/>
        <v/>
      </c>
      <c r="F48" s="129"/>
      <c r="G48" s="108" t="str">
        <f t="shared" si="11"/>
        <v/>
      </c>
      <c r="H48" s="111"/>
      <c r="I48" s="108" t="str">
        <f t="shared" si="12"/>
        <v/>
      </c>
      <c r="J48" s="111"/>
      <c r="K48" s="108" t="str">
        <f t="shared" si="13"/>
        <v/>
      </c>
      <c r="L48" s="123"/>
      <c r="M48" s="124" t="s">
        <v>1157</v>
      </c>
      <c r="N48" s="128" t="s">
        <v>972</v>
      </c>
      <c r="O48" s="128" t="s">
        <v>972</v>
      </c>
      <c r="P48" s="128" t="s">
        <v>972</v>
      </c>
      <c r="Q48" s="127"/>
    </row>
    <row r="49" ht="150.0" customHeight="1">
      <c r="A49" s="121">
        <v>235.0</v>
      </c>
      <c r="B49" s="105" t="str">
        <f>VLOOKUP($A49, 'Characters Database'!$A$2:$E68, 4, FALSE)</f>
        <v/>
      </c>
      <c r="C49" s="106" t="str">
        <f>VLOOKUP($A49, 'Characters Database'!$A$2:$E68, 5, FALSE)</f>
        <v>Raid on Onigashima
Roronoa Zoro</v>
      </c>
      <c r="D49" s="122" t="s">
        <v>1158</v>
      </c>
      <c r="E49" s="108" t="str">
        <f t="shared" si="1"/>
        <v/>
      </c>
      <c r="F49" s="122" t="s">
        <v>1159</v>
      </c>
      <c r="G49" s="108" t="str">
        <f t="shared" si="11"/>
        <v/>
      </c>
      <c r="H49" s="111"/>
      <c r="I49" s="108" t="str">
        <f t="shared" si="12"/>
        <v/>
      </c>
      <c r="J49" s="111"/>
      <c r="K49" s="108" t="str">
        <f t="shared" si="13"/>
        <v/>
      </c>
      <c r="L49" s="123"/>
      <c r="M49" s="124" t="s">
        <v>1160</v>
      </c>
      <c r="N49" s="124" t="s">
        <v>1161</v>
      </c>
      <c r="O49" s="128" t="s">
        <v>972</v>
      </c>
      <c r="P49" s="128" t="s">
        <v>972</v>
      </c>
      <c r="Q49" s="127"/>
    </row>
    <row r="50" ht="150.0" customHeight="1">
      <c r="A50" s="121">
        <v>234.0</v>
      </c>
      <c r="B50" s="105" t="str">
        <f>VLOOKUP($A50, 'Characters Database'!$A$2:$E68, 4, FALSE)</f>
        <v/>
      </c>
      <c r="C50" s="106" t="str">
        <f>VLOOKUP($A50, 'Characters Database'!$A$2:$E68, 5, FALSE)</f>
        <v>Battle of Monsters on Onigashima
Kaido</v>
      </c>
      <c r="D50" s="122" t="s">
        <v>1162</v>
      </c>
      <c r="E50" s="108" t="str">
        <f t="shared" si="1"/>
        <v/>
      </c>
      <c r="F50" s="122" t="s">
        <v>1146</v>
      </c>
      <c r="G50" s="108" t="str">
        <f t="shared" si="11"/>
        <v/>
      </c>
      <c r="H50" s="111"/>
      <c r="I50" s="108" t="str">
        <f t="shared" si="12"/>
        <v/>
      </c>
      <c r="J50" s="111"/>
      <c r="K50" s="108" t="str">
        <f t="shared" si="13"/>
        <v/>
      </c>
      <c r="L50" s="123"/>
      <c r="M50" s="124" t="s">
        <v>1163</v>
      </c>
      <c r="N50" s="124" t="s">
        <v>1164</v>
      </c>
      <c r="O50" s="128" t="s">
        <v>972</v>
      </c>
      <c r="P50" s="128" t="s">
        <v>972</v>
      </c>
      <c r="Q50" s="127"/>
    </row>
    <row r="51" ht="150.0" customHeight="1">
      <c r="A51" s="121">
        <v>233.0</v>
      </c>
      <c r="B51" s="105" t="str">
        <f>VLOOKUP($A51, 'Characters Database'!$A$2:$E68, 4, FALSE)</f>
        <v/>
      </c>
      <c r="C51" s="106" t="str">
        <f>VLOOKUP($A51, 'Characters Database'!$A$2:$E68, 5, FALSE)</f>
        <v>Battle of Monsters on Onigashima
Olin the Oiran</v>
      </c>
      <c r="D51" s="122" t="s">
        <v>1165</v>
      </c>
      <c r="E51" s="108" t="str">
        <f t="shared" si="1"/>
        <v/>
      </c>
      <c r="F51" s="122"/>
      <c r="G51" s="108" t="str">
        <f t="shared" si="11"/>
        <v/>
      </c>
      <c r="H51" s="111"/>
      <c r="I51" s="108" t="str">
        <f t="shared" si="12"/>
        <v/>
      </c>
      <c r="J51" s="111"/>
      <c r="K51" s="108" t="str">
        <f t="shared" si="13"/>
        <v/>
      </c>
      <c r="L51" s="123"/>
      <c r="M51" s="124" t="s">
        <v>1166</v>
      </c>
      <c r="N51" s="126" t="s">
        <v>972</v>
      </c>
      <c r="O51" s="126" t="s">
        <v>972</v>
      </c>
      <c r="P51" s="128" t="s">
        <v>972</v>
      </c>
      <c r="Q51" s="127"/>
    </row>
    <row r="52" ht="150.0" customHeight="1">
      <c r="A52" s="121">
        <v>215.0</v>
      </c>
      <c r="B52" s="105" t="str">
        <f>VLOOKUP($A52, 'Characters Database'!$A$2:$E68, 4, FALSE)</f>
        <v/>
      </c>
      <c r="C52" s="106" t="str">
        <f>VLOOKUP($A52, 'Characters Database'!$A$2:$E68, 5, FALSE)</f>
        <v>FILM Z
Zephyr</v>
      </c>
      <c r="D52" s="122" t="s">
        <v>1033</v>
      </c>
      <c r="E52" s="108" t="str">
        <f t="shared" si="1"/>
        <v/>
      </c>
      <c r="F52" s="131" t="s">
        <v>1034</v>
      </c>
      <c r="G52" s="108" t="str">
        <f t="shared" si="11"/>
        <v/>
      </c>
      <c r="H52" s="111" t="s">
        <v>1035</v>
      </c>
      <c r="I52" s="108" t="str">
        <f t="shared" si="12"/>
        <v/>
      </c>
      <c r="J52" s="111" t="s">
        <v>1036</v>
      </c>
      <c r="K52" s="108" t="str">
        <f t="shared" si="13"/>
        <v/>
      </c>
      <c r="L52" s="123"/>
      <c r="M52" s="124" t="s">
        <v>1167</v>
      </c>
      <c r="N52" s="124" t="s">
        <v>1168</v>
      </c>
      <c r="O52" s="124" t="s">
        <v>1169</v>
      </c>
      <c r="P52" s="124" t="s">
        <v>1170</v>
      </c>
      <c r="Q52" s="127"/>
    </row>
    <row r="53" ht="150.0" customHeight="1">
      <c r="A53" s="121">
        <v>211.0</v>
      </c>
      <c r="B53" s="105" t="str">
        <f>VLOOKUP($A53, 'Characters Database'!$A$2:$E68, 4, FALSE)</f>
        <v/>
      </c>
      <c r="C53" s="106" t="str">
        <f>VLOOKUP($A53, 'Characters Database'!$A$2:$E68, 5, FALSE)</f>
        <v>Land of Wano
Marco</v>
      </c>
      <c r="D53" s="122" t="s">
        <v>1171</v>
      </c>
      <c r="E53" s="108" t="str">
        <f t="shared" si="1"/>
        <v/>
      </c>
      <c r="F53" s="131"/>
      <c r="G53" s="108" t="str">
        <f t="shared" si="11"/>
        <v/>
      </c>
      <c r="H53" s="111"/>
      <c r="I53" s="108" t="str">
        <f t="shared" si="12"/>
        <v/>
      </c>
      <c r="J53" s="111"/>
      <c r="K53" s="108" t="str">
        <f t="shared" si="13"/>
        <v/>
      </c>
      <c r="L53" s="123"/>
      <c r="M53" s="124" t="s">
        <v>1172</v>
      </c>
      <c r="N53" s="128" t="s">
        <v>972</v>
      </c>
      <c r="O53" s="128" t="s">
        <v>972</v>
      </c>
      <c r="P53" s="128" t="s">
        <v>972</v>
      </c>
      <c r="Q53" s="127"/>
    </row>
    <row r="54" ht="150.0" customHeight="1">
      <c r="A54" s="121">
        <v>209.0</v>
      </c>
      <c r="B54" s="105" t="str">
        <f>VLOOKUP($A54, 'Characters Database'!$A$2:$E68, 4, FALSE)</f>
        <v/>
      </c>
      <c r="C54" s="106" t="str">
        <f>VLOOKUP($A54, 'Characters Database'!$A$2:$E68, 5, FALSE)</f>
        <v>Animal Kingdom Pirates / Tobi Roppo
Ulti</v>
      </c>
      <c r="D54" s="122" t="s">
        <v>1136</v>
      </c>
      <c r="E54" s="108" t="str">
        <f t="shared" si="1"/>
        <v/>
      </c>
      <c r="F54" s="131"/>
      <c r="G54" s="108" t="str">
        <f t="shared" si="11"/>
        <v/>
      </c>
      <c r="H54" s="111"/>
      <c r="I54" s="108" t="str">
        <f t="shared" si="12"/>
        <v/>
      </c>
      <c r="J54" s="111"/>
      <c r="K54" s="108" t="str">
        <f t="shared" si="13"/>
        <v/>
      </c>
      <c r="L54" s="123"/>
      <c r="M54" s="124" t="s">
        <v>1173</v>
      </c>
      <c r="N54" s="128" t="s">
        <v>972</v>
      </c>
      <c r="O54" s="128" t="s">
        <v>972</v>
      </c>
      <c r="P54" s="128" t="s">
        <v>972</v>
      </c>
      <c r="Q54" s="127"/>
    </row>
    <row r="55" ht="150.0" customHeight="1">
      <c r="A55" s="121">
        <v>194.0</v>
      </c>
      <c r="B55" s="105" t="str">
        <f>VLOOKUP($A55, 'Characters Database'!$A$2:$E68, 4, FALSE)</f>
        <v/>
      </c>
      <c r="C55" s="106" t="str">
        <f>VLOOKUP($A55, 'Characters Database'!$A$2:$E68, 5, FALSE)</f>
        <v>Kaido`s Son
Yamato</v>
      </c>
      <c r="D55" s="122" t="s">
        <v>1165</v>
      </c>
      <c r="E55" s="108" t="str">
        <f t="shared" si="1"/>
        <v/>
      </c>
      <c r="F55" s="129"/>
      <c r="G55" s="108" t="str">
        <f t="shared" si="11"/>
        <v/>
      </c>
      <c r="H55" s="111"/>
      <c r="I55" s="108" t="str">
        <f t="shared" si="12"/>
        <v/>
      </c>
      <c r="J55" s="111"/>
      <c r="K55" s="108" t="str">
        <f t="shared" si="13"/>
        <v/>
      </c>
      <c r="L55" s="123"/>
      <c r="M55" s="124" t="s">
        <v>1174</v>
      </c>
      <c r="N55" s="128" t="s">
        <v>972</v>
      </c>
      <c r="O55" s="128" t="s">
        <v>972</v>
      </c>
      <c r="P55" s="128" t="s">
        <v>972</v>
      </c>
      <c r="Q55" s="127"/>
    </row>
    <row r="56" ht="150.0" customHeight="1">
      <c r="A56" s="121">
        <v>193.0</v>
      </c>
      <c r="B56" s="105" t="str">
        <f>VLOOKUP($A56, 'Characters Database'!$A$2:$E68, 4, FALSE)</f>
        <v/>
      </c>
      <c r="C56" s="106" t="str">
        <f>VLOOKUP($A56, 'Characters Database'!$A$2:$E68, 5, FALSE)</f>
        <v>Former Whitebeard Pirates / 16th Division Commander
Izo</v>
      </c>
      <c r="D56" s="122" t="s">
        <v>1127</v>
      </c>
      <c r="E56" s="108" t="str">
        <f t="shared" si="1"/>
        <v/>
      </c>
      <c r="F56" s="129"/>
      <c r="G56" s="108" t="str">
        <f t="shared" si="11"/>
        <v/>
      </c>
      <c r="H56" s="111"/>
      <c r="I56" s="108" t="str">
        <f t="shared" si="12"/>
        <v/>
      </c>
      <c r="J56" s="111"/>
      <c r="K56" s="108" t="str">
        <f t="shared" si="13"/>
        <v/>
      </c>
      <c r="L56" s="123"/>
      <c r="M56" s="124" t="s">
        <v>1175</v>
      </c>
      <c r="N56" s="128" t="s">
        <v>972</v>
      </c>
      <c r="O56" s="128" t="s">
        <v>972</v>
      </c>
      <c r="P56" s="128" t="s">
        <v>972</v>
      </c>
      <c r="Q56" s="127"/>
    </row>
    <row r="57" ht="150.0" customHeight="1">
      <c r="A57" s="121">
        <v>191.0</v>
      </c>
      <c r="B57" s="105" t="str">
        <f>VLOOKUP($A57, 'Characters Database'!$A$2:$E68, 4, FALSE)</f>
        <v/>
      </c>
      <c r="C57" s="106" t="str">
        <f>VLOOKUP($A57, 'Characters Database'!$A$2:$E68, 5, FALSE)</f>
        <v>Roger Pirates / First Mate
Silvers Rayleigh</v>
      </c>
      <c r="D57" s="122" t="s">
        <v>1176</v>
      </c>
      <c r="E57" s="108" t="str">
        <f t="shared" si="1"/>
        <v/>
      </c>
      <c r="F57" s="129"/>
      <c r="G57" s="108" t="str">
        <f t="shared" si="11"/>
        <v/>
      </c>
      <c r="H57" s="111"/>
      <c r="I57" s="108" t="str">
        <f t="shared" si="12"/>
        <v/>
      </c>
      <c r="J57" s="111"/>
      <c r="K57" s="108" t="str">
        <f t="shared" si="13"/>
        <v/>
      </c>
      <c r="L57" s="123"/>
      <c r="M57" s="124" t="s">
        <v>1177</v>
      </c>
      <c r="N57" s="128" t="s">
        <v>972</v>
      </c>
      <c r="O57" s="128" t="s">
        <v>972</v>
      </c>
      <c r="P57" s="128" t="s">
        <v>972</v>
      </c>
      <c r="Q57" s="127"/>
    </row>
    <row r="58" ht="150.0" customHeight="1">
      <c r="A58" s="121">
        <v>178.0</v>
      </c>
      <c r="B58" s="105" t="str">
        <f>VLOOKUP($A58, 'Characters Database'!$A$2:$E68, 4, FALSE)</f>
        <v/>
      </c>
      <c r="C58" s="106" t="str">
        <f>VLOOKUP($A58, 'Characters Database'!$A$2:$E68, 5, FALSE)</f>
        <v>Navy HQ / Fleet Admiral Akainu
[Sakazuki]</v>
      </c>
      <c r="D58" s="122" t="s">
        <v>1178</v>
      </c>
      <c r="E58" s="108" t="str">
        <f t="shared" si="1"/>
        <v/>
      </c>
      <c r="F58" s="122" t="s">
        <v>1179</v>
      </c>
      <c r="G58" s="108" t="str">
        <f t="shared" si="11"/>
        <v/>
      </c>
      <c r="H58" s="111" t="s">
        <v>1180</v>
      </c>
      <c r="I58" s="108" t="str">
        <f t="shared" si="12"/>
        <v/>
      </c>
      <c r="J58" s="111"/>
      <c r="K58" s="108" t="str">
        <f t="shared" si="13"/>
        <v/>
      </c>
      <c r="L58" s="123"/>
      <c r="M58" s="124" t="s">
        <v>1181</v>
      </c>
      <c r="N58" s="124" t="s">
        <v>1182</v>
      </c>
      <c r="O58" s="124" t="s">
        <v>1183</v>
      </c>
      <c r="P58" s="128" t="s">
        <v>972</v>
      </c>
      <c r="Q58" s="127"/>
    </row>
    <row r="59" ht="150.0" customHeight="1">
      <c r="A59" s="121">
        <v>168.0</v>
      </c>
      <c r="B59" s="105" t="str">
        <f>VLOOKUP($A59, 'Characters Database'!$A$2:$E68, 4, FALSE)</f>
        <v/>
      </c>
      <c r="C59" s="106" t="str">
        <f>VLOOKUP($A59, 'Characters Database'!$A$2:$E68, 5, FALSE)</f>
        <v>Raid on Onigashima
Monkey D. Luffy</v>
      </c>
      <c r="D59" s="122" t="s">
        <v>1150</v>
      </c>
      <c r="E59" s="108" t="str">
        <f t="shared" si="1"/>
        <v/>
      </c>
      <c r="F59" s="129"/>
      <c r="G59" s="108" t="str">
        <f t="shared" si="11"/>
        <v/>
      </c>
      <c r="H59" s="111"/>
      <c r="I59" s="108" t="str">
        <f t="shared" si="12"/>
        <v/>
      </c>
      <c r="J59" s="111"/>
      <c r="K59" s="108" t="str">
        <f t="shared" si="13"/>
        <v/>
      </c>
      <c r="L59" s="123"/>
      <c r="M59" s="124" t="s">
        <v>1184</v>
      </c>
      <c r="N59" s="128" t="s">
        <v>972</v>
      </c>
      <c r="O59" s="128" t="s">
        <v>972</v>
      </c>
      <c r="P59" s="128" t="s">
        <v>972</v>
      </c>
      <c r="Q59" s="127"/>
    </row>
    <row r="60" ht="150.0" customHeight="1">
      <c r="A60" s="121">
        <v>159.0</v>
      </c>
      <c r="B60" s="105" t="str">
        <f>VLOOKUP($A60, 'Characters Database'!$A$2:$E68, 4, FALSE)</f>
        <v/>
      </c>
      <c r="C60" s="106" t="str">
        <f>VLOOKUP($A60, 'Characters Database'!$A$2:$E68, 5, FALSE)</f>
        <v>Minks
Carrot</v>
      </c>
      <c r="D60" s="122" t="s">
        <v>1129</v>
      </c>
      <c r="E60" s="108" t="str">
        <f t="shared" si="1"/>
        <v/>
      </c>
      <c r="F60" s="122"/>
      <c r="G60" s="108" t="str">
        <f t="shared" si="11"/>
        <v/>
      </c>
      <c r="H60" s="111"/>
      <c r="I60" s="108" t="str">
        <f t="shared" si="12"/>
        <v/>
      </c>
      <c r="J60" s="111"/>
      <c r="K60" s="108" t="str">
        <f t="shared" si="13"/>
        <v/>
      </c>
      <c r="L60" s="123"/>
      <c r="M60" s="124" t="s">
        <v>1185</v>
      </c>
      <c r="N60" s="126" t="s">
        <v>972</v>
      </c>
      <c r="O60" s="126" t="s">
        <v>972</v>
      </c>
      <c r="P60" s="128" t="s">
        <v>972</v>
      </c>
      <c r="Q60" s="127"/>
    </row>
    <row r="61" ht="150.0" customHeight="1">
      <c r="A61" s="121">
        <v>157.0</v>
      </c>
      <c r="B61" s="105" t="str">
        <f>VLOOKUP($A61, 'Characters Database'!$A$2:$E68, 4, FALSE)</f>
        <v/>
      </c>
      <c r="C61" s="106" t="str">
        <f>VLOOKUP($A61, 'Characters Database'!$A$2:$E68, 5, FALSE)</f>
        <v>Hero of the Navy
Monkey D. Garb</v>
      </c>
      <c r="D61" s="122" t="s">
        <v>1176</v>
      </c>
      <c r="E61" s="108" t="str">
        <f t="shared" si="1"/>
        <v/>
      </c>
      <c r="F61" s="129"/>
      <c r="G61" s="108" t="str">
        <f t="shared" si="11"/>
        <v/>
      </c>
      <c r="H61" s="111"/>
      <c r="I61" s="108" t="str">
        <f t="shared" si="12"/>
        <v/>
      </c>
      <c r="J61" s="111"/>
      <c r="K61" s="108" t="str">
        <f t="shared" si="13"/>
        <v/>
      </c>
      <c r="L61" s="123"/>
      <c r="M61" s="124" t="s">
        <v>1186</v>
      </c>
      <c r="N61" s="128" t="s">
        <v>972</v>
      </c>
      <c r="O61" s="128" t="s">
        <v>972</v>
      </c>
      <c r="P61" s="128" t="s">
        <v>972</v>
      </c>
      <c r="Q61" s="127"/>
    </row>
    <row r="62" ht="150.0" customHeight="1">
      <c r="A62" s="121">
        <v>154.0</v>
      </c>
      <c r="B62" s="105" t="str">
        <f>VLOOKUP($A62, 'Characters Database'!$A$2:$E68, 4, FALSE)</f>
        <v/>
      </c>
      <c r="C62" s="106" t="str">
        <f>VLOOKUP($A62, 'Characters Database'!$A$2:$E68, 5, FALSE)</f>
        <v>King of the Pirates
Gol D. Roger</v>
      </c>
      <c r="D62" s="122" t="s">
        <v>1176</v>
      </c>
      <c r="E62" s="108" t="str">
        <f t="shared" si="1"/>
        <v/>
      </c>
      <c r="F62" s="129"/>
      <c r="G62" s="108" t="str">
        <f t="shared" si="11"/>
        <v/>
      </c>
      <c r="H62" s="111"/>
      <c r="I62" s="108" t="str">
        <f t="shared" si="12"/>
        <v/>
      </c>
      <c r="J62" s="111"/>
      <c r="K62" s="108" t="str">
        <f t="shared" si="13"/>
        <v/>
      </c>
      <c r="L62" s="123"/>
      <c r="M62" s="124" t="s">
        <v>1187</v>
      </c>
      <c r="N62" s="128" t="s">
        <v>972</v>
      </c>
      <c r="O62" s="128" t="s">
        <v>972</v>
      </c>
      <c r="P62" s="128" t="s">
        <v>972</v>
      </c>
      <c r="Q62" s="127"/>
    </row>
    <row r="63" ht="150.0" customHeight="1">
      <c r="A63" s="121">
        <v>150.0</v>
      </c>
      <c r="B63" s="105" t="str">
        <f>VLOOKUP($A63, 'Characters Database'!$A$2:$E68, 4, FALSE)</f>
        <v/>
      </c>
      <c r="C63" s="106" t="str">
        <f>VLOOKUP($A63, 'Characters Database'!$A$2:$E68, 5, FALSE)</f>
        <v>Daimyo of Kuri
Kozuki Oden</v>
      </c>
      <c r="D63" s="122" t="s">
        <v>1188</v>
      </c>
      <c r="E63" s="108" t="str">
        <f t="shared" si="1"/>
        <v/>
      </c>
      <c r="F63" s="129" t="s">
        <v>1189</v>
      </c>
      <c r="G63" s="108" t="str">
        <f t="shared" si="11"/>
        <v/>
      </c>
      <c r="H63" s="111"/>
      <c r="I63" s="108" t="str">
        <f t="shared" si="12"/>
        <v/>
      </c>
      <c r="J63" s="111"/>
      <c r="K63" s="108" t="str">
        <f t="shared" si="13"/>
        <v/>
      </c>
      <c r="L63" s="123"/>
      <c r="M63" s="124" t="s">
        <v>1190</v>
      </c>
      <c r="N63" s="124" t="s">
        <v>1191</v>
      </c>
      <c r="O63" s="128" t="s">
        <v>972</v>
      </c>
      <c r="P63" s="128" t="s">
        <v>972</v>
      </c>
      <c r="Q63" s="127"/>
    </row>
    <row r="64" ht="150.0" customHeight="1">
      <c r="A64" s="121">
        <v>134.0</v>
      </c>
      <c r="B64" s="105" t="str">
        <f>VLOOKUP($A64, 'Characters Database'!$A$2:$E68, 4, FALSE)</f>
        <v/>
      </c>
      <c r="C64" s="106" t="str">
        <f>VLOOKUP($A64, 'Characters Database'!$A$2:$E68, 5, FALSE)</f>
        <v>Hunger Pangs
Charlotte Linlin</v>
      </c>
      <c r="D64" s="122" t="s">
        <v>1154</v>
      </c>
      <c r="E64" s="108" t="str">
        <f t="shared" si="1"/>
        <v/>
      </c>
      <c r="F64" s="129"/>
      <c r="G64" s="108" t="str">
        <f t="shared" si="11"/>
        <v/>
      </c>
      <c r="H64" s="111"/>
      <c r="I64" s="108" t="str">
        <f t="shared" si="12"/>
        <v/>
      </c>
      <c r="J64" s="111"/>
      <c r="K64" s="108" t="str">
        <f t="shared" si="13"/>
        <v/>
      </c>
      <c r="L64" s="123"/>
      <c r="M64" s="124" t="s">
        <v>1192</v>
      </c>
      <c r="N64" s="128" t="s">
        <v>972</v>
      </c>
      <c r="O64" s="128" t="s">
        <v>972</v>
      </c>
      <c r="P64" s="128" t="s">
        <v>972</v>
      </c>
      <c r="Q64" s="127"/>
    </row>
    <row r="65" ht="150.0" customHeight="1">
      <c r="A65" s="121">
        <v>103.0</v>
      </c>
      <c r="B65" s="105" t="str">
        <f>VLOOKUP($A65, 'Characters Database'!$A$2:$E68, 4, FALSE)</f>
        <v/>
      </c>
      <c r="C65" s="106" t="str">
        <f>VLOOKUP($A65, 'Characters Database'!$A$2:$E68, 5, FALSE)</f>
        <v>The Seven Warlords of the Sea
Marshall D. Teach</v>
      </c>
      <c r="D65" s="122" t="s">
        <v>1171</v>
      </c>
      <c r="E65" s="108" t="str">
        <f t="shared" si="1"/>
        <v/>
      </c>
      <c r="F65" s="129"/>
      <c r="G65" s="108" t="str">
        <f t="shared" si="11"/>
        <v/>
      </c>
      <c r="H65" s="111"/>
      <c r="I65" s="108" t="str">
        <f t="shared" si="12"/>
        <v/>
      </c>
      <c r="J65" s="111"/>
      <c r="K65" s="108" t="str">
        <f t="shared" si="13"/>
        <v/>
      </c>
      <c r="L65" s="123"/>
      <c r="M65" s="124" t="s">
        <v>1193</v>
      </c>
      <c r="N65" s="128" t="s">
        <v>972</v>
      </c>
      <c r="O65" s="128" t="s">
        <v>972</v>
      </c>
      <c r="P65" s="128" t="s">
        <v>972</v>
      </c>
      <c r="Q65" s="127"/>
    </row>
    <row r="66" ht="150.0" customHeight="1">
      <c r="A66" s="121">
        <v>100.0</v>
      </c>
      <c r="B66" s="105" t="str">
        <f>VLOOKUP($A66, 'Characters Database'!$A$2:$E68, 4, FALSE)</f>
        <v/>
      </c>
      <c r="C66" s="106" t="str">
        <f>VLOOKUP($A66, 'Characters Database'!$A$2:$E68, 5, FALSE)</f>
        <v>Son of the King of the Pirates
Portgaz D. Ace</v>
      </c>
      <c r="D66" s="122" t="s">
        <v>1171</v>
      </c>
      <c r="E66" s="108" t="str">
        <f t="shared" si="1"/>
        <v/>
      </c>
      <c r="F66" s="129"/>
      <c r="G66" s="108" t="str">
        <f t="shared" si="11"/>
        <v/>
      </c>
      <c r="H66" s="111"/>
      <c r="I66" s="108" t="str">
        <f t="shared" si="12"/>
        <v/>
      </c>
      <c r="J66" s="111"/>
      <c r="K66" s="108" t="str">
        <f t="shared" si="13"/>
        <v/>
      </c>
      <c r="L66" s="123"/>
      <c r="M66" s="124" t="s">
        <v>1194</v>
      </c>
      <c r="N66" s="128" t="s">
        <v>972</v>
      </c>
      <c r="O66" s="128" t="s">
        <v>972</v>
      </c>
      <c r="P66" s="128" t="s">
        <v>972</v>
      </c>
      <c r="Q66" s="127"/>
    </row>
    <row r="67" ht="150.0" customHeight="1">
      <c r="A67" s="121">
        <v>86.0</v>
      </c>
      <c r="B67" s="105" t="str">
        <f>VLOOKUP($A67, 'Characters Database'!$A$2:$E68, 4, FALSE)</f>
        <v/>
      </c>
      <c r="C67" s="106" t="str">
        <f>VLOOKUP($A67, 'Characters Database'!$A$2:$E68, 5, FALSE)</f>
        <v>Big Mom Pirates / "Sweet 3" General
Charlotte Katakuri</v>
      </c>
      <c r="D67" s="122" t="s">
        <v>1154</v>
      </c>
      <c r="E67" s="108" t="str">
        <f t="shared" si="1"/>
        <v/>
      </c>
      <c r="F67" s="129"/>
      <c r="G67" s="108" t="str">
        <f t="shared" si="11"/>
        <v/>
      </c>
      <c r="H67" s="111"/>
      <c r="I67" s="108" t="str">
        <f t="shared" si="12"/>
        <v/>
      </c>
      <c r="J67" s="111"/>
      <c r="K67" s="108" t="str">
        <f t="shared" si="13"/>
        <v/>
      </c>
      <c r="L67" s="123"/>
      <c r="M67" s="124" t="s">
        <v>1195</v>
      </c>
      <c r="N67" s="128" t="s">
        <v>972</v>
      </c>
      <c r="O67" s="128" t="s">
        <v>972</v>
      </c>
      <c r="P67" s="128" t="s">
        <v>972</v>
      </c>
      <c r="Q67" s="127"/>
    </row>
    <row r="68" ht="37.5" customHeight="1">
      <c r="A68" s="121"/>
      <c r="B68" s="132"/>
      <c r="C68" s="123"/>
      <c r="D68" s="133"/>
      <c r="E68" s="132"/>
      <c r="F68" s="133"/>
      <c r="G68" s="132"/>
      <c r="H68" s="132"/>
      <c r="I68" s="132"/>
      <c r="J68" s="132"/>
      <c r="K68" s="132"/>
      <c r="L68" s="123"/>
      <c r="M68" s="134"/>
      <c r="N68" s="134"/>
      <c r="O68" s="127"/>
      <c r="P68" s="127"/>
      <c r="Q68" s="127"/>
    </row>
  </sheetData>
  <mergeCells count="10">
    <mergeCell ref="E34:G34"/>
    <mergeCell ref="E42:G42"/>
    <mergeCell ref="I42:K42"/>
    <mergeCell ref="A6:A7"/>
    <mergeCell ref="B6:B7"/>
    <mergeCell ref="C6:C7"/>
    <mergeCell ref="E6:G6"/>
    <mergeCell ref="I6:K6"/>
    <mergeCell ref="E7:G7"/>
    <mergeCell ref="I34:K34"/>
  </mergeCells>
  <conditionalFormatting sqref="E2:E68 G2:G68 I2:I68 K2:K68">
    <cfRule type="expression" dxfId="29" priority="1">
      <formula>NOT(ISBLANK(E2))</formula>
    </cfRule>
  </conditionalFormatting>
  <hyperlinks>
    <hyperlink r:id="rId1" ref="M2"/>
    <hyperlink r:id="rId2" ref="N2"/>
    <hyperlink r:id="rId3" ref="O2"/>
    <hyperlink r:id="rId4" ref="P2"/>
    <hyperlink r:id="rId5" ref="M3"/>
    <hyperlink r:id="rId6" ref="N3"/>
    <hyperlink r:id="rId7" ref="O3"/>
    <hyperlink r:id="rId8" ref="P3"/>
    <hyperlink r:id="rId9" ref="M4"/>
    <hyperlink r:id="rId10" ref="N4"/>
    <hyperlink r:id="rId11" ref="O4"/>
    <hyperlink r:id="rId12" ref="M5"/>
    <hyperlink r:id="rId13" ref="N5"/>
    <hyperlink r:id="rId14" ref="O5"/>
    <hyperlink r:id="rId15" ref="M6"/>
    <hyperlink r:id="rId16" ref="N6"/>
    <hyperlink r:id="rId17" ref="K7"/>
    <hyperlink r:id="rId18" ref="M7"/>
    <hyperlink r:id="rId19" ref="K8"/>
    <hyperlink r:id="rId20" ref="M8"/>
    <hyperlink r:id="rId21" ref="N8"/>
    <hyperlink r:id="rId22" ref="O8"/>
    <hyperlink r:id="rId23" ref="K9"/>
    <hyperlink r:id="rId24" ref="M9"/>
    <hyperlink r:id="rId25" ref="N9"/>
    <hyperlink r:id="rId26" ref="O9"/>
    <hyperlink r:id="rId27" ref="K10"/>
    <hyperlink r:id="rId28" ref="M10"/>
    <hyperlink r:id="rId29" ref="N10"/>
    <hyperlink r:id="rId30" ref="O10"/>
    <hyperlink r:id="rId31" ref="M11"/>
    <hyperlink r:id="rId32" ref="N11"/>
    <hyperlink r:id="rId33" ref="O11"/>
    <hyperlink r:id="rId34" ref="M12"/>
    <hyperlink r:id="rId35" ref="N12"/>
    <hyperlink r:id="rId36" ref="O12"/>
    <hyperlink r:id="rId37" ref="M13"/>
    <hyperlink r:id="rId38" ref="N13"/>
    <hyperlink r:id="rId39" ref="O13"/>
    <hyperlink r:id="rId40" ref="P13"/>
    <hyperlink r:id="rId41" ref="M14"/>
    <hyperlink r:id="rId42" ref="N14"/>
    <hyperlink r:id="rId43" ref="O14"/>
    <hyperlink r:id="rId44" ref="P14"/>
    <hyperlink r:id="rId45" ref="M15"/>
    <hyperlink r:id="rId46" ref="N15"/>
    <hyperlink r:id="rId47" ref="O15"/>
    <hyperlink r:id="rId48" ref="P15"/>
    <hyperlink r:id="rId49" ref="M16"/>
    <hyperlink r:id="rId50" ref="N16"/>
    <hyperlink r:id="rId51" ref="O16"/>
    <hyperlink r:id="rId52" ref="P16"/>
    <hyperlink r:id="rId53" ref="M17"/>
    <hyperlink r:id="rId54" ref="N17"/>
    <hyperlink r:id="rId55" ref="O17"/>
    <hyperlink r:id="rId56" ref="P17"/>
    <hyperlink r:id="rId57" ref="M18"/>
    <hyperlink r:id="rId58" ref="N18"/>
    <hyperlink r:id="rId59" ref="O18"/>
    <hyperlink r:id="rId60" ref="M19"/>
    <hyperlink r:id="rId61" ref="N19"/>
    <hyperlink r:id="rId62" ref="O19"/>
    <hyperlink r:id="rId63" ref="M20"/>
    <hyperlink r:id="rId64" ref="N20"/>
    <hyperlink r:id="rId65" ref="O20"/>
    <hyperlink r:id="rId66" ref="M21"/>
    <hyperlink r:id="rId67" ref="N21"/>
    <hyperlink r:id="rId68" ref="O21"/>
    <hyperlink r:id="rId69" ref="M22"/>
    <hyperlink r:id="rId70" ref="N22"/>
    <hyperlink r:id="rId71" ref="O22"/>
    <hyperlink r:id="rId72" ref="M23"/>
    <hyperlink r:id="rId73" ref="N23"/>
    <hyperlink r:id="rId74" ref="O23"/>
    <hyperlink r:id="rId75" ref="P23"/>
    <hyperlink r:id="rId76" ref="M24"/>
    <hyperlink r:id="rId77" ref="N24"/>
    <hyperlink r:id="rId78" ref="O24"/>
    <hyperlink r:id="rId79" ref="P24"/>
    <hyperlink r:id="rId80" ref="M25"/>
    <hyperlink r:id="rId81" ref="N25"/>
    <hyperlink r:id="rId82" ref="O25"/>
    <hyperlink r:id="rId83" ref="M26"/>
    <hyperlink r:id="rId84" ref="N26"/>
    <hyperlink r:id="rId85" ref="O26"/>
    <hyperlink r:id="rId86" ref="M27"/>
    <hyperlink r:id="rId87" ref="N27"/>
    <hyperlink r:id="rId88" ref="M28"/>
    <hyperlink r:id="rId89" ref="N28"/>
    <hyperlink r:id="rId90" ref="M29"/>
    <hyperlink r:id="rId91" ref="N29"/>
    <hyperlink r:id="rId92" ref="O29"/>
    <hyperlink r:id="rId93" ref="M30"/>
    <hyperlink r:id="rId94" ref="N30"/>
    <hyperlink r:id="rId95" ref="O30"/>
    <hyperlink r:id="rId96" ref="M31"/>
    <hyperlink r:id="rId97" ref="N31"/>
    <hyperlink r:id="rId98" ref="O31"/>
    <hyperlink r:id="rId99" ref="M32"/>
    <hyperlink r:id="rId100" ref="N32"/>
    <hyperlink r:id="rId101" ref="M33"/>
    <hyperlink r:id="rId102" ref="M34"/>
    <hyperlink r:id="rId103" ref="M35"/>
    <hyperlink r:id="rId104" ref="M36"/>
    <hyperlink r:id="rId105" ref="M37"/>
    <hyperlink r:id="rId106" ref="M38"/>
    <hyperlink r:id="rId107" ref="M39"/>
    <hyperlink r:id="rId108" ref="M40"/>
    <hyperlink r:id="rId109" ref="N40"/>
    <hyperlink r:id="rId110" ref="M41"/>
    <hyperlink r:id="rId111" ref="M42"/>
    <hyperlink r:id="rId112" ref="N42"/>
    <hyperlink r:id="rId113" ref="M43"/>
    <hyperlink r:id="rId114" ref="M44"/>
    <hyperlink r:id="rId115" ref="M45"/>
    <hyperlink r:id="rId116" ref="M46"/>
    <hyperlink r:id="rId117" ref="M47"/>
    <hyperlink r:id="rId118" ref="M48"/>
    <hyperlink r:id="rId119" ref="M49"/>
    <hyperlink r:id="rId120" ref="N49"/>
    <hyperlink r:id="rId121" ref="M50"/>
    <hyperlink r:id="rId122" ref="N50"/>
    <hyperlink r:id="rId123" ref="M51"/>
    <hyperlink r:id="rId124" ref="M52"/>
    <hyperlink r:id="rId125" ref="N52"/>
    <hyperlink r:id="rId126" ref="O52"/>
    <hyperlink r:id="rId127" ref="P52"/>
    <hyperlink r:id="rId128" ref="M53"/>
    <hyperlink r:id="rId129" ref="M54"/>
    <hyperlink r:id="rId130" ref="M55"/>
    <hyperlink r:id="rId131" ref="M56"/>
    <hyperlink r:id="rId132" ref="M57"/>
    <hyperlink r:id="rId133" ref="M58"/>
    <hyperlink r:id="rId134" ref="N58"/>
    <hyperlink r:id="rId135" ref="O58"/>
    <hyperlink r:id="rId136" ref="M59"/>
    <hyperlink r:id="rId137" ref="M60"/>
    <hyperlink r:id="rId138" ref="M61"/>
    <hyperlink r:id="rId139" ref="M62"/>
    <hyperlink r:id="rId140" ref="M63"/>
    <hyperlink r:id="rId141" ref="N63"/>
    <hyperlink r:id="rId142" ref="M64"/>
    <hyperlink r:id="rId143" ref="M65"/>
    <hyperlink r:id="rId144" ref="M66"/>
    <hyperlink r:id="rId145" ref="M67"/>
  </hyperlinks>
  <printOptions gridLines="1" horizontalCentered="1"/>
  <pageMargins bottom="0.0" footer="0.0" header="0.0" left="0.0" right="0.0" top="0.0"/>
  <pageSetup cellComments="atEnd" orientation="landscape" pageOrder="overThenDown"/>
  <drawing r:id="rId14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6.38"/>
    <col customWidth="1" min="2" max="3" width="18.88"/>
    <col customWidth="1" min="4" max="4" width="25.13"/>
    <col customWidth="1" min="5" max="5" width="69.63"/>
    <col customWidth="1" min="6" max="7" width="25.13"/>
    <col customWidth="1" min="8" max="10" width="6.38" outlineLevel="1"/>
    <col customWidth="1" min="11" max="11" width="6.38"/>
  </cols>
  <sheetData>
    <row r="1" ht="56.25" customHeight="1">
      <c r="A1" s="135"/>
      <c r="B1" s="136"/>
      <c r="C1" s="136"/>
      <c r="D1" s="136">
        <v>2024.0</v>
      </c>
      <c r="K1" s="137"/>
    </row>
    <row r="2" ht="37.5" customHeight="1">
      <c r="A2" s="138"/>
      <c r="B2" s="139"/>
      <c r="C2" s="139"/>
      <c r="D2" s="139" t="s">
        <v>1196</v>
      </c>
      <c r="K2" s="137"/>
    </row>
    <row r="3" ht="75.0" customHeight="1">
      <c r="A3" s="140"/>
      <c r="B3" s="141" t="str">
        <f t="shared" ref="B3:D3" si="1">IF(H3 &lt;&gt; "", IMAGE(H3), "-")</f>
        <v>-</v>
      </c>
      <c r="C3" s="141" t="str">
        <f t="shared" si="1"/>
        <v/>
      </c>
      <c r="D3" s="141" t="str">
        <f t="shared" si="1"/>
        <v>-</v>
      </c>
      <c r="E3" s="142" t="s">
        <v>1197</v>
      </c>
      <c r="F3" s="143"/>
      <c r="G3" s="144"/>
      <c r="H3" s="145"/>
      <c r="I3" s="146" t="s">
        <v>1198</v>
      </c>
      <c r="J3" s="145"/>
      <c r="K3" s="137"/>
    </row>
    <row r="4" ht="75.0" customHeight="1">
      <c r="A4" s="140"/>
      <c r="B4" s="141" t="str">
        <f t="shared" ref="B4:D4" si="2">IF(H4 &lt;&gt; "", IMAGE(H4), "-")</f>
        <v>-</v>
      </c>
      <c r="C4" s="141" t="str">
        <f t="shared" si="2"/>
        <v/>
      </c>
      <c r="D4" s="141" t="str">
        <f t="shared" si="2"/>
        <v>-</v>
      </c>
      <c r="E4" s="142" t="s">
        <v>1199</v>
      </c>
      <c r="F4" s="143"/>
      <c r="G4" s="144"/>
      <c r="H4" s="145"/>
      <c r="I4" s="146" t="s">
        <v>1200</v>
      </c>
      <c r="J4" s="145"/>
      <c r="K4" s="137"/>
    </row>
    <row r="5" ht="75.0" customHeight="1">
      <c r="A5" s="140"/>
      <c r="B5" s="141" t="str">
        <f t="shared" ref="B5:D5" si="3">IF(H5 &lt;&gt; "", IMAGE(H5), "-")</f>
        <v>-</v>
      </c>
      <c r="C5" s="141" t="str">
        <f t="shared" si="3"/>
        <v/>
      </c>
      <c r="D5" s="141" t="str">
        <f t="shared" si="3"/>
        <v>-</v>
      </c>
      <c r="E5" s="142" t="s">
        <v>1201</v>
      </c>
      <c r="F5" s="147">
        <f>date(2024,7,30)</f>
        <v>45503</v>
      </c>
      <c r="G5" s="144" t="s">
        <v>1202</v>
      </c>
      <c r="H5" s="145"/>
      <c r="I5" s="146" t="s">
        <v>1203</v>
      </c>
      <c r="J5" s="145"/>
      <c r="K5" s="137"/>
    </row>
    <row r="6" ht="56.25" customHeight="1">
      <c r="A6" s="135"/>
      <c r="B6" s="136"/>
      <c r="C6" s="136"/>
      <c r="D6" s="136">
        <v>2024.0</v>
      </c>
      <c r="K6" s="137"/>
    </row>
    <row r="7" ht="37.5" customHeight="1">
      <c r="A7" s="138"/>
      <c r="B7" s="139"/>
      <c r="C7" s="139"/>
      <c r="D7" s="139" t="s">
        <v>1196</v>
      </c>
      <c r="K7" s="137"/>
    </row>
    <row r="8" ht="75.0" customHeight="1">
      <c r="A8" s="140"/>
      <c r="B8" s="141"/>
      <c r="C8" s="141"/>
      <c r="D8" s="141" t="str">
        <f t="shared" ref="D8:D17" si="4">IF(J8 &lt;&gt; "", IMAGE(J8), "-")</f>
        <v/>
      </c>
      <c r="E8" s="142" t="s">
        <v>1204</v>
      </c>
      <c r="F8" s="147">
        <f t="shared" ref="F8:F9" si="5">date(2024,7,30)</f>
        <v>45503</v>
      </c>
      <c r="G8" s="144" t="s">
        <v>1202</v>
      </c>
      <c r="H8" s="145"/>
      <c r="I8" s="145"/>
      <c r="J8" s="146" t="s">
        <v>1205</v>
      </c>
      <c r="K8" s="137"/>
    </row>
    <row r="9" ht="75.0" customHeight="1">
      <c r="A9" s="140"/>
      <c r="B9" s="141"/>
      <c r="C9" s="141"/>
      <c r="D9" s="141" t="str">
        <f t="shared" si="4"/>
        <v/>
      </c>
      <c r="E9" s="142" t="s">
        <v>1206</v>
      </c>
      <c r="F9" s="147">
        <f t="shared" si="5"/>
        <v>45503</v>
      </c>
      <c r="G9" s="144" t="s">
        <v>1207</v>
      </c>
      <c r="H9" s="145"/>
      <c r="I9" s="145"/>
      <c r="J9" s="146" t="s">
        <v>1208</v>
      </c>
      <c r="K9" s="137"/>
    </row>
    <row r="10" ht="75.0" customHeight="1">
      <c r="A10" s="140"/>
      <c r="B10" s="141"/>
      <c r="C10" s="141"/>
      <c r="D10" s="141" t="str">
        <f t="shared" si="4"/>
        <v/>
      </c>
      <c r="E10" s="142" t="s">
        <v>1209</v>
      </c>
      <c r="F10" s="147">
        <f>date(2024,7,23)</f>
        <v>45496</v>
      </c>
      <c r="G10" s="144" t="s">
        <v>1210</v>
      </c>
      <c r="H10" s="145"/>
      <c r="I10" s="145"/>
      <c r="J10" s="146" t="s">
        <v>1211</v>
      </c>
      <c r="K10" s="137"/>
    </row>
    <row r="11" ht="75.0" customHeight="1">
      <c r="A11" s="140"/>
      <c r="B11" s="141"/>
      <c r="C11" s="141"/>
      <c r="D11" s="141" t="str">
        <f t="shared" si="4"/>
        <v/>
      </c>
      <c r="E11" s="142" t="s">
        <v>1212</v>
      </c>
      <c r="F11" s="147">
        <f>date(2024,7,19)</f>
        <v>45492</v>
      </c>
      <c r="G11" s="143"/>
      <c r="H11" s="145"/>
      <c r="I11" s="145"/>
      <c r="J11" s="146" t="s">
        <v>1213</v>
      </c>
      <c r="K11" s="137"/>
    </row>
    <row r="12" ht="75.0" customHeight="1">
      <c r="A12" s="140"/>
      <c r="B12" s="141"/>
      <c r="C12" s="141"/>
      <c r="D12" s="141" t="str">
        <f t="shared" si="4"/>
        <v/>
      </c>
      <c r="E12" s="142" t="s">
        <v>1214</v>
      </c>
      <c r="F12" s="147">
        <f>date(2024,7,17)</f>
        <v>45490</v>
      </c>
      <c r="G12" s="144" t="s">
        <v>1215</v>
      </c>
      <c r="H12" s="145"/>
      <c r="I12" s="145"/>
      <c r="J12" s="146" t="s">
        <v>1216</v>
      </c>
      <c r="K12" s="137"/>
    </row>
    <row r="13" ht="75.0" customHeight="1">
      <c r="A13" s="140"/>
      <c r="B13" s="141"/>
      <c r="C13" s="141"/>
      <c r="D13" s="141" t="str">
        <f t="shared" si="4"/>
        <v/>
      </c>
      <c r="E13" s="142" t="s">
        <v>1217</v>
      </c>
      <c r="F13" s="147">
        <f>date(2024,7,15)</f>
        <v>45488</v>
      </c>
      <c r="G13" s="143"/>
      <c r="H13" s="145"/>
      <c r="I13" s="145"/>
      <c r="J13" s="146" t="s">
        <v>1218</v>
      </c>
      <c r="K13" s="137"/>
    </row>
    <row r="14" ht="75.0" customHeight="1">
      <c r="A14" s="140"/>
      <c r="B14" s="141"/>
      <c r="C14" s="141"/>
      <c r="D14" s="141" t="str">
        <f t="shared" si="4"/>
        <v/>
      </c>
      <c r="E14" s="142" t="s">
        <v>1219</v>
      </c>
      <c r="F14" s="147">
        <f>date(2024,7,12)</f>
        <v>45485</v>
      </c>
      <c r="G14" s="143"/>
      <c r="H14" s="145"/>
      <c r="I14" s="145"/>
      <c r="J14" s="146" t="s">
        <v>1220</v>
      </c>
      <c r="K14" s="137"/>
    </row>
    <row r="15" ht="75.0" customHeight="1">
      <c r="A15" s="140"/>
      <c r="B15" s="141"/>
      <c r="C15" s="141"/>
      <c r="D15" s="141" t="str">
        <f t="shared" si="4"/>
        <v/>
      </c>
      <c r="E15" s="142" t="s">
        <v>1221</v>
      </c>
      <c r="F15" s="147">
        <f>date(2024,7,11)</f>
        <v>45484</v>
      </c>
      <c r="G15" s="144" t="s">
        <v>1222</v>
      </c>
      <c r="H15" s="145"/>
      <c r="I15" s="145"/>
      <c r="J15" s="146" t="s">
        <v>1223</v>
      </c>
      <c r="K15" s="137"/>
    </row>
    <row r="16" ht="75.0" customHeight="1">
      <c r="A16" s="140"/>
      <c r="B16" s="141"/>
      <c r="C16" s="141"/>
      <c r="D16" s="141" t="str">
        <f t="shared" si="4"/>
        <v/>
      </c>
      <c r="E16" s="142" t="s">
        <v>1224</v>
      </c>
      <c r="F16" s="147">
        <f>date(2024,7,5)</f>
        <v>45478</v>
      </c>
      <c r="G16" s="143"/>
      <c r="H16" s="145"/>
      <c r="I16" s="145"/>
      <c r="J16" s="146" t="s">
        <v>1225</v>
      </c>
      <c r="K16" s="137"/>
    </row>
    <row r="17" ht="75.0" customHeight="1">
      <c r="A17" s="140"/>
      <c r="B17" s="141"/>
      <c r="C17" s="141"/>
      <c r="D17" s="141" t="str">
        <f t="shared" si="4"/>
        <v/>
      </c>
      <c r="E17" s="142" t="s">
        <v>1226</v>
      </c>
      <c r="F17" s="147">
        <f>date(2024,7,4)</f>
        <v>45477</v>
      </c>
      <c r="G17" s="143"/>
      <c r="H17" s="145"/>
      <c r="I17" s="145"/>
      <c r="J17" s="146" t="s">
        <v>1227</v>
      </c>
      <c r="K17" s="137"/>
    </row>
    <row r="18" ht="37.5" customHeight="1">
      <c r="A18" s="138"/>
      <c r="B18" s="139"/>
      <c r="C18" s="139"/>
      <c r="D18" s="139" t="s">
        <v>1228</v>
      </c>
      <c r="K18" s="137"/>
    </row>
    <row r="19" ht="75.0" customHeight="1">
      <c r="A19" s="140"/>
      <c r="B19" s="141"/>
      <c r="C19" s="141"/>
      <c r="D19" s="141" t="str">
        <f t="shared" ref="D19:D26" si="6">IF(J19 &lt;&gt; "", IMAGE(J19), "-")</f>
        <v/>
      </c>
      <c r="E19" s="142" t="s">
        <v>1229</v>
      </c>
      <c r="F19" s="147">
        <f>date(2024,6,27)</f>
        <v>45470</v>
      </c>
      <c r="G19" s="144" t="s">
        <v>1230</v>
      </c>
      <c r="H19" s="145"/>
      <c r="I19" s="145"/>
      <c r="J19" s="146" t="s">
        <v>1231</v>
      </c>
      <c r="K19" s="137"/>
    </row>
    <row r="20" ht="75.0" customHeight="1">
      <c r="A20" s="140"/>
      <c r="B20" s="141"/>
      <c r="C20" s="141"/>
      <c r="D20" s="141" t="str">
        <f t="shared" si="6"/>
        <v/>
      </c>
      <c r="E20" s="142" t="s">
        <v>1232</v>
      </c>
      <c r="F20" s="147">
        <f>date(2024,6,24)</f>
        <v>45467</v>
      </c>
      <c r="G20" s="143"/>
      <c r="H20" s="145"/>
      <c r="I20" s="145"/>
      <c r="J20" s="146" t="s">
        <v>1233</v>
      </c>
      <c r="K20" s="137"/>
    </row>
    <row r="21" ht="75.0" customHeight="1">
      <c r="A21" s="140"/>
      <c r="B21" s="141"/>
      <c r="C21" s="141"/>
      <c r="D21" s="141" t="str">
        <f t="shared" si="6"/>
        <v/>
      </c>
      <c r="E21" s="142" t="s">
        <v>1234</v>
      </c>
      <c r="F21" s="147">
        <f>date(2024,6,20)</f>
        <v>45463</v>
      </c>
      <c r="G21" s="144" t="s">
        <v>1235</v>
      </c>
      <c r="H21" s="145"/>
      <c r="I21" s="145"/>
      <c r="J21" s="146" t="s">
        <v>1236</v>
      </c>
      <c r="K21" s="137"/>
    </row>
    <row r="22" ht="75.0" customHeight="1">
      <c r="A22" s="140"/>
      <c r="B22" s="141"/>
      <c r="C22" s="141"/>
      <c r="D22" s="141" t="str">
        <f t="shared" si="6"/>
        <v/>
      </c>
      <c r="E22" s="142" t="s">
        <v>1237</v>
      </c>
      <c r="F22" s="147">
        <f>date(2024,6,17)</f>
        <v>45460</v>
      </c>
      <c r="G22" s="143"/>
      <c r="H22" s="145"/>
      <c r="I22" s="145"/>
      <c r="J22" s="146" t="s">
        <v>1238</v>
      </c>
      <c r="K22" s="137"/>
    </row>
    <row r="23" ht="75.0" customHeight="1">
      <c r="A23" s="140"/>
      <c r="B23" s="141"/>
      <c r="C23" s="141"/>
      <c r="D23" s="141" t="str">
        <f t="shared" si="6"/>
        <v/>
      </c>
      <c r="E23" s="142" t="s">
        <v>1239</v>
      </c>
      <c r="F23" s="147">
        <f>date(2024,6,14)</f>
        <v>45457</v>
      </c>
      <c r="G23" s="143"/>
      <c r="H23" s="145"/>
      <c r="I23" s="145"/>
      <c r="J23" s="146" t="s">
        <v>1240</v>
      </c>
      <c r="K23" s="137"/>
    </row>
    <row r="24" ht="75.0" customHeight="1">
      <c r="A24" s="140"/>
      <c r="B24" s="141"/>
      <c r="C24" s="141"/>
      <c r="D24" s="141" t="str">
        <f t="shared" si="6"/>
        <v/>
      </c>
      <c r="E24" s="142" t="s">
        <v>1241</v>
      </c>
      <c r="F24" s="147">
        <f>date(2024,6,11)</f>
        <v>45454</v>
      </c>
      <c r="G24" s="143"/>
      <c r="H24" s="145"/>
      <c r="I24" s="145"/>
      <c r="J24" s="146" t="s">
        <v>1242</v>
      </c>
      <c r="K24" s="137"/>
    </row>
    <row r="25" ht="75.0" customHeight="1">
      <c r="A25" s="140"/>
      <c r="B25" s="141"/>
      <c r="C25" s="141"/>
      <c r="D25" s="141" t="str">
        <f t="shared" si="6"/>
        <v/>
      </c>
      <c r="E25" s="142" t="s">
        <v>1243</v>
      </c>
      <c r="F25" s="147">
        <f>date(2024,6,7)</f>
        <v>45450</v>
      </c>
      <c r="G25" s="143"/>
      <c r="H25" s="145"/>
      <c r="I25" s="145"/>
      <c r="J25" s="146" t="s">
        <v>1244</v>
      </c>
      <c r="K25" s="137"/>
    </row>
    <row r="26" ht="75.0" customHeight="1">
      <c r="A26" s="140"/>
      <c r="B26" s="141"/>
      <c r="C26" s="141"/>
      <c r="D26" s="141" t="str">
        <f t="shared" si="6"/>
        <v/>
      </c>
      <c r="E26" s="142" t="s">
        <v>1245</v>
      </c>
      <c r="F26" s="147">
        <f>date(2024,6,3)</f>
        <v>45446</v>
      </c>
      <c r="G26" s="144" t="s">
        <v>1246</v>
      </c>
      <c r="H26" s="145"/>
      <c r="I26" s="145"/>
      <c r="J26" s="146" t="s">
        <v>1247</v>
      </c>
      <c r="K26" s="137"/>
    </row>
    <row r="27" ht="37.5" customHeight="1">
      <c r="A27" s="138"/>
      <c r="B27" s="139"/>
      <c r="C27" s="139"/>
      <c r="D27" s="139" t="s">
        <v>1248</v>
      </c>
      <c r="K27" s="137"/>
    </row>
    <row r="28" ht="75.0" customHeight="1">
      <c r="A28" s="140"/>
      <c r="B28" s="141"/>
      <c r="C28" s="141"/>
      <c r="D28" s="141" t="str">
        <f t="shared" ref="D28:D40" si="7">IF(J28 &lt;&gt; "", IMAGE(J28), "-")</f>
        <v/>
      </c>
      <c r="E28" s="142" t="s">
        <v>1249</v>
      </c>
      <c r="F28" s="147">
        <f>date(2024,5,30)</f>
        <v>45442</v>
      </c>
      <c r="G28" s="143"/>
      <c r="H28" s="145"/>
      <c r="I28" s="145"/>
      <c r="J28" s="146" t="s">
        <v>1250</v>
      </c>
      <c r="K28" s="137"/>
    </row>
    <row r="29" ht="75.0" customHeight="1">
      <c r="A29" s="140"/>
      <c r="B29" s="141"/>
      <c r="C29" s="141"/>
      <c r="D29" s="141" t="str">
        <f t="shared" si="7"/>
        <v/>
      </c>
      <c r="E29" s="142" t="s">
        <v>1251</v>
      </c>
      <c r="F29" s="147">
        <f>date(2024,5,28)</f>
        <v>45440</v>
      </c>
      <c r="G29" s="144" t="s">
        <v>1230</v>
      </c>
      <c r="H29" s="145"/>
      <c r="I29" s="145"/>
      <c r="J29" s="146" t="s">
        <v>1252</v>
      </c>
      <c r="K29" s="137"/>
    </row>
    <row r="30" ht="75.0" customHeight="1">
      <c r="A30" s="140"/>
      <c r="B30" s="141"/>
      <c r="C30" s="141"/>
      <c r="D30" s="141" t="str">
        <f t="shared" si="7"/>
        <v/>
      </c>
      <c r="E30" s="142" t="s">
        <v>1253</v>
      </c>
      <c r="F30" s="147">
        <f>date(2024,5,24)</f>
        <v>45436</v>
      </c>
      <c r="G30" s="143"/>
      <c r="H30" s="145"/>
      <c r="I30" s="145"/>
      <c r="J30" s="146" t="s">
        <v>1254</v>
      </c>
      <c r="K30" s="137"/>
    </row>
    <row r="31" ht="75.0" customHeight="1">
      <c r="A31" s="140"/>
      <c r="B31" s="141"/>
      <c r="C31" s="141"/>
      <c r="D31" s="141" t="str">
        <f t="shared" si="7"/>
        <v/>
      </c>
      <c r="E31" s="142" t="s">
        <v>1255</v>
      </c>
      <c r="F31" s="147">
        <f>date(2024,5,21)</f>
        <v>45433</v>
      </c>
      <c r="G31" s="144" t="s">
        <v>1256</v>
      </c>
      <c r="H31" s="145"/>
      <c r="I31" s="145"/>
      <c r="J31" s="146" t="s">
        <v>1257</v>
      </c>
      <c r="K31" s="137"/>
    </row>
    <row r="32" ht="75.0" customHeight="1">
      <c r="A32" s="140"/>
      <c r="B32" s="141"/>
      <c r="C32" s="141"/>
      <c r="D32" s="141" t="str">
        <f t="shared" si="7"/>
        <v/>
      </c>
      <c r="E32" s="142" t="s">
        <v>1258</v>
      </c>
      <c r="F32" s="147">
        <f>date(2024,5,17)</f>
        <v>45429</v>
      </c>
      <c r="G32" s="143"/>
      <c r="H32" s="145"/>
      <c r="I32" s="145"/>
      <c r="J32" s="146" t="s">
        <v>1259</v>
      </c>
      <c r="K32" s="137"/>
    </row>
    <row r="33" ht="75.0" customHeight="1">
      <c r="A33" s="140"/>
      <c r="B33" s="141"/>
      <c r="C33" s="141"/>
      <c r="D33" s="141" t="str">
        <f t="shared" si="7"/>
        <v/>
      </c>
      <c r="E33" s="142" t="s">
        <v>1260</v>
      </c>
      <c r="F33" s="147">
        <f>date(2024,5,16)</f>
        <v>45428</v>
      </c>
      <c r="G33" s="143"/>
      <c r="H33" s="145"/>
      <c r="I33" s="145"/>
      <c r="J33" s="146" t="s">
        <v>1261</v>
      </c>
      <c r="K33" s="137"/>
    </row>
    <row r="34" ht="75.0" customHeight="1">
      <c r="A34" s="140"/>
      <c r="B34" s="141"/>
      <c r="C34" s="141"/>
      <c r="D34" s="141" t="str">
        <f t="shared" si="7"/>
        <v/>
      </c>
      <c r="E34" s="142" t="s">
        <v>1262</v>
      </c>
      <c r="F34" s="147">
        <f>date(2024,5,14)</f>
        <v>45426</v>
      </c>
      <c r="G34" s="144" t="s">
        <v>1263</v>
      </c>
      <c r="H34" s="145"/>
      <c r="I34" s="145"/>
      <c r="J34" s="146" t="s">
        <v>1264</v>
      </c>
      <c r="K34" s="137"/>
    </row>
    <row r="35" ht="75.0" customHeight="1">
      <c r="A35" s="140"/>
      <c r="B35" s="141"/>
      <c r="C35" s="141"/>
      <c r="D35" s="141" t="str">
        <f t="shared" si="7"/>
        <v/>
      </c>
      <c r="E35" s="142" t="s">
        <v>1265</v>
      </c>
      <c r="F35" s="147">
        <f>date(2024,5,10)</f>
        <v>45422</v>
      </c>
      <c r="G35" s="143"/>
      <c r="H35" s="145"/>
      <c r="I35" s="145"/>
      <c r="J35" s="146" t="s">
        <v>1266</v>
      </c>
      <c r="K35" s="137"/>
    </row>
    <row r="36" ht="75.0" customHeight="1">
      <c r="A36" s="140"/>
      <c r="B36" s="141"/>
      <c r="C36" s="141"/>
      <c r="D36" s="141" t="str">
        <f t="shared" si="7"/>
        <v/>
      </c>
      <c r="E36" s="142" t="s">
        <v>1267</v>
      </c>
      <c r="F36" s="147">
        <f>date(2024,5,8)</f>
        <v>45420</v>
      </c>
      <c r="G36" s="144" t="s">
        <v>1268</v>
      </c>
      <c r="H36" s="145"/>
      <c r="I36" s="145"/>
      <c r="J36" s="146" t="s">
        <v>1269</v>
      </c>
      <c r="K36" s="137"/>
    </row>
    <row r="37" ht="75.0" customHeight="1">
      <c r="A37" s="140"/>
      <c r="B37" s="141"/>
      <c r="C37" s="141"/>
      <c r="D37" s="141" t="str">
        <f t="shared" si="7"/>
        <v/>
      </c>
      <c r="E37" s="142" t="s">
        <v>1270</v>
      </c>
      <c r="F37" s="147">
        <f t="shared" ref="F37:F38" si="8">date(2024,5,5)</f>
        <v>45417</v>
      </c>
      <c r="G37" s="144" t="s">
        <v>1271</v>
      </c>
      <c r="H37" s="145"/>
      <c r="I37" s="145"/>
      <c r="J37" s="146" t="s">
        <v>1272</v>
      </c>
      <c r="K37" s="137"/>
    </row>
    <row r="38" ht="75.0" customHeight="1">
      <c r="A38" s="140"/>
      <c r="B38" s="141"/>
      <c r="C38" s="141"/>
      <c r="D38" s="141" t="str">
        <f t="shared" si="7"/>
        <v/>
      </c>
      <c r="E38" s="142" t="s">
        <v>1273</v>
      </c>
      <c r="F38" s="147">
        <f t="shared" si="8"/>
        <v>45417</v>
      </c>
      <c r="G38" s="144" t="s">
        <v>1274</v>
      </c>
      <c r="H38" s="145"/>
      <c r="I38" s="145"/>
      <c r="J38" s="146" t="s">
        <v>1275</v>
      </c>
      <c r="K38" s="137"/>
    </row>
    <row r="39" ht="75.0" customHeight="1">
      <c r="A39" s="140"/>
      <c r="B39" s="141"/>
      <c r="C39" s="141"/>
      <c r="D39" s="141" t="str">
        <f t="shared" si="7"/>
        <v>-</v>
      </c>
      <c r="E39" s="142" t="s">
        <v>1276</v>
      </c>
      <c r="F39" s="147">
        <f t="shared" ref="F39:F40" si="9">date(2024,5,1)</f>
        <v>45413</v>
      </c>
      <c r="G39" s="144" t="s">
        <v>1263</v>
      </c>
      <c r="H39" s="145"/>
      <c r="I39" s="145"/>
      <c r="J39" s="145"/>
      <c r="K39" s="137"/>
    </row>
    <row r="40" ht="75.0" customHeight="1">
      <c r="A40" s="140"/>
      <c r="B40" s="141"/>
      <c r="C40" s="141"/>
      <c r="D40" s="141" t="str">
        <f t="shared" si="7"/>
        <v>-</v>
      </c>
      <c r="E40" s="142" t="s">
        <v>1276</v>
      </c>
      <c r="F40" s="147">
        <f t="shared" si="9"/>
        <v>45413</v>
      </c>
      <c r="G40" s="144" t="s">
        <v>1263</v>
      </c>
      <c r="H40" s="145"/>
      <c r="I40" s="145"/>
      <c r="J40" s="145"/>
      <c r="K40" s="137"/>
    </row>
    <row r="41" ht="37.5" customHeight="1">
      <c r="A41" s="138"/>
      <c r="B41" s="139"/>
      <c r="C41" s="139"/>
      <c r="D41" s="139" t="s">
        <v>1277</v>
      </c>
      <c r="K41" s="137"/>
    </row>
    <row r="42" ht="75.0" customHeight="1">
      <c r="A42" s="140"/>
      <c r="B42" s="141"/>
      <c r="C42" s="141"/>
      <c r="D42" s="141" t="str">
        <f t="shared" ref="D42:D59" si="10">IF(J42 &lt;&gt; "", IMAGE(J42), "-")</f>
        <v/>
      </c>
      <c r="E42" s="142" t="s">
        <v>1278</v>
      </c>
      <c r="F42" s="147">
        <f>date(2024,4,29)</f>
        <v>45411</v>
      </c>
      <c r="G42" s="144" t="s">
        <v>1268</v>
      </c>
      <c r="H42" s="145"/>
      <c r="I42" s="145"/>
      <c r="J42" s="146" t="s">
        <v>1279</v>
      </c>
      <c r="K42" s="137"/>
    </row>
    <row r="43" ht="75.0" customHeight="1">
      <c r="A43" s="140"/>
      <c r="B43" s="141"/>
      <c r="C43" s="141"/>
      <c r="D43" s="141" t="str">
        <f t="shared" si="10"/>
        <v/>
      </c>
      <c r="E43" s="142" t="s">
        <v>1280</v>
      </c>
      <c r="F43" s="147">
        <f>date(2024,4,25)</f>
        <v>45407</v>
      </c>
      <c r="G43" s="144" t="s">
        <v>1268</v>
      </c>
      <c r="H43" s="145"/>
      <c r="I43" s="145"/>
      <c r="J43" s="146" t="s">
        <v>1281</v>
      </c>
      <c r="K43" s="137"/>
    </row>
    <row r="44" ht="75.0" customHeight="1">
      <c r="A44" s="140"/>
      <c r="B44" s="141"/>
      <c r="C44" s="141"/>
      <c r="D44" s="141" t="str">
        <f t="shared" si="10"/>
        <v/>
      </c>
      <c r="E44" s="142" t="s">
        <v>1282</v>
      </c>
      <c r="F44" s="147">
        <f>date(2024,4,23)</f>
        <v>45405</v>
      </c>
      <c r="G44" s="144" t="s">
        <v>1230</v>
      </c>
      <c r="H44" s="145"/>
      <c r="I44" s="145"/>
      <c r="J44" s="146" t="s">
        <v>1283</v>
      </c>
      <c r="K44" s="137"/>
    </row>
    <row r="45" ht="75.0" customHeight="1">
      <c r="A45" s="140"/>
      <c r="B45" s="141"/>
      <c r="C45" s="141"/>
      <c r="D45" s="141" t="str">
        <f t="shared" si="10"/>
        <v/>
      </c>
      <c r="E45" s="142" t="s">
        <v>1284</v>
      </c>
      <c r="F45" s="147">
        <f t="shared" ref="F45:F46" si="11">date(2024,4,22)</f>
        <v>45404</v>
      </c>
      <c r="G45" s="143"/>
      <c r="H45" s="145"/>
      <c r="I45" s="145"/>
      <c r="J45" s="146" t="s">
        <v>1285</v>
      </c>
      <c r="K45" s="137"/>
    </row>
    <row r="46" ht="75.0" customHeight="1">
      <c r="A46" s="140"/>
      <c r="B46" s="141"/>
      <c r="C46" s="141"/>
      <c r="D46" s="141" t="str">
        <f t="shared" si="10"/>
        <v/>
      </c>
      <c r="E46" s="142" t="s">
        <v>1286</v>
      </c>
      <c r="F46" s="147">
        <f t="shared" si="11"/>
        <v>45404</v>
      </c>
      <c r="G46" s="143"/>
      <c r="H46" s="145"/>
      <c r="I46" s="145"/>
      <c r="J46" s="146" t="s">
        <v>1287</v>
      </c>
      <c r="K46" s="137"/>
    </row>
    <row r="47" ht="75.0" customHeight="1">
      <c r="A47" s="140"/>
      <c r="B47" s="141"/>
      <c r="C47" s="141"/>
      <c r="D47" s="141" t="str">
        <f t="shared" si="10"/>
        <v/>
      </c>
      <c r="E47" s="142" t="s">
        <v>1288</v>
      </c>
      <c r="F47" s="147">
        <f>date(2024,4,19)</f>
        <v>45401</v>
      </c>
      <c r="G47" s="143"/>
      <c r="H47" s="145"/>
      <c r="I47" s="145"/>
      <c r="J47" s="146" t="s">
        <v>1289</v>
      </c>
      <c r="K47" s="137"/>
    </row>
    <row r="48" ht="75.0" customHeight="1">
      <c r="A48" s="140"/>
      <c r="B48" s="141"/>
      <c r="C48" s="141"/>
      <c r="D48" s="141" t="str">
        <f t="shared" si="10"/>
        <v/>
      </c>
      <c r="E48" s="142" t="s">
        <v>1290</v>
      </c>
      <c r="F48" s="147">
        <f>date(2024,4,18)</f>
        <v>45400</v>
      </c>
      <c r="G48" s="144" t="s">
        <v>1291</v>
      </c>
      <c r="H48" s="145"/>
      <c r="I48" s="145"/>
      <c r="J48" s="146" t="s">
        <v>1292</v>
      </c>
      <c r="K48" s="137"/>
    </row>
    <row r="49" ht="75.0" customHeight="1">
      <c r="A49" s="140"/>
      <c r="B49" s="141"/>
      <c r="C49" s="141"/>
      <c r="D49" s="141" t="str">
        <f t="shared" si="10"/>
        <v/>
      </c>
      <c r="E49" s="142" t="s">
        <v>1293</v>
      </c>
      <c r="F49" s="147">
        <f>date(2024,4,16)</f>
        <v>45398</v>
      </c>
      <c r="G49" s="144" t="s">
        <v>1294</v>
      </c>
      <c r="H49" s="145"/>
      <c r="I49" s="145"/>
      <c r="J49" s="146" t="s">
        <v>1295</v>
      </c>
      <c r="K49" s="137"/>
    </row>
    <row r="50" ht="75.0" customHeight="1">
      <c r="A50" s="140"/>
      <c r="B50" s="141"/>
      <c r="C50" s="141"/>
      <c r="D50" s="141" t="str">
        <f t="shared" si="10"/>
        <v/>
      </c>
      <c r="E50" s="142" t="s">
        <v>1284</v>
      </c>
      <c r="F50" s="147">
        <f t="shared" ref="F50:F51" si="12">date(2024,4,15)</f>
        <v>45397</v>
      </c>
      <c r="G50" s="143"/>
      <c r="H50" s="145"/>
      <c r="I50" s="145"/>
      <c r="J50" s="146" t="s">
        <v>1296</v>
      </c>
      <c r="K50" s="137"/>
    </row>
    <row r="51" ht="75.0" customHeight="1">
      <c r="A51" s="140"/>
      <c r="B51" s="141"/>
      <c r="C51" s="141"/>
      <c r="D51" s="141" t="str">
        <f t="shared" si="10"/>
        <v/>
      </c>
      <c r="E51" s="142" t="s">
        <v>1286</v>
      </c>
      <c r="F51" s="147">
        <f t="shared" si="12"/>
        <v>45397</v>
      </c>
      <c r="G51" s="143"/>
      <c r="H51" s="145"/>
      <c r="I51" s="145"/>
      <c r="J51" s="146" t="s">
        <v>1297</v>
      </c>
      <c r="K51" s="137"/>
    </row>
    <row r="52" ht="75.0" customHeight="1">
      <c r="A52" s="140"/>
      <c r="B52" s="141"/>
      <c r="C52" s="141"/>
      <c r="D52" s="141" t="str">
        <f t="shared" si="10"/>
        <v/>
      </c>
      <c r="E52" s="142" t="s">
        <v>1298</v>
      </c>
      <c r="F52" s="147">
        <f>date(2024,4,12)</f>
        <v>45394</v>
      </c>
      <c r="G52" s="143"/>
      <c r="H52" s="145"/>
      <c r="I52" s="145"/>
      <c r="J52" s="146" t="s">
        <v>1299</v>
      </c>
      <c r="K52" s="137"/>
    </row>
    <row r="53" ht="75.0" customHeight="1">
      <c r="A53" s="140"/>
      <c r="B53" s="141"/>
      <c r="C53" s="141"/>
      <c r="D53" s="141" t="str">
        <f t="shared" si="10"/>
        <v/>
      </c>
      <c r="E53" s="142" t="s">
        <v>1300</v>
      </c>
      <c r="F53" s="147">
        <f>date(2024,4,11)</f>
        <v>45393</v>
      </c>
      <c r="G53" s="144" t="s">
        <v>1291</v>
      </c>
      <c r="H53" s="145"/>
      <c r="I53" s="145"/>
      <c r="J53" s="146" t="s">
        <v>1301</v>
      </c>
      <c r="K53" s="137"/>
    </row>
    <row r="54" ht="75.0" customHeight="1">
      <c r="A54" s="140"/>
      <c r="B54" s="141"/>
      <c r="C54" s="141"/>
      <c r="D54" s="141" t="str">
        <f t="shared" si="10"/>
        <v/>
      </c>
      <c r="E54" s="142" t="s">
        <v>1284</v>
      </c>
      <c r="F54" s="147">
        <f t="shared" ref="F54:F55" si="13">date(2024,4,8)</f>
        <v>45390</v>
      </c>
      <c r="G54" s="143"/>
      <c r="H54" s="145"/>
      <c r="I54" s="145"/>
      <c r="J54" s="146" t="s">
        <v>1302</v>
      </c>
      <c r="K54" s="137"/>
    </row>
    <row r="55" ht="75.0" customHeight="1">
      <c r="A55" s="140"/>
      <c r="B55" s="141"/>
      <c r="C55" s="141"/>
      <c r="D55" s="141" t="str">
        <f t="shared" si="10"/>
        <v/>
      </c>
      <c r="E55" s="142" t="s">
        <v>1286</v>
      </c>
      <c r="F55" s="147">
        <f t="shared" si="13"/>
        <v>45390</v>
      </c>
      <c r="G55" s="143"/>
      <c r="H55" s="145"/>
      <c r="I55" s="145"/>
      <c r="J55" s="146" t="s">
        <v>1303</v>
      </c>
      <c r="K55" s="137"/>
    </row>
    <row r="56" ht="75.0" customHeight="1">
      <c r="A56" s="140"/>
      <c r="B56" s="141"/>
      <c r="C56" s="141"/>
      <c r="D56" s="141" t="str">
        <f t="shared" si="10"/>
        <v/>
      </c>
      <c r="E56" s="142" t="s">
        <v>1304</v>
      </c>
      <c r="F56" s="147">
        <f>date(2024,4,5)</f>
        <v>45387</v>
      </c>
      <c r="G56" s="144" t="s">
        <v>1215</v>
      </c>
      <c r="H56" s="145"/>
      <c r="I56" s="145"/>
      <c r="J56" s="146" t="s">
        <v>1305</v>
      </c>
      <c r="K56" s="137"/>
    </row>
    <row r="57" ht="75.0" customHeight="1">
      <c r="A57" s="140"/>
      <c r="B57" s="141"/>
      <c r="C57" s="141"/>
      <c r="D57" s="141" t="str">
        <f t="shared" si="10"/>
        <v/>
      </c>
      <c r="E57" s="142" t="s">
        <v>1306</v>
      </c>
      <c r="F57" s="147">
        <f>date(2024,4,3)</f>
        <v>45385</v>
      </c>
      <c r="G57" s="144" t="s">
        <v>1291</v>
      </c>
      <c r="H57" s="145"/>
      <c r="I57" s="145"/>
      <c r="J57" s="146" t="s">
        <v>1307</v>
      </c>
      <c r="K57" s="137"/>
    </row>
    <row r="58" ht="75.0" customHeight="1">
      <c r="A58" s="140"/>
      <c r="B58" s="141"/>
      <c r="C58" s="141"/>
      <c r="D58" s="141" t="str">
        <f t="shared" si="10"/>
        <v/>
      </c>
      <c r="E58" s="142" t="s">
        <v>1284</v>
      </c>
      <c r="F58" s="147">
        <f t="shared" ref="F58:F59" si="14">date(2024,4,1)</f>
        <v>45383</v>
      </c>
      <c r="G58" s="143"/>
      <c r="H58" s="145"/>
      <c r="I58" s="145"/>
      <c r="J58" s="146" t="s">
        <v>1308</v>
      </c>
      <c r="K58" s="137"/>
    </row>
    <row r="59" ht="75.0" customHeight="1">
      <c r="A59" s="140"/>
      <c r="B59" s="141"/>
      <c r="C59" s="141"/>
      <c r="D59" s="141" t="str">
        <f t="shared" si="10"/>
        <v/>
      </c>
      <c r="E59" s="142" t="s">
        <v>1286</v>
      </c>
      <c r="F59" s="147">
        <f t="shared" si="14"/>
        <v>45383</v>
      </c>
      <c r="G59" s="143"/>
      <c r="H59" s="145"/>
      <c r="I59" s="145"/>
      <c r="J59" s="146" t="s">
        <v>1309</v>
      </c>
      <c r="K59" s="137"/>
    </row>
    <row r="60" ht="37.5" customHeight="1">
      <c r="A60" s="138"/>
      <c r="B60" s="139"/>
      <c r="C60" s="139"/>
      <c r="D60" s="139" t="s">
        <v>1310</v>
      </c>
      <c r="K60" s="137"/>
    </row>
    <row r="61" ht="75.0" customHeight="1">
      <c r="A61" s="140"/>
      <c r="B61" s="141"/>
      <c r="C61" s="141"/>
      <c r="D61" s="141" t="str">
        <f t="shared" ref="D61:D71" si="15">IF(J61 &lt;&gt; "", IMAGE(J61), "-")</f>
        <v/>
      </c>
      <c r="E61" s="142" t="s">
        <v>1311</v>
      </c>
      <c r="F61" s="147">
        <f>date(2024,3,29)</f>
        <v>45380</v>
      </c>
      <c r="G61" s="144" t="s">
        <v>1312</v>
      </c>
      <c r="H61" s="145"/>
      <c r="I61" s="145"/>
      <c r="J61" s="146" t="s">
        <v>1313</v>
      </c>
      <c r="K61" s="137"/>
    </row>
    <row r="62" ht="75.0" customHeight="1">
      <c r="A62" s="140"/>
      <c r="B62" s="141"/>
      <c r="C62" s="141"/>
      <c r="D62" s="141" t="str">
        <f t="shared" si="15"/>
        <v/>
      </c>
      <c r="E62" s="142" t="s">
        <v>1314</v>
      </c>
      <c r="F62" s="147">
        <f>date(2024,3,28)</f>
        <v>45379</v>
      </c>
      <c r="G62" s="144" t="s">
        <v>1230</v>
      </c>
      <c r="H62" s="145"/>
      <c r="I62" s="145"/>
      <c r="J62" s="146" t="s">
        <v>1315</v>
      </c>
      <c r="K62" s="137"/>
    </row>
    <row r="63" ht="75.0" customHeight="1">
      <c r="A63" s="140"/>
      <c r="B63" s="141"/>
      <c r="C63" s="141"/>
      <c r="D63" s="141" t="str">
        <f t="shared" si="15"/>
        <v/>
      </c>
      <c r="E63" s="142" t="s">
        <v>1316</v>
      </c>
      <c r="F63" s="147">
        <f>date(2024,3,25)</f>
        <v>45376</v>
      </c>
      <c r="G63" s="143"/>
      <c r="H63" s="145"/>
      <c r="I63" s="145"/>
      <c r="J63" s="146" t="s">
        <v>1317</v>
      </c>
      <c r="K63" s="137"/>
    </row>
    <row r="64" ht="75.0" customHeight="1">
      <c r="A64" s="140"/>
      <c r="B64" s="141"/>
      <c r="C64" s="141"/>
      <c r="D64" s="141" t="str">
        <f t="shared" si="15"/>
        <v/>
      </c>
      <c r="E64" s="142" t="s">
        <v>1318</v>
      </c>
      <c r="F64" s="147">
        <f>date(2024,3,21)</f>
        <v>45372</v>
      </c>
      <c r="G64" s="144" t="s">
        <v>1312</v>
      </c>
      <c r="H64" s="145"/>
      <c r="I64" s="145"/>
      <c r="J64" s="146" t="s">
        <v>1319</v>
      </c>
      <c r="K64" s="137"/>
    </row>
    <row r="65" ht="75.0" customHeight="1">
      <c r="A65" s="140"/>
      <c r="B65" s="141"/>
      <c r="C65" s="141"/>
      <c r="D65" s="141" t="str">
        <f t="shared" si="15"/>
        <v/>
      </c>
      <c r="E65" s="142" t="s">
        <v>1320</v>
      </c>
      <c r="F65" s="147">
        <f>date(2024,3,15)</f>
        <v>45366</v>
      </c>
      <c r="G65" s="144" t="s">
        <v>1312</v>
      </c>
      <c r="H65" s="145"/>
      <c r="I65" s="145"/>
      <c r="J65" s="146" t="s">
        <v>1321</v>
      </c>
      <c r="K65" s="137"/>
    </row>
    <row r="66" ht="75.0" customHeight="1">
      <c r="A66" s="140"/>
      <c r="B66" s="141"/>
      <c r="C66" s="141"/>
      <c r="D66" s="141" t="str">
        <f t="shared" si="15"/>
        <v/>
      </c>
      <c r="E66" s="142" t="s">
        <v>1322</v>
      </c>
      <c r="F66" s="147">
        <f>date(2024,3,14)</f>
        <v>45365</v>
      </c>
      <c r="G66" s="143"/>
      <c r="H66" s="145"/>
      <c r="I66" s="145"/>
      <c r="J66" s="146" t="s">
        <v>1323</v>
      </c>
      <c r="K66" s="137"/>
    </row>
    <row r="67" ht="75.0" customHeight="1">
      <c r="A67" s="140"/>
      <c r="B67" s="141"/>
      <c r="C67" s="141"/>
      <c r="D67" s="141" t="str">
        <f t="shared" si="15"/>
        <v/>
      </c>
      <c r="E67" s="142" t="s">
        <v>1324</v>
      </c>
      <c r="F67" s="147">
        <f>date(2024,3,11)</f>
        <v>45362</v>
      </c>
      <c r="G67" s="144" t="s">
        <v>1291</v>
      </c>
      <c r="H67" s="145"/>
      <c r="I67" s="145"/>
      <c r="J67" s="146" t="s">
        <v>1325</v>
      </c>
      <c r="K67" s="137"/>
    </row>
    <row r="68" ht="75.0" customHeight="1">
      <c r="A68" s="140"/>
      <c r="B68" s="141"/>
      <c r="C68" s="141"/>
      <c r="D68" s="141" t="str">
        <f t="shared" si="15"/>
        <v/>
      </c>
      <c r="E68" s="142" t="s">
        <v>1326</v>
      </c>
      <c r="F68" s="147">
        <f>date(2024,3,9)</f>
        <v>45360</v>
      </c>
      <c r="G68" s="144" t="s">
        <v>1263</v>
      </c>
      <c r="H68" s="145"/>
      <c r="I68" s="145"/>
      <c r="J68" s="146" t="s">
        <v>1327</v>
      </c>
      <c r="K68" s="137"/>
    </row>
    <row r="69" ht="75.0" customHeight="1">
      <c r="A69" s="140"/>
      <c r="B69" s="141"/>
      <c r="C69" s="141"/>
      <c r="D69" s="141" t="str">
        <f t="shared" si="15"/>
        <v/>
      </c>
      <c r="E69" s="142" t="s">
        <v>1328</v>
      </c>
      <c r="F69" s="147">
        <f>date(2024,3,7)</f>
        <v>45358</v>
      </c>
      <c r="G69" s="143"/>
      <c r="H69" s="145"/>
      <c r="I69" s="145"/>
      <c r="J69" s="146" t="s">
        <v>1329</v>
      </c>
      <c r="K69" s="137"/>
    </row>
    <row r="70" ht="75.0" customHeight="1">
      <c r="A70" s="140"/>
      <c r="B70" s="141"/>
      <c r="C70" s="141"/>
      <c r="D70" s="141" t="str">
        <f t="shared" si="15"/>
        <v/>
      </c>
      <c r="E70" s="142" t="s">
        <v>1330</v>
      </c>
      <c r="F70" s="147">
        <f>date(2024,3,5)</f>
        <v>45356</v>
      </c>
      <c r="G70" s="144" t="s">
        <v>1331</v>
      </c>
      <c r="H70" s="145"/>
      <c r="I70" s="145"/>
      <c r="J70" s="146" t="s">
        <v>1332</v>
      </c>
      <c r="K70" s="137"/>
    </row>
    <row r="71" ht="75.0" customHeight="1">
      <c r="A71" s="140"/>
      <c r="B71" s="141"/>
      <c r="C71" s="141"/>
      <c r="D71" s="141" t="str">
        <f t="shared" si="15"/>
        <v/>
      </c>
      <c r="E71" s="142" t="s">
        <v>1333</v>
      </c>
      <c r="F71" s="147">
        <f>date(2024,3,1)</f>
        <v>45352</v>
      </c>
      <c r="G71" s="144" t="s">
        <v>1291</v>
      </c>
      <c r="H71" s="145"/>
      <c r="I71" s="145"/>
      <c r="J71" s="146" t="s">
        <v>1334</v>
      </c>
      <c r="K71" s="137"/>
    </row>
    <row r="72" ht="37.5" customHeight="1">
      <c r="A72" s="138"/>
      <c r="B72" s="139"/>
      <c r="C72" s="139"/>
      <c r="D72" s="139" t="s">
        <v>1335</v>
      </c>
      <c r="K72" s="137"/>
    </row>
    <row r="73" ht="75.0" customHeight="1">
      <c r="A73" s="140"/>
      <c r="B73" s="141"/>
      <c r="C73" s="141"/>
      <c r="D73" s="141" t="str">
        <f t="shared" ref="D73:D80" si="16">IF(J73 &lt;&gt; "", IMAGE(J73), "-")</f>
        <v/>
      </c>
      <c r="E73" s="142" t="s">
        <v>1336</v>
      </c>
      <c r="F73" s="147">
        <f>date(2024,2,27)</f>
        <v>45349</v>
      </c>
      <c r="G73" s="144" t="s">
        <v>1210</v>
      </c>
      <c r="H73" s="145"/>
      <c r="I73" s="145"/>
      <c r="J73" s="146" t="s">
        <v>1337</v>
      </c>
      <c r="K73" s="137"/>
    </row>
    <row r="74" ht="75.0" customHeight="1">
      <c r="A74" s="140"/>
      <c r="B74" s="141"/>
      <c r="C74" s="141"/>
      <c r="D74" s="141" t="str">
        <f t="shared" si="16"/>
        <v/>
      </c>
      <c r="E74" s="142" t="s">
        <v>1338</v>
      </c>
      <c r="F74" s="147">
        <f>date(2024,2,22)</f>
        <v>45344</v>
      </c>
      <c r="G74" s="143"/>
      <c r="H74" s="145"/>
      <c r="I74" s="145"/>
      <c r="J74" s="146" t="s">
        <v>1339</v>
      </c>
      <c r="K74" s="137"/>
    </row>
    <row r="75" ht="75.0" customHeight="1">
      <c r="A75" s="140"/>
      <c r="B75" s="141"/>
      <c r="C75" s="141"/>
      <c r="D75" s="141" t="str">
        <f t="shared" si="16"/>
        <v/>
      </c>
      <c r="E75" s="142" t="s">
        <v>1340</v>
      </c>
      <c r="F75" s="147">
        <f>date(2024,2,20)</f>
        <v>45342</v>
      </c>
      <c r="G75" s="144" t="s">
        <v>1202</v>
      </c>
      <c r="H75" s="145"/>
      <c r="I75" s="145"/>
      <c r="J75" s="146" t="s">
        <v>1341</v>
      </c>
      <c r="K75" s="137"/>
    </row>
    <row r="76" ht="75.0" customHeight="1">
      <c r="A76" s="140"/>
      <c r="B76" s="141"/>
      <c r="C76" s="141"/>
      <c r="D76" s="141" t="str">
        <f t="shared" si="16"/>
        <v/>
      </c>
      <c r="E76" s="142" t="s">
        <v>1212</v>
      </c>
      <c r="F76" s="147">
        <f>date(2024,2,16)</f>
        <v>45338</v>
      </c>
      <c r="G76" s="143"/>
      <c r="H76" s="145"/>
      <c r="I76" s="145"/>
      <c r="J76" s="146" t="s">
        <v>1342</v>
      </c>
      <c r="K76" s="137"/>
    </row>
    <row r="77" ht="75.0" customHeight="1">
      <c r="A77" s="140"/>
      <c r="B77" s="141"/>
      <c r="C77" s="141"/>
      <c r="D77" s="141" t="str">
        <f t="shared" si="16"/>
        <v/>
      </c>
      <c r="E77" s="142" t="s">
        <v>1343</v>
      </c>
      <c r="F77" s="147">
        <f>date(2024,2,14)</f>
        <v>45336</v>
      </c>
      <c r="G77" s="144" t="s">
        <v>1207</v>
      </c>
      <c r="H77" s="145"/>
      <c r="I77" s="145"/>
      <c r="J77" s="146" t="s">
        <v>1344</v>
      </c>
      <c r="K77" s="137"/>
    </row>
    <row r="78" ht="75.0" customHeight="1">
      <c r="A78" s="140"/>
      <c r="B78" s="141"/>
      <c r="C78" s="141"/>
      <c r="D78" s="141" t="str">
        <f t="shared" si="16"/>
        <v/>
      </c>
      <c r="E78" s="142" t="s">
        <v>1345</v>
      </c>
      <c r="F78" s="147">
        <f>date(2024,2,7)</f>
        <v>45329</v>
      </c>
      <c r="G78" s="144" t="s">
        <v>1331</v>
      </c>
      <c r="H78" s="145"/>
      <c r="I78" s="145"/>
      <c r="J78" s="146" t="s">
        <v>1346</v>
      </c>
      <c r="K78" s="137"/>
    </row>
    <row r="79" ht="75.0" customHeight="1">
      <c r="A79" s="140"/>
      <c r="B79" s="141"/>
      <c r="C79" s="141"/>
      <c r="D79" s="141" t="str">
        <f t="shared" si="16"/>
        <v/>
      </c>
      <c r="E79" s="142" t="s">
        <v>1347</v>
      </c>
      <c r="F79" s="147">
        <f>date(2024,2,5)</f>
        <v>45327</v>
      </c>
      <c r="G79" s="143"/>
      <c r="H79" s="145"/>
      <c r="I79" s="145"/>
      <c r="J79" s="146" t="s">
        <v>1348</v>
      </c>
      <c r="K79" s="137"/>
    </row>
    <row r="80" ht="75.0" customHeight="1">
      <c r="A80" s="140"/>
      <c r="B80" s="141"/>
      <c r="C80" s="141"/>
      <c r="D80" s="141" t="str">
        <f t="shared" si="16"/>
        <v/>
      </c>
      <c r="E80" s="142" t="s">
        <v>1349</v>
      </c>
      <c r="F80" s="147">
        <f>date(2024,2,2)</f>
        <v>45324</v>
      </c>
      <c r="G80" s="143"/>
      <c r="H80" s="145"/>
      <c r="I80" s="145"/>
      <c r="J80" s="146" t="s">
        <v>1350</v>
      </c>
      <c r="K80" s="137"/>
    </row>
    <row r="81" ht="37.5" customHeight="1">
      <c r="A81" s="138"/>
      <c r="B81" s="139"/>
      <c r="C81" s="139"/>
      <c r="D81" s="139" t="s">
        <v>1351</v>
      </c>
      <c r="K81" s="137"/>
    </row>
    <row r="82" ht="75.0" customHeight="1">
      <c r="A82" s="140"/>
      <c r="B82" s="141"/>
      <c r="C82" s="141"/>
      <c r="D82" s="141" t="str">
        <f t="shared" ref="D82:D90" si="17">IF(J82 &lt;&gt; "", IMAGE(J82), "-")</f>
        <v/>
      </c>
      <c r="E82" s="142" t="s">
        <v>1352</v>
      </c>
      <c r="F82" s="147">
        <f>date(2024,1,31)</f>
        <v>45322</v>
      </c>
      <c r="G82" s="144" t="s">
        <v>1353</v>
      </c>
      <c r="H82" s="145"/>
      <c r="I82" s="145"/>
      <c r="J82" s="146" t="s">
        <v>1354</v>
      </c>
      <c r="K82" s="137"/>
    </row>
    <row r="83" ht="75.0" customHeight="1">
      <c r="A83" s="140"/>
      <c r="B83" s="141"/>
      <c r="C83" s="141"/>
      <c r="D83" s="141" t="str">
        <f t="shared" si="17"/>
        <v/>
      </c>
      <c r="E83" s="142" t="s">
        <v>1355</v>
      </c>
      <c r="F83" s="147">
        <f>date(2024,1,29)</f>
        <v>45320</v>
      </c>
      <c r="G83" s="143"/>
      <c r="H83" s="145"/>
      <c r="I83" s="145"/>
      <c r="J83" s="146" t="s">
        <v>1356</v>
      </c>
      <c r="K83" s="137"/>
    </row>
    <row r="84" ht="75.0" customHeight="1">
      <c r="A84" s="140"/>
      <c r="B84" s="141"/>
      <c r="C84" s="141"/>
      <c r="D84" s="141" t="str">
        <f t="shared" si="17"/>
        <v/>
      </c>
      <c r="E84" s="142" t="s">
        <v>1357</v>
      </c>
      <c r="F84" s="147">
        <f>date(2024,1,24)</f>
        <v>45315</v>
      </c>
      <c r="G84" s="144" t="s">
        <v>1358</v>
      </c>
      <c r="H84" s="145"/>
      <c r="I84" s="145"/>
      <c r="J84" s="146" t="s">
        <v>1359</v>
      </c>
      <c r="K84" s="137"/>
    </row>
    <row r="85" ht="75.0" customHeight="1">
      <c r="A85" s="140"/>
      <c r="B85" s="141"/>
      <c r="C85" s="141"/>
      <c r="D85" s="141" t="str">
        <f t="shared" si="17"/>
        <v/>
      </c>
      <c r="E85" s="142" t="s">
        <v>1360</v>
      </c>
      <c r="F85" s="147">
        <f>date(2024,1,18)</f>
        <v>45309</v>
      </c>
      <c r="G85" s="144" t="s">
        <v>1235</v>
      </c>
      <c r="H85" s="145"/>
      <c r="I85" s="145"/>
      <c r="J85" s="146" t="s">
        <v>1361</v>
      </c>
      <c r="K85" s="137"/>
    </row>
    <row r="86" ht="75.0" customHeight="1">
      <c r="A86" s="140"/>
      <c r="B86" s="141"/>
      <c r="C86" s="141"/>
      <c r="D86" s="141" t="str">
        <f t="shared" si="17"/>
        <v/>
      </c>
      <c r="E86" s="142" t="s">
        <v>1362</v>
      </c>
      <c r="F86" s="147">
        <f>date(2024,1,15)</f>
        <v>45306</v>
      </c>
      <c r="G86" s="143"/>
      <c r="H86" s="145"/>
      <c r="I86" s="145"/>
      <c r="J86" s="146" t="s">
        <v>1363</v>
      </c>
      <c r="K86" s="137"/>
    </row>
    <row r="87" ht="75.0" customHeight="1">
      <c r="A87" s="140"/>
      <c r="B87" s="141"/>
      <c r="C87" s="141"/>
      <c r="D87" s="141" t="str">
        <f t="shared" si="17"/>
        <v/>
      </c>
      <c r="E87" s="142" t="s">
        <v>1364</v>
      </c>
      <c r="F87" s="147">
        <f>date(2024,1,10)</f>
        <v>45301</v>
      </c>
      <c r="G87" s="144" t="s">
        <v>1246</v>
      </c>
      <c r="H87" s="145"/>
      <c r="I87" s="145"/>
      <c r="J87" s="146" t="s">
        <v>1365</v>
      </c>
      <c r="K87" s="137"/>
    </row>
    <row r="88" ht="75.0" customHeight="1">
      <c r="A88" s="140"/>
      <c r="B88" s="141"/>
      <c r="C88" s="141"/>
      <c r="D88" s="141" t="str">
        <f t="shared" si="17"/>
        <v/>
      </c>
      <c r="E88" s="142" t="s">
        <v>1366</v>
      </c>
      <c r="F88" s="147">
        <f>date(2024,1,5)</f>
        <v>45296</v>
      </c>
      <c r="G88" s="143"/>
      <c r="H88" s="145"/>
      <c r="I88" s="145"/>
      <c r="J88" s="146" t="s">
        <v>1367</v>
      </c>
      <c r="K88" s="137"/>
    </row>
    <row r="89" ht="75.0" customHeight="1">
      <c r="A89" s="140"/>
      <c r="B89" s="141"/>
      <c r="C89" s="141"/>
      <c r="D89" s="141" t="str">
        <f t="shared" si="17"/>
        <v/>
      </c>
      <c r="E89" s="142" t="s">
        <v>1368</v>
      </c>
      <c r="F89" s="147">
        <f t="shared" ref="F89:F90" si="18">date(2024,1,1)</f>
        <v>45292</v>
      </c>
      <c r="G89" s="143"/>
      <c r="H89" s="145"/>
      <c r="I89" s="145"/>
      <c r="J89" s="146" t="s">
        <v>1369</v>
      </c>
      <c r="K89" s="137"/>
    </row>
    <row r="90" ht="75.0" customHeight="1">
      <c r="A90" s="140"/>
      <c r="B90" s="141"/>
      <c r="C90" s="141"/>
      <c r="D90" s="141" t="str">
        <f t="shared" si="17"/>
        <v/>
      </c>
      <c r="E90" s="142" t="s">
        <v>1370</v>
      </c>
      <c r="F90" s="147">
        <f t="shared" si="18"/>
        <v>45292</v>
      </c>
      <c r="G90" s="144" t="s">
        <v>1358</v>
      </c>
      <c r="H90" s="145"/>
      <c r="I90" s="145"/>
      <c r="J90" s="146" t="s">
        <v>1371</v>
      </c>
      <c r="K90" s="137"/>
    </row>
    <row r="91" ht="56.25" customHeight="1">
      <c r="A91" s="135"/>
      <c r="B91" s="136"/>
      <c r="C91" s="136"/>
      <c r="D91" s="136">
        <v>2023.0</v>
      </c>
      <c r="K91" s="137"/>
    </row>
    <row r="92" ht="37.5" customHeight="1">
      <c r="A92" s="138"/>
      <c r="B92" s="139"/>
      <c r="C92" s="139"/>
      <c r="D92" s="139" t="s">
        <v>1372</v>
      </c>
      <c r="K92" s="137"/>
    </row>
    <row r="93" ht="75.0" customHeight="1">
      <c r="A93" s="140"/>
      <c r="B93" s="141"/>
      <c r="C93" s="141"/>
      <c r="D93" s="141" t="str">
        <f t="shared" ref="D93:D100" si="19">IF(J93 &lt;&gt; "", IMAGE(J93), "-")</f>
        <v/>
      </c>
      <c r="E93" s="142" t="s">
        <v>1373</v>
      </c>
      <c r="F93" s="147">
        <f>date(2023,12,28)</f>
        <v>45288</v>
      </c>
      <c r="G93" s="143"/>
      <c r="H93" s="145"/>
      <c r="I93" s="145"/>
      <c r="J93" s="146" t="s">
        <v>1374</v>
      </c>
      <c r="K93" s="137"/>
    </row>
    <row r="94" ht="75.0" customHeight="1">
      <c r="A94" s="140"/>
      <c r="B94" s="141"/>
      <c r="C94" s="141"/>
      <c r="D94" s="141" t="str">
        <f t="shared" si="19"/>
        <v/>
      </c>
      <c r="E94" s="142" t="s">
        <v>1375</v>
      </c>
      <c r="F94" s="147">
        <f>date(2023,12,26)</f>
        <v>45286</v>
      </c>
      <c r="G94" s="144" t="s">
        <v>1312</v>
      </c>
      <c r="H94" s="145"/>
      <c r="I94" s="145"/>
      <c r="J94" s="146" t="s">
        <v>1376</v>
      </c>
      <c r="K94" s="137"/>
    </row>
    <row r="95" ht="75.0" customHeight="1">
      <c r="A95" s="140"/>
      <c r="B95" s="141"/>
      <c r="C95" s="141"/>
      <c r="D95" s="141" t="str">
        <f t="shared" si="19"/>
        <v/>
      </c>
      <c r="E95" s="142" t="s">
        <v>1239</v>
      </c>
      <c r="F95" s="147">
        <f>date(2023,12,22)</f>
        <v>45282</v>
      </c>
      <c r="G95" s="143"/>
      <c r="H95" s="145"/>
      <c r="I95" s="145"/>
      <c r="J95" s="146" t="s">
        <v>1377</v>
      </c>
      <c r="K95" s="137"/>
    </row>
    <row r="96" ht="75.0" customHeight="1">
      <c r="A96" s="140"/>
      <c r="B96" s="141"/>
      <c r="C96" s="141"/>
      <c r="D96" s="141" t="str">
        <f t="shared" si="19"/>
        <v/>
      </c>
      <c r="E96" s="142" t="s">
        <v>1378</v>
      </c>
      <c r="F96" s="147">
        <f>date(2023,12,20)</f>
        <v>45280</v>
      </c>
      <c r="G96" s="144" t="s">
        <v>1230</v>
      </c>
      <c r="H96" s="145"/>
      <c r="I96" s="145"/>
      <c r="J96" s="146" t="s">
        <v>1379</v>
      </c>
      <c r="K96" s="137"/>
    </row>
    <row r="97" ht="75.0" customHeight="1">
      <c r="A97" s="140"/>
      <c r="B97" s="141"/>
      <c r="C97" s="141"/>
      <c r="D97" s="141" t="str">
        <f t="shared" si="19"/>
        <v/>
      </c>
      <c r="E97" s="142" t="s">
        <v>1380</v>
      </c>
      <c r="F97" s="147">
        <f>date(2023,12,15)</f>
        <v>45275</v>
      </c>
      <c r="G97" s="143"/>
      <c r="H97" s="145"/>
      <c r="I97" s="145"/>
      <c r="J97" s="146" t="s">
        <v>1381</v>
      </c>
      <c r="K97" s="137"/>
    </row>
    <row r="98" ht="75.0" customHeight="1">
      <c r="A98" s="140"/>
      <c r="B98" s="141"/>
      <c r="C98" s="141"/>
      <c r="D98" s="141" t="str">
        <f t="shared" si="19"/>
        <v/>
      </c>
      <c r="E98" s="142" t="s">
        <v>1382</v>
      </c>
      <c r="F98" s="147">
        <f>date(2023,12,12)</f>
        <v>45272</v>
      </c>
      <c r="G98" s="144" t="s">
        <v>1331</v>
      </c>
      <c r="H98" s="145"/>
      <c r="I98" s="145"/>
      <c r="J98" s="146" t="s">
        <v>1383</v>
      </c>
      <c r="K98" s="137"/>
    </row>
    <row r="99" ht="75.0" customHeight="1">
      <c r="A99" s="140"/>
      <c r="B99" s="141"/>
      <c r="C99" s="141"/>
      <c r="D99" s="141" t="str">
        <f t="shared" si="19"/>
        <v/>
      </c>
      <c r="E99" s="142" t="s">
        <v>1384</v>
      </c>
      <c r="F99" s="147">
        <f>date(2023,12,7)</f>
        <v>45267</v>
      </c>
      <c r="G99" s="143"/>
      <c r="H99" s="145"/>
      <c r="I99" s="145"/>
      <c r="J99" s="146" t="s">
        <v>1385</v>
      </c>
      <c r="K99" s="137"/>
    </row>
    <row r="100" ht="75.0" customHeight="1">
      <c r="A100" s="140"/>
      <c r="B100" s="141"/>
      <c r="C100" s="141"/>
      <c r="D100" s="141" t="str">
        <f t="shared" si="19"/>
        <v/>
      </c>
      <c r="E100" s="142" t="s">
        <v>1386</v>
      </c>
      <c r="F100" s="147">
        <f>date(2023,12,5)</f>
        <v>45265</v>
      </c>
      <c r="G100" s="144" t="s">
        <v>1312</v>
      </c>
      <c r="H100" s="145"/>
      <c r="I100" s="145"/>
      <c r="J100" s="146" t="s">
        <v>1387</v>
      </c>
      <c r="K100" s="137"/>
    </row>
    <row r="101" ht="37.5" customHeight="1">
      <c r="A101" s="138"/>
      <c r="B101" s="139"/>
      <c r="C101" s="139"/>
      <c r="D101" s="139" t="s">
        <v>1388</v>
      </c>
      <c r="K101" s="137"/>
    </row>
    <row r="102" ht="75.0" customHeight="1">
      <c r="A102" s="140"/>
      <c r="B102" s="141"/>
      <c r="C102" s="141"/>
      <c r="D102" s="141" t="str">
        <f t="shared" ref="D102:D111" si="20">IF(J102 &lt;&gt; "", IMAGE(J102), "-")</f>
        <v/>
      </c>
      <c r="E102" s="142" t="s">
        <v>1389</v>
      </c>
      <c r="F102" s="147">
        <f>date(2023,11,30)</f>
        <v>45260</v>
      </c>
      <c r="G102" s="143"/>
      <c r="H102" s="145"/>
      <c r="I102" s="145"/>
      <c r="J102" s="146" t="s">
        <v>1390</v>
      </c>
      <c r="K102" s="137"/>
    </row>
    <row r="103" ht="75.0" customHeight="1">
      <c r="A103" s="140"/>
      <c r="B103" s="141"/>
      <c r="C103" s="141"/>
      <c r="D103" s="141" t="str">
        <f t="shared" si="20"/>
        <v/>
      </c>
      <c r="E103" s="142" t="s">
        <v>1391</v>
      </c>
      <c r="F103" s="147">
        <f>date(2023,11,28)</f>
        <v>45258</v>
      </c>
      <c r="G103" s="144" t="s">
        <v>1230</v>
      </c>
      <c r="H103" s="145"/>
      <c r="I103" s="145"/>
      <c r="J103" s="146" t="s">
        <v>1392</v>
      </c>
      <c r="K103" s="137"/>
    </row>
    <row r="104" ht="75.0" customHeight="1">
      <c r="A104" s="140"/>
      <c r="B104" s="141"/>
      <c r="C104" s="141"/>
      <c r="D104" s="141" t="str">
        <f t="shared" si="20"/>
        <v/>
      </c>
      <c r="E104" s="142" t="s">
        <v>1288</v>
      </c>
      <c r="F104" s="147">
        <f>date(2023,11,24)</f>
        <v>45254</v>
      </c>
      <c r="G104" s="143"/>
      <c r="H104" s="145"/>
      <c r="I104" s="145"/>
      <c r="J104" s="146" t="s">
        <v>1393</v>
      </c>
      <c r="K104" s="137"/>
    </row>
    <row r="105" ht="75.0" customHeight="1">
      <c r="A105" s="140"/>
      <c r="B105" s="141"/>
      <c r="C105" s="141"/>
      <c r="D105" s="141" t="str">
        <f t="shared" si="20"/>
        <v/>
      </c>
      <c r="E105" s="142" t="s">
        <v>1394</v>
      </c>
      <c r="F105" s="147">
        <f>date(2023,11,21)</f>
        <v>45251</v>
      </c>
      <c r="G105" s="143"/>
      <c r="H105" s="145"/>
      <c r="I105" s="145"/>
      <c r="J105" s="146" t="s">
        <v>1395</v>
      </c>
      <c r="K105" s="137"/>
    </row>
    <row r="106" ht="75.0" customHeight="1">
      <c r="A106" s="140"/>
      <c r="B106" s="141"/>
      <c r="C106" s="141"/>
      <c r="D106" s="141" t="str">
        <f t="shared" si="20"/>
        <v/>
      </c>
      <c r="E106" s="142" t="s">
        <v>1396</v>
      </c>
      <c r="F106" s="147">
        <f>date(2023,11,17)</f>
        <v>45247</v>
      </c>
      <c r="G106" s="143"/>
      <c r="H106" s="145"/>
      <c r="I106" s="145"/>
      <c r="J106" s="146" t="s">
        <v>1397</v>
      </c>
      <c r="K106" s="137"/>
    </row>
    <row r="107" ht="75.0" customHeight="1">
      <c r="A107" s="140"/>
      <c r="B107" s="141"/>
      <c r="C107" s="141"/>
      <c r="D107" s="141" t="str">
        <f t="shared" si="20"/>
        <v/>
      </c>
      <c r="E107" s="142" t="s">
        <v>1398</v>
      </c>
      <c r="F107" s="147">
        <f>date(2023,11,14)</f>
        <v>45244</v>
      </c>
      <c r="G107" s="144" t="s">
        <v>1331</v>
      </c>
      <c r="H107" s="145"/>
      <c r="I107" s="145"/>
      <c r="J107" s="146" t="s">
        <v>1399</v>
      </c>
      <c r="K107" s="137"/>
    </row>
    <row r="108" ht="75.0" customHeight="1">
      <c r="A108" s="140"/>
      <c r="B108" s="141"/>
      <c r="C108" s="141"/>
      <c r="D108" s="141" t="str">
        <f t="shared" si="20"/>
        <v/>
      </c>
      <c r="E108" s="142" t="s">
        <v>1400</v>
      </c>
      <c r="F108" s="147">
        <f>date(2023,11,13)</f>
        <v>45243</v>
      </c>
      <c r="G108" s="143"/>
      <c r="H108" s="145"/>
      <c r="I108" s="145"/>
      <c r="J108" s="146" t="s">
        <v>1401</v>
      </c>
      <c r="K108" s="137"/>
    </row>
    <row r="109" ht="75.0" customHeight="1">
      <c r="A109" s="140"/>
      <c r="B109" s="141"/>
      <c r="C109" s="141"/>
      <c r="D109" s="141" t="str">
        <f t="shared" si="20"/>
        <v/>
      </c>
      <c r="E109" s="142" t="s">
        <v>1402</v>
      </c>
      <c r="F109" s="147">
        <f>date(2023,11,9)</f>
        <v>45239</v>
      </c>
      <c r="G109" s="144" t="s">
        <v>1291</v>
      </c>
      <c r="H109" s="145"/>
      <c r="I109" s="145"/>
      <c r="J109" s="146" t="s">
        <v>1403</v>
      </c>
      <c r="K109" s="137"/>
    </row>
    <row r="110" ht="75.0" customHeight="1">
      <c r="A110" s="140"/>
      <c r="B110" s="141"/>
      <c r="C110" s="141"/>
      <c r="D110" s="141" t="str">
        <f t="shared" si="20"/>
        <v/>
      </c>
      <c r="E110" s="142" t="s">
        <v>1404</v>
      </c>
      <c r="F110" s="147">
        <f>date(2023,11,7)</f>
        <v>45237</v>
      </c>
      <c r="G110" s="143"/>
      <c r="H110" s="145"/>
      <c r="I110" s="145"/>
      <c r="J110" s="146" t="s">
        <v>1405</v>
      </c>
      <c r="K110" s="137"/>
    </row>
    <row r="111" ht="75.0" customHeight="1">
      <c r="A111" s="140"/>
      <c r="B111" s="141"/>
      <c r="C111" s="141"/>
      <c r="D111" s="141" t="str">
        <f t="shared" si="20"/>
        <v/>
      </c>
      <c r="E111" s="142" t="s">
        <v>1406</v>
      </c>
      <c r="F111" s="147">
        <f>date(2023,11,3)</f>
        <v>45233</v>
      </c>
      <c r="G111" s="144" t="s">
        <v>1263</v>
      </c>
      <c r="H111" s="145"/>
      <c r="I111" s="145"/>
      <c r="J111" s="146" t="s">
        <v>1407</v>
      </c>
      <c r="K111" s="148"/>
    </row>
    <row r="112" ht="37.5" customHeight="1">
      <c r="A112" s="138"/>
      <c r="B112" s="139"/>
      <c r="C112" s="139"/>
      <c r="D112" s="139" t="s">
        <v>1408</v>
      </c>
      <c r="K112" s="137"/>
    </row>
    <row r="113" ht="75.0" customHeight="1">
      <c r="A113" s="140"/>
      <c r="B113" s="141"/>
      <c r="C113" s="141"/>
      <c r="D113" s="141" t="str">
        <f t="shared" ref="D113:D124" si="21">IF(J113 &lt;&gt; "", IMAGE(J113), "-")</f>
        <v/>
      </c>
      <c r="E113" s="142" t="s">
        <v>1409</v>
      </c>
      <c r="F113" s="147">
        <f>date(2023,10,30)</f>
        <v>45229</v>
      </c>
      <c r="G113" s="144" t="s">
        <v>1312</v>
      </c>
      <c r="H113" s="145"/>
      <c r="I113" s="145"/>
      <c r="J113" s="146" t="s">
        <v>1410</v>
      </c>
      <c r="K113" s="137"/>
    </row>
    <row r="114" ht="75.0" customHeight="1">
      <c r="A114" s="140"/>
      <c r="B114" s="141"/>
      <c r="C114" s="141"/>
      <c r="D114" s="141" t="str">
        <f t="shared" si="21"/>
        <v/>
      </c>
      <c r="E114" s="142" t="s">
        <v>1411</v>
      </c>
      <c r="F114" s="147">
        <f>date(2023,10,26)</f>
        <v>45225</v>
      </c>
      <c r="G114" s="144" t="s">
        <v>1230</v>
      </c>
      <c r="H114" s="145"/>
      <c r="I114" s="145"/>
      <c r="J114" s="146" t="s">
        <v>1412</v>
      </c>
      <c r="K114" s="137"/>
    </row>
    <row r="115" ht="75.0" customHeight="1">
      <c r="A115" s="140"/>
      <c r="B115" s="141"/>
      <c r="C115" s="141"/>
      <c r="D115" s="141" t="str">
        <f t="shared" si="21"/>
        <v/>
      </c>
      <c r="E115" s="142" t="s">
        <v>1413</v>
      </c>
      <c r="F115" s="147">
        <f>date(2023,10,24)</f>
        <v>45223</v>
      </c>
      <c r="G115" s="143"/>
      <c r="H115" s="145"/>
      <c r="I115" s="145"/>
      <c r="J115" s="146" t="s">
        <v>1414</v>
      </c>
      <c r="K115" s="137"/>
    </row>
    <row r="116" ht="75.0" customHeight="1">
      <c r="A116" s="140"/>
      <c r="B116" s="141"/>
      <c r="C116" s="141"/>
      <c r="D116" s="141" t="str">
        <f t="shared" si="21"/>
        <v/>
      </c>
      <c r="E116" s="142" t="s">
        <v>1212</v>
      </c>
      <c r="F116" s="147">
        <f t="shared" ref="F116:F117" si="22">date(2023,10,21)</f>
        <v>45220</v>
      </c>
      <c r="G116" s="143"/>
      <c r="H116" s="145"/>
      <c r="I116" s="145"/>
      <c r="J116" s="146" t="s">
        <v>1415</v>
      </c>
      <c r="K116" s="137"/>
    </row>
    <row r="117" ht="75.0" customHeight="1">
      <c r="A117" s="140"/>
      <c r="B117" s="141"/>
      <c r="C117" s="141"/>
      <c r="D117" s="141" t="str">
        <f t="shared" si="21"/>
        <v/>
      </c>
      <c r="E117" s="142" t="s">
        <v>1416</v>
      </c>
      <c r="F117" s="147">
        <f t="shared" si="22"/>
        <v>45220</v>
      </c>
      <c r="G117" s="144" t="s">
        <v>1312</v>
      </c>
      <c r="H117" s="145"/>
      <c r="I117" s="145"/>
      <c r="J117" s="146" t="s">
        <v>1417</v>
      </c>
      <c r="K117" s="137"/>
    </row>
    <row r="118" ht="75.0" customHeight="1">
      <c r="A118" s="140"/>
      <c r="B118" s="141"/>
      <c r="C118" s="141"/>
      <c r="D118" s="141" t="str">
        <f t="shared" si="21"/>
        <v/>
      </c>
      <c r="E118" s="142" t="s">
        <v>1418</v>
      </c>
      <c r="F118" s="147">
        <f>date(2023,10,17)</f>
        <v>45216</v>
      </c>
      <c r="G118" s="144" t="s">
        <v>1210</v>
      </c>
      <c r="H118" s="145"/>
      <c r="I118" s="145"/>
      <c r="J118" s="146" t="s">
        <v>1419</v>
      </c>
      <c r="K118" s="137"/>
    </row>
    <row r="119" ht="75.0" customHeight="1">
      <c r="A119" s="140"/>
      <c r="B119" s="141"/>
      <c r="C119" s="141"/>
      <c r="D119" s="141" t="str">
        <f t="shared" si="21"/>
        <v/>
      </c>
      <c r="E119" s="142" t="s">
        <v>1338</v>
      </c>
      <c r="F119" s="147">
        <f>date(2023,10,13)</f>
        <v>45212</v>
      </c>
      <c r="G119" s="143"/>
      <c r="H119" s="145"/>
      <c r="I119" s="145"/>
      <c r="J119" s="146" t="s">
        <v>1420</v>
      </c>
      <c r="K119" s="137"/>
    </row>
    <row r="120" ht="75.0" customHeight="1">
      <c r="A120" s="140"/>
      <c r="B120" s="141"/>
      <c r="C120" s="141"/>
      <c r="D120" s="141" t="str">
        <f t="shared" si="21"/>
        <v/>
      </c>
      <c r="E120" s="142" t="s">
        <v>1421</v>
      </c>
      <c r="F120" s="147">
        <f>date(2023,10,12)</f>
        <v>45211</v>
      </c>
      <c r="G120" s="144" t="s">
        <v>1331</v>
      </c>
      <c r="H120" s="145"/>
      <c r="I120" s="145"/>
      <c r="J120" s="146" t="s">
        <v>1422</v>
      </c>
      <c r="K120" s="137"/>
    </row>
    <row r="121" ht="75.0" customHeight="1">
      <c r="A121" s="140"/>
      <c r="B121" s="141"/>
      <c r="C121" s="141"/>
      <c r="D121" s="141" t="str">
        <f t="shared" si="21"/>
        <v/>
      </c>
      <c r="E121" s="142" t="s">
        <v>1423</v>
      </c>
      <c r="F121" s="147">
        <f>date(2023,10,10)</f>
        <v>45209</v>
      </c>
      <c r="G121" s="144" t="s">
        <v>1312</v>
      </c>
      <c r="H121" s="145"/>
      <c r="I121" s="145"/>
      <c r="J121" s="146" t="s">
        <v>1424</v>
      </c>
      <c r="K121" s="137"/>
    </row>
    <row r="122" ht="75.0" customHeight="1">
      <c r="A122" s="140"/>
      <c r="B122" s="141"/>
      <c r="C122" s="141"/>
      <c r="D122" s="141" t="str">
        <f t="shared" si="21"/>
        <v/>
      </c>
      <c r="E122" s="142" t="s">
        <v>1425</v>
      </c>
      <c r="F122" s="147">
        <f>date(2023,10,6)</f>
        <v>45205</v>
      </c>
      <c r="G122" s="143"/>
      <c r="H122" s="145"/>
      <c r="I122" s="145"/>
      <c r="J122" s="146" t="s">
        <v>1426</v>
      </c>
      <c r="K122" s="137"/>
    </row>
    <row r="123" ht="75.0" customHeight="1">
      <c r="A123" s="140"/>
      <c r="B123" s="141"/>
      <c r="C123" s="141"/>
      <c r="D123" s="141" t="str">
        <f t="shared" si="21"/>
        <v/>
      </c>
      <c r="E123" s="142" t="s">
        <v>1427</v>
      </c>
      <c r="F123" s="147">
        <f>date(2023,10,5)</f>
        <v>45204</v>
      </c>
      <c r="G123" s="143"/>
      <c r="H123" s="145"/>
      <c r="I123" s="145"/>
      <c r="J123" s="146" t="s">
        <v>1428</v>
      </c>
      <c r="K123" s="137"/>
    </row>
    <row r="124" ht="75.0" customHeight="1">
      <c r="A124" s="140"/>
      <c r="B124" s="141"/>
      <c r="C124" s="141"/>
      <c r="D124" s="141" t="str">
        <f t="shared" si="21"/>
        <v/>
      </c>
      <c r="E124" s="142" t="s">
        <v>1429</v>
      </c>
      <c r="F124" s="147">
        <f>date(2023,10,3)</f>
        <v>45202</v>
      </c>
      <c r="G124" s="144" t="s">
        <v>1331</v>
      </c>
      <c r="H124" s="145"/>
      <c r="I124" s="145"/>
      <c r="J124" s="146" t="s">
        <v>1430</v>
      </c>
      <c r="K124" s="137"/>
    </row>
    <row r="125" ht="37.5" customHeight="1">
      <c r="A125" s="138"/>
      <c r="B125" s="139"/>
      <c r="C125" s="139"/>
      <c r="D125" s="139" t="s">
        <v>1431</v>
      </c>
      <c r="K125" s="137"/>
    </row>
    <row r="126" ht="75.0" customHeight="1">
      <c r="A126" s="140"/>
      <c r="B126" s="141"/>
      <c r="C126" s="141"/>
      <c r="D126" s="141" t="str">
        <f t="shared" ref="D126:D134" si="23">IF(J126 &lt;&gt; "", IMAGE(J126), "-")</f>
        <v/>
      </c>
      <c r="E126" s="142" t="s">
        <v>1432</v>
      </c>
      <c r="F126" s="147">
        <f>date(2023,9,28)</f>
        <v>45197</v>
      </c>
      <c r="G126" s="144" t="s">
        <v>1215</v>
      </c>
      <c r="H126" s="145"/>
      <c r="I126" s="145"/>
      <c r="J126" s="146" t="s">
        <v>1433</v>
      </c>
      <c r="K126" s="137"/>
    </row>
    <row r="127" ht="75.0" customHeight="1">
      <c r="A127" s="140"/>
      <c r="B127" s="141"/>
      <c r="C127" s="141"/>
      <c r="D127" s="141" t="str">
        <f t="shared" si="23"/>
        <v/>
      </c>
      <c r="E127" s="142" t="s">
        <v>1434</v>
      </c>
      <c r="F127" s="147">
        <f>date(2023,9,26)</f>
        <v>45195</v>
      </c>
      <c r="G127" s="144" t="s">
        <v>1230</v>
      </c>
      <c r="H127" s="145"/>
      <c r="I127" s="145"/>
      <c r="J127" s="146" t="s">
        <v>1435</v>
      </c>
      <c r="K127" s="137"/>
    </row>
    <row r="128" ht="75.0" customHeight="1">
      <c r="A128" s="140"/>
      <c r="B128" s="141"/>
      <c r="C128" s="141"/>
      <c r="D128" s="141" t="str">
        <f t="shared" si="23"/>
        <v/>
      </c>
      <c r="E128" s="142" t="s">
        <v>1398</v>
      </c>
      <c r="F128" s="147">
        <f>date(2023,9,19)</f>
        <v>45188</v>
      </c>
      <c r="G128" s="144" t="s">
        <v>1331</v>
      </c>
      <c r="H128" s="145"/>
      <c r="I128" s="145"/>
      <c r="J128" s="146" t="s">
        <v>1436</v>
      </c>
      <c r="K128" s="137"/>
    </row>
    <row r="129" ht="75.0" customHeight="1">
      <c r="A129" s="140"/>
      <c r="B129" s="141"/>
      <c r="C129" s="141"/>
      <c r="D129" s="141" t="str">
        <f t="shared" si="23"/>
        <v/>
      </c>
      <c r="E129" s="142" t="s">
        <v>1437</v>
      </c>
      <c r="F129" s="147">
        <f>date(2023,9,18)</f>
        <v>45187</v>
      </c>
      <c r="G129" s="143"/>
      <c r="H129" s="145"/>
      <c r="I129" s="145"/>
      <c r="J129" s="146" t="s">
        <v>1438</v>
      </c>
      <c r="K129" s="137"/>
    </row>
    <row r="130" ht="75.0" customHeight="1">
      <c r="A130" s="140"/>
      <c r="B130" s="141"/>
      <c r="C130" s="141"/>
      <c r="D130" s="141" t="str">
        <f t="shared" si="23"/>
        <v/>
      </c>
      <c r="E130" s="142" t="s">
        <v>1439</v>
      </c>
      <c r="F130" s="147">
        <f>date(2023,9,14)</f>
        <v>45183</v>
      </c>
      <c r="G130" s="143"/>
      <c r="H130" s="145"/>
      <c r="I130" s="145"/>
      <c r="J130" s="146" t="s">
        <v>1440</v>
      </c>
      <c r="K130" s="137"/>
    </row>
    <row r="131" ht="75.0" customHeight="1">
      <c r="A131" s="140"/>
      <c r="B131" s="141"/>
      <c r="C131" s="141"/>
      <c r="D131" s="141" t="str">
        <f t="shared" si="23"/>
        <v/>
      </c>
      <c r="E131" s="142" t="s">
        <v>1441</v>
      </c>
      <c r="F131" s="147">
        <f>date(2023,9,12)</f>
        <v>45181</v>
      </c>
      <c r="G131" s="144" t="s">
        <v>1312</v>
      </c>
      <c r="H131" s="145"/>
      <c r="I131" s="145"/>
      <c r="J131" s="146" t="s">
        <v>1442</v>
      </c>
      <c r="K131" s="137"/>
    </row>
    <row r="132" ht="75.0" customHeight="1">
      <c r="A132" s="140"/>
      <c r="B132" s="141"/>
      <c r="C132" s="141"/>
      <c r="D132" s="141" t="str">
        <f t="shared" si="23"/>
        <v/>
      </c>
      <c r="E132" s="142" t="s">
        <v>1443</v>
      </c>
      <c r="F132" s="147">
        <f>date(2023,9,11)</f>
        <v>45180</v>
      </c>
      <c r="G132" s="143"/>
      <c r="H132" s="145"/>
      <c r="I132" s="145"/>
      <c r="J132" s="146" t="s">
        <v>1444</v>
      </c>
      <c r="K132" s="137"/>
    </row>
    <row r="133" ht="75.0" customHeight="1">
      <c r="A133" s="140"/>
      <c r="B133" s="141"/>
      <c r="C133" s="141"/>
      <c r="D133" s="141" t="str">
        <f t="shared" si="23"/>
        <v/>
      </c>
      <c r="E133" s="142" t="s">
        <v>1445</v>
      </c>
      <c r="F133" s="147">
        <f>date(2023,9,8)</f>
        <v>45177</v>
      </c>
      <c r="G133" s="143"/>
      <c r="H133" s="145"/>
      <c r="I133" s="145"/>
      <c r="J133" s="146" t="s">
        <v>1446</v>
      </c>
      <c r="K133" s="137"/>
    </row>
    <row r="134" ht="75.0" customHeight="1">
      <c r="A134" s="140"/>
      <c r="B134" s="141"/>
      <c r="C134" s="141"/>
      <c r="D134" s="141" t="str">
        <f t="shared" si="23"/>
        <v/>
      </c>
      <c r="E134" s="142" t="s">
        <v>1447</v>
      </c>
      <c r="F134" s="147">
        <f>date(2023,9,5)</f>
        <v>45174</v>
      </c>
      <c r="G134" s="144" t="s">
        <v>1312</v>
      </c>
      <c r="H134" s="145"/>
      <c r="I134" s="145"/>
      <c r="J134" s="146" t="s">
        <v>1448</v>
      </c>
      <c r="K134" s="137"/>
    </row>
    <row r="135" ht="37.5" customHeight="1">
      <c r="A135" s="138"/>
      <c r="B135" s="139"/>
      <c r="C135" s="139"/>
      <c r="D135" s="139" t="s">
        <v>1449</v>
      </c>
      <c r="K135" s="137"/>
    </row>
    <row r="136" ht="75.0" customHeight="1">
      <c r="A136" s="140"/>
      <c r="B136" s="141"/>
      <c r="C136" s="141"/>
      <c r="D136" s="141" t="str">
        <f t="shared" ref="D136:D145" si="24">IF(J136 &lt;&gt; "", IMAGE(J136), "-")</f>
        <v/>
      </c>
      <c r="E136" s="142" t="s">
        <v>1450</v>
      </c>
      <c r="F136" s="147">
        <f>date(2023,8,31)</f>
        <v>45169</v>
      </c>
      <c r="G136" s="143"/>
      <c r="H136" s="145"/>
      <c r="I136" s="145"/>
      <c r="J136" s="146" t="s">
        <v>1451</v>
      </c>
      <c r="K136" s="137"/>
    </row>
    <row r="137" ht="75.0" customHeight="1">
      <c r="A137" s="140"/>
      <c r="B137" s="141"/>
      <c r="C137" s="141"/>
      <c r="D137" s="141" t="str">
        <f t="shared" si="24"/>
        <v/>
      </c>
      <c r="E137" s="142" t="s">
        <v>1452</v>
      </c>
      <c r="F137" s="147">
        <f>date(2023,8,29)</f>
        <v>45167</v>
      </c>
      <c r="G137" s="144" t="s">
        <v>1453</v>
      </c>
      <c r="H137" s="145"/>
      <c r="I137" s="145"/>
      <c r="J137" s="146" t="s">
        <v>1454</v>
      </c>
      <c r="K137" s="137"/>
    </row>
    <row r="138" ht="75.0" customHeight="1">
      <c r="A138" s="140"/>
      <c r="B138" s="141"/>
      <c r="C138" s="141"/>
      <c r="D138" s="141" t="str">
        <f t="shared" si="24"/>
        <v/>
      </c>
      <c r="E138" s="142" t="s">
        <v>1455</v>
      </c>
      <c r="F138" s="147">
        <f>date(2023,8,23)</f>
        <v>45161</v>
      </c>
      <c r="G138" s="144" t="s">
        <v>1456</v>
      </c>
      <c r="H138" s="145"/>
      <c r="I138" s="145"/>
      <c r="J138" s="146" t="s">
        <v>1457</v>
      </c>
      <c r="K138" s="137"/>
    </row>
    <row r="139" ht="75.0" customHeight="1">
      <c r="A139" s="140"/>
      <c r="B139" s="141"/>
      <c r="C139" s="141"/>
      <c r="D139" s="141" t="str">
        <f t="shared" si="24"/>
        <v/>
      </c>
      <c r="E139" s="142" t="s">
        <v>1298</v>
      </c>
      <c r="F139" s="147">
        <f>date(2023,8,18)</f>
        <v>45156</v>
      </c>
      <c r="G139" s="143"/>
      <c r="H139" s="145"/>
      <c r="I139" s="145"/>
      <c r="J139" s="146" t="s">
        <v>1458</v>
      </c>
      <c r="K139" s="137"/>
    </row>
    <row r="140" ht="75.0" customHeight="1">
      <c r="A140" s="140"/>
      <c r="B140" s="141"/>
      <c r="C140" s="141"/>
      <c r="D140" s="141" t="str">
        <f t="shared" si="24"/>
        <v/>
      </c>
      <c r="E140" s="142" t="s">
        <v>1459</v>
      </c>
      <c r="F140" s="147">
        <f>date(2023,8,16)</f>
        <v>45154</v>
      </c>
      <c r="G140" s="144" t="s">
        <v>1263</v>
      </c>
      <c r="H140" s="145"/>
      <c r="I140" s="145"/>
      <c r="J140" s="146" t="s">
        <v>1460</v>
      </c>
      <c r="K140" s="137"/>
    </row>
    <row r="141" ht="75.0" customHeight="1">
      <c r="A141" s="140"/>
      <c r="B141" s="141"/>
      <c r="C141" s="141"/>
      <c r="D141" s="141" t="str">
        <f t="shared" si="24"/>
        <v/>
      </c>
      <c r="E141" s="142" t="s">
        <v>1461</v>
      </c>
      <c r="F141" s="147">
        <f>date(2023,8,14)</f>
        <v>45152</v>
      </c>
      <c r="G141" s="144" t="s">
        <v>1210</v>
      </c>
      <c r="H141" s="145"/>
      <c r="I141" s="145"/>
      <c r="J141" s="146" t="s">
        <v>1462</v>
      </c>
      <c r="K141" s="137"/>
    </row>
    <row r="142" ht="75.0" customHeight="1">
      <c r="A142" s="140"/>
      <c r="B142" s="141"/>
      <c r="C142" s="141"/>
      <c r="D142" s="141" t="str">
        <f t="shared" si="24"/>
        <v/>
      </c>
      <c r="E142" s="142" t="s">
        <v>1463</v>
      </c>
      <c r="F142" s="147">
        <f>date(2023,8,10)</f>
        <v>45148</v>
      </c>
      <c r="G142" s="144" t="s">
        <v>1246</v>
      </c>
      <c r="H142" s="145"/>
      <c r="I142" s="145"/>
      <c r="J142" s="146" t="s">
        <v>1464</v>
      </c>
      <c r="K142" s="137"/>
    </row>
    <row r="143" ht="75.0" customHeight="1">
      <c r="A143" s="140"/>
      <c r="B143" s="141"/>
      <c r="C143" s="141"/>
      <c r="D143" s="141" t="str">
        <f t="shared" si="24"/>
        <v/>
      </c>
      <c r="E143" s="142" t="s">
        <v>1465</v>
      </c>
      <c r="F143" s="147">
        <f>date(2023,8,6)</f>
        <v>45144</v>
      </c>
      <c r="G143" s="144" t="s">
        <v>1466</v>
      </c>
      <c r="H143" s="145"/>
      <c r="I143" s="145"/>
      <c r="J143" s="146" t="s">
        <v>1467</v>
      </c>
      <c r="K143" s="137"/>
    </row>
    <row r="144" ht="75.0" customHeight="1">
      <c r="A144" s="140"/>
      <c r="B144" s="141"/>
      <c r="C144" s="141"/>
      <c r="D144" s="141" t="str">
        <f t="shared" si="24"/>
        <v/>
      </c>
      <c r="E144" s="142" t="s">
        <v>1468</v>
      </c>
      <c r="F144" s="147">
        <f t="shared" ref="F144:F145" si="25">date(2023,8,3)</f>
        <v>45141</v>
      </c>
      <c r="G144" s="144" t="s">
        <v>1202</v>
      </c>
      <c r="H144" s="145"/>
      <c r="I144" s="145"/>
      <c r="J144" s="146" t="s">
        <v>1469</v>
      </c>
      <c r="K144" s="137"/>
    </row>
    <row r="145" ht="75.0" customHeight="1">
      <c r="A145" s="140"/>
      <c r="B145" s="141"/>
      <c r="C145" s="141"/>
      <c r="D145" s="141" t="str">
        <f t="shared" si="24"/>
        <v/>
      </c>
      <c r="E145" s="142" t="s">
        <v>1470</v>
      </c>
      <c r="F145" s="147">
        <f t="shared" si="25"/>
        <v>45141</v>
      </c>
      <c r="G145" s="144" t="s">
        <v>1235</v>
      </c>
      <c r="H145" s="145"/>
      <c r="I145" s="145"/>
      <c r="J145" s="146" t="s">
        <v>1471</v>
      </c>
      <c r="K145" s="137"/>
    </row>
    <row r="146" ht="37.5" customHeight="1">
      <c r="A146" s="138"/>
      <c r="B146" s="139"/>
      <c r="C146" s="139"/>
      <c r="D146" s="139" t="s">
        <v>1472</v>
      </c>
      <c r="K146" s="137"/>
    </row>
    <row r="147" ht="75.0" customHeight="1">
      <c r="A147" s="140"/>
      <c r="B147" s="141"/>
      <c r="C147" s="141"/>
      <c r="D147" s="141" t="str">
        <f t="shared" ref="D147:D156" si="26">IF(J147 &lt;&gt; "", IMAGE(J147), "-")</f>
        <v/>
      </c>
      <c r="E147" s="142" t="s">
        <v>1473</v>
      </c>
      <c r="F147" s="147">
        <f t="shared" ref="F147:F148" si="27">date(2023,7,26)</f>
        <v>45133</v>
      </c>
      <c r="G147" s="144" t="s">
        <v>1202</v>
      </c>
      <c r="H147" s="145"/>
      <c r="I147" s="145"/>
      <c r="J147" s="146" t="s">
        <v>1474</v>
      </c>
      <c r="K147" s="137"/>
    </row>
    <row r="148" ht="75.0" customHeight="1">
      <c r="A148" s="140"/>
      <c r="B148" s="141"/>
      <c r="C148" s="141"/>
      <c r="D148" s="141" t="str">
        <f t="shared" si="26"/>
        <v/>
      </c>
      <c r="E148" s="142" t="s">
        <v>1475</v>
      </c>
      <c r="F148" s="147">
        <f t="shared" si="27"/>
        <v>45133</v>
      </c>
      <c r="G148" s="144" t="s">
        <v>1207</v>
      </c>
      <c r="H148" s="145"/>
      <c r="I148" s="145"/>
      <c r="J148" s="146" t="s">
        <v>1476</v>
      </c>
      <c r="K148" s="137"/>
    </row>
    <row r="149" ht="75.0" customHeight="1">
      <c r="A149" s="140"/>
      <c r="B149" s="141"/>
      <c r="C149" s="141"/>
      <c r="D149" s="141" t="str">
        <f t="shared" si="26"/>
        <v/>
      </c>
      <c r="E149" s="142" t="s">
        <v>1219</v>
      </c>
      <c r="F149" s="147">
        <f>date(2023,7,24)</f>
        <v>45131</v>
      </c>
      <c r="G149" s="143"/>
      <c r="H149" s="145"/>
      <c r="I149" s="145"/>
      <c r="J149" s="146" t="s">
        <v>1477</v>
      </c>
      <c r="K149" s="137"/>
    </row>
    <row r="150" ht="75.0" customHeight="1">
      <c r="A150" s="140"/>
      <c r="B150" s="141"/>
      <c r="C150" s="141"/>
      <c r="D150" s="141" t="str">
        <f t="shared" si="26"/>
        <v/>
      </c>
      <c r="E150" s="142" t="s">
        <v>1478</v>
      </c>
      <c r="F150" s="147">
        <f>date(2023,7,20)</f>
        <v>45127</v>
      </c>
      <c r="G150" s="144" t="s">
        <v>1291</v>
      </c>
      <c r="H150" s="145"/>
      <c r="I150" s="145"/>
      <c r="J150" s="146" t="s">
        <v>1479</v>
      </c>
      <c r="K150" s="137"/>
    </row>
    <row r="151" ht="75.0" customHeight="1">
      <c r="A151" s="140"/>
      <c r="B151" s="141"/>
      <c r="C151" s="141"/>
      <c r="D151" s="141" t="str">
        <f t="shared" si="26"/>
        <v/>
      </c>
      <c r="E151" s="142" t="s">
        <v>1480</v>
      </c>
      <c r="F151" s="147">
        <f>date(2023,7,18)</f>
        <v>45125</v>
      </c>
      <c r="G151" s="143"/>
      <c r="H151" s="145"/>
      <c r="I151" s="145"/>
      <c r="J151" s="146" t="s">
        <v>1481</v>
      </c>
      <c r="K151" s="137"/>
    </row>
    <row r="152" ht="75.0" customHeight="1">
      <c r="A152" s="140"/>
      <c r="B152" s="141"/>
      <c r="C152" s="141"/>
      <c r="D152" s="141" t="str">
        <f t="shared" si="26"/>
        <v/>
      </c>
      <c r="E152" s="142" t="s">
        <v>1243</v>
      </c>
      <c r="F152" s="147">
        <f>date(2023,7,17)</f>
        <v>45124</v>
      </c>
      <c r="G152" s="143"/>
      <c r="H152" s="145"/>
      <c r="I152" s="145"/>
      <c r="J152" s="146" t="s">
        <v>1482</v>
      </c>
      <c r="K152" s="137"/>
    </row>
    <row r="153" ht="75.0" customHeight="1">
      <c r="A153" s="140"/>
      <c r="B153" s="141"/>
      <c r="C153" s="141"/>
      <c r="D153" s="141" t="str">
        <f t="shared" si="26"/>
        <v/>
      </c>
      <c r="E153" s="142" t="s">
        <v>1483</v>
      </c>
      <c r="F153" s="147">
        <f>date(2023,7,13)</f>
        <v>45120</v>
      </c>
      <c r="G153" s="144" t="s">
        <v>1291</v>
      </c>
      <c r="H153" s="145"/>
      <c r="I153" s="145"/>
      <c r="J153" s="146" t="s">
        <v>1484</v>
      </c>
      <c r="K153" s="137"/>
    </row>
    <row r="154" ht="75.0" customHeight="1">
      <c r="A154" s="140"/>
      <c r="B154" s="141"/>
      <c r="C154" s="141"/>
      <c r="D154" s="141" t="str">
        <f t="shared" si="26"/>
        <v/>
      </c>
      <c r="E154" s="142" t="s">
        <v>1239</v>
      </c>
      <c r="F154" s="147">
        <f>date(2023,7,10)</f>
        <v>45117</v>
      </c>
      <c r="G154" s="143"/>
      <c r="H154" s="145"/>
      <c r="I154" s="145"/>
      <c r="J154" s="146" t="s">
        <v>1485</v>
      </c>
      <c r="K154" s="137"/>
    </row>
    <row r="155" ht="75.0" customHeight="1">
      <c r="A155" s="140"/>
      <c r="B155" s="141"/>
      <c r="C155" s="141"/>
      <c r="D155" s="141" t="str">
        <f t="shared" si="26"/>
        <v/>
      </c>
      <c r="E155" s="142" t="s">
        <v>1486</v>
      </c>
      <c r="F155" s="147">
        <f>date(2023,7,6)</f>
        <v>45113</v>
      </c>
      <c r="G155" s="144" t="s">
        <v>1235</v>
      </c>
      <c r="H155" s="145"/>
      <c r="I155" s="145"/>
      <c r="J155" s="146" t="s">
        <v>1487</v>
      </c>
      <c r="K155" s="137"/>
    </row>
    <row r="156" ht="75.0" customHeight="1">
      <c r="A156" s="140"/>
      <c r="B156" s="141"/>
      <c r="C156" s="141"/>
      <c r="D156" s="141" t="str">
        <f t="shared" si="26"/>
        <v/>
      </c>
      <c r="E156" s="142" t="s">
        <v>1488</v>
      </c>
      <c r="F156" s="147">
        <f>date(2023,7,4)</f>
        <v>45111</v>
      </c>
      <c r="G156" s="143"/>
      <c r="H156" s="145"/>
      <c r="I156" s="145"/>
      <c r="J156" s="146" t="s">
        <v>1489</v>
      </c>
      <c r="K156" s="137"/>
    </row>
    <row r="157" ht="37.5" customHeight="1">
      <c r="A157" s="138"/>
      <c r="B157" s="139"/>
      <c r="C157" s="139"/>
      <c r="D157" s="139" t="s">
        <v>1490</v>
      </c>
      <c r="K157" s="137"/>
    </row>
    <row r="158" ht="75.0" customHeight="1">
      <c r="A158" s="140"/>
      <c r="B158" s="141"/>
      <c r="C158" s="141"/>
      <c r="D158" s="141" t="str">
        <f t="shared" ref="D158:D166" si="28">IF(J158 &lt;&gt; "", IMAGE(J158), "-")</f>
        <v/>
      </c>
      <c r="E158" s="142" t="s">
        <v>1347</v>
      </c>
      <c r="F158" s="147">
        <f>date(2023,6,30)</f>
        <v>45107</v>
      </c>
      <c r="G158" s="143"/>
      <c r="H158" s="145"/>
      <c r="I158" s="145"/>
      <c r="J158" s="146" t="s">
        <v>1491</v>
      </c>
      <c r="K158" s="137"/>
    </row>
    <row r="159" ht="75.0" customHeight="1">
      <c r="A159" s="140"/>
      <c r="B159" s="141"/>
      <c r="C159" s="141"/>
      <c r="D159" s="141" t="str">
        <f t="shared" si="28"/>
        <v/>
      </c>
      <c r="E159" s="142" t="s">
        <v>1492</v>
      </c>
      <c r="F159" s="147">
        <f>date(2023,6,29)</f>
        <v>45106</v>
      </c>
      <c r="G159" s="144" t="s">
        <v>1230</v>
      </c>
      <c r="H159" s="145"/>
      <c r="I159" s="145"/>
      <c r="J159" s="146" t="s">
        <v>1493</v>
      </c>
      <c r="K159" s="137"/>
    </row>
    <row r="160" ht="75.0" customHeight="1">
      <c r="A160" s="140"/>
      <c r="B160" s="141"/>
      <c r="C160" s="141"/>
      <c r="D160" s="141" t="str">
        <f t="shared" si="28"/>
        <v/>
      </c>
      <c r="E160" s="142" t="s">
        <v>1494</v>
      </c>
      <c r="F160" s="147">
        <f>date(2023,6,23)</f>
        <v>45100</v>
      </c>
      <c r="G160" s="143"/>
      <c r="H160" s="145"/>
      <c r="I160" s="145"/>
      <c r="J160" s="146" t="s">
        <v>1495</v>
      </c>
      <c r="K160" s="137"/>
    </row>
    <row r="161" ht="75.0" customHeight="1">
      <c r="A161" s="140"/>
      <c r="B161" s="141"/>
      <c r="C161" s="141"/>
      <c r="D161" s="141" t="str">
        <f t="shared" si="28"/>
        <v/>
      </c>
      <c r="E161" s="142" t="s">
        <v>1496</v>
      </c>
      <c r="F161" s="147">
        <f>date(2023,6,22)</f>
        <v>45099</v>
      </c>
      <c r="G161" s="144" t="s">
        <v>1331</v>
      </c>
      <c r="H161" s="145"/>
      <c r="I161" s="145"/>
      <c r="J161" s="146" t="s">
        <v>1497</v>
      </c>
      <c r="K161" s="137"/>
    </row>
    <row r="162" ht="75.0" customHeight="1">
      <c r="A162" s="140"/>
      <c r="B162" s="141"/>
      <c r="C162" s="141"/>
      <c r="D162" s="141" t="str">
        <f t="shared" si="28"/>
        <v/>
      </c>
      <c r="E162" s="142" t="s">
        <v>1498</v>
      </c>
      <c r="F162" s="147">
        <f>date(2023,6,20)</f>
        <v>45097</v>
      </c>
      <c r="G162" s="144" t="s">
        <v>1291</v>
      </c>
      <c r="H162" s="145"/>
      <c r="I162" s="145"/>
      <c r="J162" s="146" t="s">
        <v>1499</v>
      </c>
      <c r="K162" s="137"/>
    </row>
    <row r="163" ht="75.0" customHeight="1">
      <c r="A163" s="140"/>
      <c r="B163" s="141"/>
      <c r="C163" s="141"/>
      <c r="D163" s="141" t="str">
        <f t="shared" si="28"/>
        <v/>
      </c>
      <c r="E163" s="142" t="s">
        <v>1500</v>
      </c>
      <c r="F163" s="147">
        <f>date(2023,6,15)</f>
        <v>45092</v>
      </c>
      <c r="G163" s="144" t="s">
        <v>1215</v>
      </c>
      <c r="H163" s="145"/>
      <c r="I163" s="145"/>
      <c r="J163" s="146" t="s">
        <v>1501</v>
      </c>
      <c r="K163" s="137"/>
    </row>
    <row r="164" ht="75.0" customHeight="1">
      <c r="A164" s="140"/>
      <c r="B164" s="141"/>
      <c r="C164" s="141"/>
      <c r="D164" s="141" t="str">
        <f t="shared" si="28"/>
        <v/>
      </c>
      <c r="E164" s="142" t="s">
        <v>1502</v>
      </c>
      <c r="F164" s="147">
        <f>date(2023,6,13)</f>
        <v>45090</v>
      </c>
      <c r="G164" s="144" t="s">
        <v>1331</v>
      </c>
      <c r="H164" s="145"/>
      <c r="I164" s="145"/>
      <c r="J164" s="146" t="s">
        <v>1503</v>
      </c>
      <c r="K164" s="137"/>
    </row>
    <row r="165" ht="75.0" customHeight="1">
      <c r="A165" s="140"/>
      <c r="B165" s="141"/>
      <c r="C165" s="141"/>
      <c r="D165" s="141" t="str">
        <f t="shared" si="28"/>
        <v/>
      </c>
      <c r="E165" s="142" t="s">
        <v>1504</v>
      </c>
      <c r="F165" s="147">
        <f>date(2023,6,9)</f>
        <v>45086</v>
      </c>
      <c r="G165" s="143"/>
      <c r="H165" s="145"/>
      <c r="I165" s="145"/>
      <c r="J165" s="146" t="s">
        <v>1505</v>
      </c>
      <c r="K165" s="137"/>
    </row>
    <row r="166" ht="75.0" customHeight="1">
      <c r="A166" s="140"/>
      <c r="B166" s="141"/>
      <c r="C166" s="141"/>
      <c r="D166" s="141" t="str">
        <f t="shared" si="28"/>
        <v/>
      </c>
      <c r="E166" s="142" t="s">
        <v>1506</v>
      </c>
      <c r="F166" s="147">
        <f>date(2023,6,6)</f>
        <v>45083</v>
      </c>
      <c r="G166" s="144" t="s">
        <v>1291</v>
      </c>
      <c r="H166" s="145"/>
      <c r="I166" s="145"/>
      <c r="J166" s="146" t="s">
        <v>1507</v>
      </c>
      <c r="K166" s="137"/>
    </row>
    <row r="167" ht="37.5" customHeight="1">
      <c r="A167" s="138"/>
      <c r="B167" s="139"/>
      <c r="C167" s="139"/>
      <c r="D167" s="139" t="s">
        <v>1508</v>
      </c>
      <c r="K167" s="137"/>
    </row>
    <row r="168" ht="75.0" customHeight="1">
      <c r="A168" s="140"/>
      <c r="B168" s="141"/>
      <c r="C168" s="141"/>
      <c r="D168" s="141" t="str">
        <f t="shared" ref="D168:D178" si="29">IF(J168 &lt;&gt; "", IMAGE(J168), "-")</f>
        <v/>
      </c>
      <c r="E168" s="142" t="s">
        <v>1391</v>
      </c>
      <c r="F168" s="147">
        <f>date(2023,5,30)</f>
        <v>45076</v>
      </c>
      <c r="G168" s="144" t="s">
        <v>1230</v>
      </c>
      <c r="H168" s="145"/>
      <c r="I168" s="145"/>
      <c r="J168" s="146" t="s">
        <v>1509</v>
      </c>
      <c r="K168" s="137"/>
    </row>
    <row r="169" ht="75.0" customHeight="1">
      <c r="A169" s="140"/>
      <c r="B169" s="141"/>
      <c r="C169" s="141"/>
      <c r="D169" s="141" t="str">
        <f t="shared" si="29"/>
        <v/>
      </c>
      <c r="E169" s="142" t="s">
        <v>1232</v>
      </c>
      <c r="F169" s="147">
        <f>date(2023,5,26)</f>
        <v>45072</v>
      </c>
      <c r="G169" s="143"/>
      <c r="H169" s="145"/>
      <c r="I169" s="145"/>
      <c r="J169" s="146" t="s">
        <v>1510</v>
      </c>
      <c r="K169" s="137"/>
    </row>
    <row r="170" ht="75.0" customHeight="1">
      <c r="A170" s="140"/>
      <c r="B170" s="141"/>
      <c r="C170" s="141"/>
      <c r="D170" s="141" t="str">
        <f t="shared" si="29"/>
        <v/>
      </c>
      <c r="E170" s="142" t="s">
        <v>1511</v>
      </c>
      <c r="F170" s="147">
        <f>date(2023,5,23)</f>
        <v>45069</v>
      </c>
      <c r="G170" s="144" t="s">
        <v>1271</v>
      </c>
      <c r="H170" s="145"/>
      <c r="I170" s="145"/>
      <c r="J170" s="146" t="s">
        <v>1512</v>
      </c>
      <c r="K170" s="137"/>
    </row>
    <row r="171" ht="75.0" customHeight="1">
      <c r="A171" s="140"/>
      <c r="B171" s="141"/>
      <c r="C171" s="141"/>
      <c r="D171" s="141" t="str">
        <f t="shared" si="29"/>
        <v/>
      </c>
      <c r="E171" s="142" t="s">
        <v>1513</v>
      </c>
      <c r="F171" s="147">
        <f>date(2023,5,17)</f>
        <v>45063</v>
      </c>
      <c r="G171" s="144" t="s">
        <v>1514</v>
      </c>
      <c r="H171" s="145"/>
      <c r="I171" s="145"/>
      <c r="J171" s="146" t="s">
        <v>1515</v>
      </c>
      <c r="K171" s="137"/>
    </row>
    <row r="172" ht="75.0" customHeight="1">
      <c r="A172" s="140"/>
      <c r="B172" s="141"/>
      <c r="C172" s="141"/>
      <c r="D172" s="141" t="str">
        <f t="shared" si="29"/>
        <v/>
      </c>
      <c r="E172" s="142" t="s">
        <v>1253</v>
      </c>
      <c r="F172" s="147">
        <f>date(2023,5,15)</f>
        <v>45061</v>
      </c>
      <c r="G172" s="143"/>
      <c r="H172" s="145"/>
      <c r="I172" s="145"/>
      <c r="J172" s="146" t="s">
        <v>1516</v>
      </c>
      <c r="K172" s="137"/>
    </row>
    <row r="173" ht="75.0" customHeight="1">
      <c r="A173" s="140"/>
      <c r="B173" s="141"/>
      <c r="C173" s="141"/>
      <c r="D173" s="141" t="str">
        <f t="shared" si="29"/>
        <v/>
      </c>
      <c r="E173" s="142" t="s">
        <v>1517</v>
      </c>
      <c r="F173" s="147">
        <f>date(2023,5,11)</f>
        <v>45057</v>
      </c>
      <c r="G173" s="144" t="s">
        <v>1271</v>
      </c>
      <c r="H173" s="145"/>
      <c r="I173" s="145"/>
      <c r="J173" s="146" t="s">
        <v>1518</v>
      </c>
      <c r="K173" s="137"/>
    </row>
    <row r="174" ht="75.0" customHeight="1">
      <c r="A174" s="140"/>
      <c r="B174" s="141"/>
      <c r="C174" s="141"/>
      <c r="D174" s="141" t="str">
        <f t="shared" si="29"/>
        <v/>
      </c>
      <c r="E174" s="142" t="s">
        <v>1519</v>
      </c>
      <c r="F174" s="147">
        <f>date(2023,5,9)</f>
        <v>45055</v>
      </c>
      <c r="G174" s="144" t="s">
        <v>1268</v>
      </c>
      <c r="H174" s="145"/>
      <c r="I174" s="145"/>
      <c r="J174" s="146" t="s">
        <v>1520</v>
      </c>
      <c r="K174" s="137"/>
    </row>
    <row r="175" ht="75.0" customHeight="1">
      <c r="A175" s="140"/>
      <c r="B175" s="141"/>
      <c r="C175" s="141"/>
      <c r="D175" s="141" t="str">
        <f t="shared" si="29"/>
        <v/>
      </c>
      <c r="E175" s="142" t="s">
        <v>1224</v>
      </c>
      <c r="F175" s="147">
        <f>date(2023,5,8)</f>
        <v>45054</v>
      </c>
      <c r="G175" s="143"/>
      <c r="H175" s="145"/>
      <c r="I175" s="145"/>
      <c r="J175" s="146" t="s">
        <v>1521</v>
      </c>
      <c r="K175" s="137"/>
    </row>
    <row r="176" ht="75.0" customHeight="1">
      <c r="A176" s="140"/>
      <c r="B176" s="141"/>
      <c r="C176" s="141"/>
      <c r="D176" s="141" t="str">
        <f t="shared" si="29"/>
        <v/>
      </c>
      <c r="E176" s="142" t="s">
        <v>1522</v>
      </c>
      <c r="F176" s="147">
        <f>date(2023,5,5)</f>
        <v>45051</v>
      </c>
      <c r="G176" s="144" t="s">
        <v>1263</v>
      </c>
      <c r="H176" s="145"/>
      <c r="I176" s="145"/>
      <c r="J176" s="146" t="s">
        <v>1523</v>
      </c>
      <c r="K176" s="137"/>
    </row>
    <row r="177" ht="75.0" customHeight="1">
      <c r="A177" s="140"/>
      <c r="B177" s="141"/>
      <c r="C177" s="141"/>
      <c r="D177" s="141" t="str">
        <f t="shared" si="29"/>
        <v/>
      </c>
      <c r="E177" s="142" t="s">
        <v>1524</v>
      </c>
      <c r="F177" s="147">
        <f>date(2023,5,3)</f>
        <v>45049</v>
      </c>
      <c r="G177" s="144" t="s">
        <v>1268</v>
      </c>
      <c r="H177" s="145"/>
      <c r="I177" s="145"/>
      <c r="J177" s="146" t="s">
        <v>1525</v>
      </c>
      <c r="K177" s="137"/>
    </row>
    <row r="178" ht="75.0" customHeight="1">
      <c r="A178" s="140"/>
      <c r="B178" s="141"/>
      <c r="C178" s="141"/>
      <c r="D178" s="141" t="str">
        <f t="shared" si="29"/>
        <v/>
      </c>
      <c r="E178" s="142" t="s">
        <v>1526</v>
      </c>
      <c r="F178" s="147">
        <f>date(2023,5,1)</f>
        <v>45047</v>
      </c>
      <c r="G178" s="144" t="s">
        <v>1263</v>
      </c>
      <c r="H178" s="145"/>
      <c r="I178" s="145"/>
      <c r="J178" s="146" t="s">
        <v>1527</v>
      </c>
      <c r="K178" s="137"/>
    </row>
    <row r="179" ht="37.5" customHeight="1">
      <c r="A179" s="138"/>
      <c r="B179" s="139"/>
      <c r="C179" s="139"/>
      <c r="D179" s="139" t="s">
        <v>1528</v>
      </c>
      <c r="K179" s="137"/>
    </row>
    <row r="180" ht="75.0" customHeight="1">
      <c r="A180" s="140"/>
      <c r="B180" s="141"/>
      <c r="C180" s="141"/>
      <c r="D180" s="141" t="str">
        <f t="shared" ref="D180:D188" si="30">IF(J180 &lt;&gt; "", IMAGE(J180), "-")</f>
        <v/>
      </c>
      <c r="E180" s="142" t="s">
        <v>1529</v>
      </c>
      <c r="F180" s="147">
        <f>date(2023,4,27)</f>
        <v>45043</v>
      </c>
      <c r="G180" s="144" t="s">
        <v>1530</v>
      </c>
      <c r="H180" s="145"/>
      <c r="I180" s="145"/>
      <c r="J180" s="146" t="s">
        <v>1531</v>
      </c>
      <c r="K180" s="137"/>
    </row>
    <row r="181" ht="75.0" customHeight="1">
      <c r="A181" s="140"/>
      <c r="B181" s="141"/>
      <c r="C181" s="141"/>
      <c r="D181" s="141" t="str">
        <f t="shared" si="30"/>
        <v/>
      </c>
      <c r="E181" s="142" t="s">
        <v>1532</v>
      </c>
      <c r="F181" s="147">
        <f>date(2023,4,25)</f>
        <v>45041</v>
      </c>
      <c r="G181" s="144" t="s">
        <v>1268</v>
      </c>
      <c r="H181" s="145"/>
      <c r="I181" s="145"/>
      <c r="J181" s="146" t="s">
        <v>1533</v>
      </c>
      <c r="K181" s="137"/>
    </row>
    <row r="182" ht="75.0" customHeight="1">
      <c r="A182" s="140"/>
      <c r="B182" s="141"/>
      <c r="C182" s="141"/>
      <c r="D182" s="141" t="str">
        <f t="shared" si="30"/>
        <v/>
      </c>
      <c r="E182" s="142" t="s">
        <v>1534</v>
      </c>
      <c r="F182" s="147">
        <f>date(2023,4,20)</f>
        <v>45036</v>
      </c>
      <c r="G182" s="144" t="s">
        <v>1535</v>
      </c>
      <c r="H182" s="145"/>
      <c r="I182" s="145"/>
      <c r="J182" s="146" t="s">
        <v>1536</v>
      </c>
      <c r="K182" s="137"/>
    </row>
    <row r="183" ht="75.0" customHeight="1">
      <c r="A183" s="140"/>
      <c r="B183" s="141"/>
      <c r="C183" s="141"/>
      <c r="D183" s="141" t="str">
        <f t="shared" si="30"/>
        <v/>
      </c>
      <c r="E183" s="142" t="s">
        <v>1265</v>
      </c>
      <c r="F183" s="147">
        <f>date(2023,4,14)</f>
        <v>45030</v>
      </c>
      <c r="G183" s="143"/>
      <c r="H183" s="145"/>
      <c r="I183" s="145"/>
      <c r="J183" s="146" t="s">
        <v>1537</v>
      </c>
      <c r="K183" s="137"/>
    </row>
    <row r="184" ht="75.0" customHeight="1">
      <c r="A184" s="140"/>
      <c r="B184" s="141"/>
      <c r="C184" s="141"/>
      <c r="D184" s="141" t="str">
        <f t="shared" si="30"/>
        <v/>
      </c>
      <c r="E184" s="142" t="s">
        <v>1538</v>
      </c>
      <c r="F184" s="147">
        <f>date(2023,4,13)</f>
        <v>45029</v>
      </c>
      <c r="G184" s="144" t="s">
        <v>1331</v>
      </c>
      <c r="H184" s="145"/>
      <c r="I184" s="145"/>
      <c r="J184" s="146" t="s">
        <v>1539</v>
      </c>
      <c r="K184" s="137"/>
    </row>
    <row r="185" ht="75.0" customHeight="1">
      <c r="A185" s="140"/>
      <c r="B185" s="141"/>
      <c r="C185" s="141"/>
      <c r="D185" s="141" t="str">
        <f t="shared" si="30"/>
        <v/>
      </c>
      <c r="E185" s="142" t="s">
        <v>1540</v>
      </c>
      <c r="F185" s="147">
        <f>date(2023,4,11)</f>
        <v>45027</v>
      </c>
      <c r="G185" s="143"/>
      <c r="H185" s="145"/>
      <c r="I185" s="145"/>
      <c r="J185" s="146" t="s">
        <v>1541</v>
      </c>
      <c r="K185" s="137"/>
    </row>
    <row r="186" ht="75.0" customHeight="1">
      <c r="A186" s="140"/>
      <c r="B186" s="141"/>
      <c r="C186" s="141"/>
      <c r="D186" s="141" t="str">
        <f t="shared" si="30"/>
        <v/>
      </c>
      <c r="E186" s="142" t="s">
        <v>1542</v>
      </c>
      <c r="F186" s="147">
        <f>date(2023,4,7)</f>
        <v>45023</v>
      </c>
      <c r="G186" s="143"/>
      <c r="H186" s="145"/>
      <c r="I186" s="145"/>
      <c r="J186" s="146" t="s">
        <v>1543</v>
      </c>
      <c r="K186" s="137"/>
    </row>
    <row r="187" ht="75.0" customHeight="1">
      <c r="A187" s="140"/>
      <c r="B187" s="141"/>
      <c r="C187" s="141"/>
      <c r="D187" s="141" t="str">
        <f t="shared" si="30"/>
        <v/>
      </c>
      <c r="E187" s="142" t="s">
        <v>1544</v>
      </c>
      <c r="F187" s="147">
        <f>date(2023,4,6)</f>
        <v>45022</v>
      </c>
      <c r="G187" s="144" t="s">
        <v>1331</v>
      </c>
      <c r="H187" s="145"/>
      <c r="I187" s="145"/>
      <c r="J187" s="146" t="s">
        <v>1545</v>
      </c>
      <c r="K187" s="137"/>
    </row>
    <row r="188" ht="75.0" customHeight="1">
      <c r="A188" s="140"/>
      <c r="B188" s="141"/>
      <c r="C188" s="141"/>
      <c r="D188" s="141" t="str">
        <f t="shared" si="30"/>
        <v/>
      </c>
      <c r="E188" s="142" t="s">
        <v>1546</v>
      </c>
      <c r="F188" s="147">
        <f>date(2023,4,3)</f>
        <v>45019</v>
      </c>
      <c r="G188" s="143"/>
      <c r="H188" s="145"/>
      <c r="I188" s="145"/>
      <c r="J188" s="146" t="s">
        <v>1547</v>
      </c>
      <c r="K188" s="137"/>
    </row>
    <row r="189" ht="37.5" customHeight="1">
      <c r="A189" s="138"/>
      <c r="B189" s="139"/>
      <c r="C189" s="139"/>
      <c r="D189" s="139" t="s">
        <v>1548</v>
      </c>
      <c r="K189" s="137"/>
    </row>
    <row r="190" ht="75.0" customHeight="1">
      <c r="A190" s="140"/>
      <c r="B190" s="141"/>
      <c r="C190" s="141"/>
      <c r="D190" s="141" t="str">
        <f t="shared" ref="D190:D199" si="31">IF(J190 &lt;&gt; "", IMAGE(J190), "-")</f>
        <v/>
      </c>
      <c r="E190" s="142" t="s">
        <v>1338</v>
      </c>
      <c r="F190" s="147">
        <f>date(2023,3,31)</f>
        <v>45016</v>
      </c>
      <c r="G190" s="143"/>
      <c r="H190" s="145"/>
      <c r="I190" s="145"/>
      <c r="J190" s="146" t="s">
        <v>1549</v>
      </c>
      <c r="K190" s="137"/>
    </row>
    <row r="191" ht="75.0" customHeight="1">
      <c r="A191" s="140"/>
      <c r="B191" s="141"/>
      <c r="C191" s="141"/>
      <c r="D191" s="141" t="str">
        <f t="shared" si="31"/>
        <v/>
      </c>
      <c r="E191" s="142" t="s">
        <v>1550</v>
      </c>
      <c r="F191" s="147">
        <f>date(2023,3,30)</f>
        <v>45015</v>
      </c>
      <c r="G191" s="144" t="s">
        <v>1230</v>
      </c>
      <c r="H191" s="145"/>
      <c r="I191" s="145"/>
      <c r="J191" s="146" t="s">
        <v>1551</v>
      </c>
      <c r="K191" s="137"/>
    </row>
    <row r="192" ht="75.0" customHeight="1">
      <c r="A192" s="140"/>
      <c r="B192" s="141"/>
      <c r="C192" s="141"/>
      <c r="D192" s="141" t="str">
        <f t="shared" si="31"/>
        <v/>
      </c>
      <c r="E192" s="142" t="s">
        <v>1212</v>
      </c>
      <c r="F192" s="147">
        <f>date(2023,3,24)</f>
        <v>45009</v>
      </c>
      <c r="G192" s="143"/>
      <c r="H192" s="145"/>
      <c r="I192" s="145"/>
      <c r="J192" s="146" t="s">
        <v>1552</v>
      </c>
      <c r="K192" s="137"/>
    </row>
    <row r="193" ht="75.0" customHeight="1">
      <c r="A193" s="140"/>
      <c r="B193" s="141"/>
      <c r="C193" s="141"/>
      <c r="D193" s="141" t="str">
        <f t="shared" si="31"/>
        <v/>
      </c>
      <c r="E193" s="142" t="s">
        <v>1553</v>
      </c>
      <c r="F193" s="147">
        <f>date(2023,3,23)</f>
        <v>45008</v>
      </c>
      <c r="G193" s="144" t="s">
        <v>1312</v>
      </c>
      <c r="H193" s="145"/>
      <c r="I193" s="145"/>
      <c r="J193" s="146" t="s">
        <v>1554</v>
      </c>
      <c r="K193" s="137"/>
    </row>
    <row r="194" ht="75.0" customHeight="1">
      <c r="A194" s="140"/>
      <c r="B194" s="141"/>
      <c r="C194" s="141"/>
      <c r="D194" s="141" t="str">
        <f t="shared" si="31"/>
        <v/>
      </c>
      <c r="E194" s="142" t="s">
        <v>1555</v>
      </c>
      <c r="F194" s="147">
        <f>date(2023,3,20)</f>
        <v>45005</v>
      </c>
      <c r="G194" s="144" t="s">
        <v>1331</v>
      </c>
      <c r="H194" s="145"/>
      <c r="I194" s="145"/>
      <c r="J194" s="146" t="s">
        <v>1556</v>
      </c>
      <c r="K194" s="137"/>
    </row>
    <row r="195" ht="75.0" customHeight="1">
      <c r="A195" s="140"/>
      <c r="B195" s="141"/>
      <c r="C195" s="141"/>
      <c r="D195" s="141" t="str">
        <f t="shared" si="31"/>
        <v/>
      </c>
      <c r="E195" s="142" t="s">
        <v>1557</v>
      </c>
      <c r="F195" s="147">
        <f>date(2023,3,16)</f>
        <v>45001</v>
      </c>
      <c r="G195" s="144" t="s">
        <v>1331</v>
      </c>
      <c r="H195" s="145"/>
      <c r="I195" s="145"/>
      <c r="J195" s="146" t="s">
        <v>1558</v>
      </c>
      <c r="K195" s="137"/>
    </row>
    <row r="196" ht="75.0" customHeight="1">
      <c r="A196" s="140"/>
      <c r="B196" s="141"/>
      <c r="C196" s="141"/>
      <c r="D196" s="141" t="str">
        <f t="shared" si="31"/>
        <v/>
      </c>
      <c r="E196" s="142" t="s">
        <v>1559</v>
      </c>
      <c r="F196" s="147">
        <f>date(2023,3,14)</f>
        <v>44999</v>
      </c>
      <c r="G196" s="143"/>
      <c r="H196" s="145"/>
      <c r="I196" s="145"/>
      <c r="J196" s="146" t="s">
        <v>1560</v>
      </c>
      <c r="K196" s="137"/>
    </row>
    <row r="197" ht="75.0" customHeight="1">
      <c r="A197" s="140"/>
      <c r="B197" s="141"/>
      <c r="C197" s="141"/>
      <c r="D197" s="141" t="str">
        <f t="shared" si="31"/>
        <v/>
      </c>
      <c r="E197" s="142" t="s">
        <v>1561</v>
      </c>
      <c r="F197" s="147">
        <f>date(2023,3,9)</f>
        <v>44994</v>
      </c>
      <c r="G197" s="144" t="s">
        <v>1263</v>
      </c>
      <c r="H197" s="145"/>
      <c r="I197" s="145"/>
      <c r="J197" s="146" t="s">
        <v>1562</v>
      </c>
      <c r="K197" s="137"/>
    </row>
    <row r="198" ht="75.0" customHeight="1">
      <c r="A198" s="140"/>
      <c r="B198" s="141"/>
      <c r="C198" s="141"/>
      <c r="D198" s="141" t="str">
        <f t="shared" si="31"/>
        <v/>
      </c>
      <c r="E198" s="142" t="s">
        <v>1563</v>
      </c>
      <c r="F198" s="147">
        <f>date(2023,3,6)</f>
        <v>44991</v>
      </c>
      <c r="G198" s="144" t="s">
        <v>1215</v>
      </c>
      <c r="H198" s="145"/>
      <c r="I198" s="145"/>
      <c r="J198" s="146" t="s">
        <v>1564</v>
      </c>
      <c r="K198" s="137"/>
    </row>
    <row r="199" ht="75.0" customHeight="1">
      <c r="A199" s="140"/>
      <c r="B199" s="141"/>
      <c r="C199" s="141"/>
      <c r="D199" s="141" t="str">
        <f t="shared" si="31"/>
        <v/>
      </c>
      <c r="E199" s="142" t="s">
        <v>1298</v>
      </c>
      <c r="F199" s="147">
        <f>date(2023,3,3)</f>
        <v>44988</v>
      </c>
      <c r="G199" s="143"/>
      <c r="H199" s="145"/>
      <c r="I199" s="145"/>
      <c r="J199" s="146" t="s">
        <v>1565</v>
      </c>
      <c r="K199" s="137"/>
    </row>
    <row r="200" ht="37.5" customHeight="1">
      <c r="A200" s="138"/>
      <c r="B200" s="139"/>
      <c r="C200" s="139"/>
      <c r="D200" s="139" t="s">
        <v>1566</v>
      </c>
      <c r="K200" s="137"/>
    </row>
    <row r="201" ht="75.0" customHeight="1">
      <c r="A201" s="140"/>
      <c r="B201" s="141"/>
      <c r="C201" s="141"/>
      <c r="D201" s="141" t="str">
        <f t="shared" ref="D201:D208" si="32">IF(J201 &lt;&gt; "", IMAGE(J201), "-")</f>
        <v/>
      </c>
      <c r="E201" s="142" t="s">
        <v>1567</v>
      </c>
      <c r="F201" s="147">
        <f>date(2023,2,28)</f>
        <v>44985</v>
      </c>
      <c r="G201" s="144" t="s">
        <v>1530</v>
      </c>
      <c r="H201" s="145"/>
      <c r="I201" s="145"/>
      <c r="J201" s="146" t="s">
        <v>1568</v>
      </c>
      <c r="K201" s="137"/>
    </row>
    <row r="202" ht="75.0" customHeight="1">
      <c r="A202" s="140"/>
      <c r="B202" s="141"/>
      <c r="C202" s="141"/>
      <c r="D202" s="141" t="str">
        <f t="shared" si="32"/>
        <v/>
      </c>
      <c r="E202" s="142" t="s">
        <v>1239</v>
      </c>
      <c r="F202" s="147">
        <f>date(2023,2,24)</f>
        <v>44981</v>
      </c>
      <c r="G202" s="143"/>
      <c r="H202" s="145"/>
      <c r="I202" s="145"/>
      <c r="J202" s="146" t="s">
        <v>1569</v>
      </c>
      <c r="K202" s="137"/>
    </row>
    <row r="203" ht="75.0" customHeight="1">
      <c r="A203" s="140"/>
      <c r="B203" s="141"/>
      <c r="C203" s="141"/>
      <c r="D203" s="141" t="str">
        <f t="shared" si="32"/>
        <v/>
      </c>
      <c r="E203" s="142" t="s">
        <v>1570</v>
      </c>
      <c r="F203" s="147">
        <f>date(2023,2,21)</f>
        <v>44978</v>
      </c>
      <c r="G203" s="144" t="s">
        <v>1291</v>
      </c>
      <c r="H203" s="145"/>
      <c r="I203" s="145"/>
      <c r="J203" s="146" t="s">
        <v>1571</v>
      </c>
      <c r="K203" s="137"/>
    </row>
    <row r="204" ht="75.0" customHeight="1">
      <c r="A204" s="140"/>
      <c r="B204" s="141"/>
      <c r="C204" s="141"/>
      <c r="D204" s="141" t="str">
        <f t="shared" si="32"/>
        <v/>
      </c>
      <c r="E204" s="142" t="s">
        <v>1572</v>
      </c>
      <c r="F204" s="147">
        <f>date(2023,2,16)</f>
        <v>44973</v>
      </c>
      <c r="G204" s="144" t="s">
        <v>1312</v>
      </c>
      <c r="H204" s="145"/>
      <c r="I204" s="145"/>
      <c r="J204" s="146" t="s">
        <v>1573</v>
      </c>
      <c r="K204" s="137"/>
    </row>
    <row r="205" ht="75.0" customHeight="1">
      <c r="A205" s="140"/>
      <c r="B205" s="141"/>
      <c r="C205" s="141"/>
      <c r="D205" s="141" t="str">
        <f t="shared" si="32"/>
        <v/>
      </c>
      <c r="E205" s="142" t="s">
        <v>1243</v>
      </c>
      <c r="F205" s="147">
        <f>date(2023,2,13)</f>
        <v>44970</v>
      </c>
      <c r="G205" s="143"/>
      <c r="H205" s="145"/>
      <c r="I205" s="145"/>
      <c r="J205" s="146" t="s">
        <v>1574</v>
      </c>
      <c r="K205" s="137"/>
    </row>
    <row r="206" ht="75.0" customHeight="1">
      <c r="A206" s="140"/>
      <c r="B206" s="141"/>
      <c r="C206" s="141"/>
      <c r="D206" s="141" t="str">
        <f t="shared" si="32"/>
        <v/>
      </c>
      <c r="E206" s="142" t="s">
        <v>1575</v>
      </c>
      <c r="F206" s="147">
        <f>date(2023,2,9)</f>
        <v>44966</v>
      </c>
      <c r="G206" s="144" t="s">
        <v>1331</v>
      </c>
      <c r="H206" s="145"/>
      <c r="I206" s="145"/>
      <c r="J206" s="146" t="s">
        <v>1576</v>
      </c>
      <c r="K206" s="137"/>
    </row>
    <row r="207" ht="75.0" customHeight="1">
      <c r="A207" s="140"/>
      <c r="B207" s="141"/>
      <c r="C207" s="141"/>
      <c r="D207" s="141" t="str">
        <f t="shared" si="32"/>
        <v/>
      </c>
      <c r="E207" s="142" t="s">
        <v>1219</v>
      </c>
      <c r="F207" s="147">
        <f>date(2023,2,6)</f>
        <v>44963</v>
      </c>
      <c r="G207" s="143"/>
      <c r="H207" s="145"/>
      <c r="I207" s="145"/>
      <c r="J207" s="146" t="s">
        <v>1577</v>
      </c>
      <c r="K207" s="137"/>
    </row>
    <row r="208" ht="75.0" customHeight="1">
      <c r="A208" s="140"/>
      <c r="B208" s="141"/>
      <c r="C208" s="141"/>
      <c r="D208" s="141" t="str">
        <f t="shared" si="32"/>
        <v/>
      </c>
      <c r="E208" s="142" t="s">
        <v>1578</v>
      </c>
      <c r="F208" s="147">
        <f>date(2023,2,2)</f>
        <v>44959</v>
      </c>
      <c r="G208" s="144" t="s">
        <v>1579</v>
      </c>
      <c r="H208" s="145"/>
      <c r="I208" s="145"/>
      <c r="J208" s="146" t="s">
        <v>1580</v>
      </c>
      <c r="K208" s="137"/>
    </row>
    <row r="209" ht="37.5" customHeight="1">
      <c r="A209" s="138"/>
      <c r="B209" s="139"/>
      <c r="C209" s="139"/>
      <c r="D209" s="139" t="s">
        <v>1581</v>
      </c>
      <c r="K209" s="137"/>
    </row>
    <row r="210" ht="75.0" customHeight="1">
      <c r="A210" s="140"/>
      <c r="B210" s="141"/>
      <c r="C210" s="141"/>
      <c r="D210" s="141" t="str">
        <f t="shared" ref="D210:D218" si="33">IF(J210 &lt;&gt; "", IMAGE(J210), "-")</f>
        <v/>
      </c>
      <c r="E210" s="142" t="s">
        <v>1582</v>
      </c>
      <c r="F210" s="147">
        <f>date(2023,1,31)</f>
        <v>44957</v>
      </c>
      <c r="G210" s="143"/>
      <c r="H210" s="145"/>
      <c r="I210" s="145"/>
      <c r="J210" s="146" t="s">
        <v>1583</v>
      </c>
      <c r="K210" s="137"/>
    </row>
    <row r="211" ht="75.0" customHeight="1">
      <c r="A211" s="140"/>
      <c r="B211" s="141"/>
      <c r="C211" s="141"/>
      <c r="D211" s="141" t="str">
        <f t="shared" si="33"/>
        <v/>
      </c>
      <c r="E211" s="142" t="s">
        <v>1584</v>
      </c>
      <c r="F211" s="147">
        <f>date(2023,1,26)</f>
        <v>44952</v>
      </c>
      <c r="G211" s="144" t="s">
        <v>1358</v>
      </c>
      <c r="H211" s="145"/>
      <c r="I211" s="145"/>
      <c r="J211" s="146" t="s">
        <v>1585</v>
      </c>
      <c r="K211" s="137"/>
    </row>
    <row r="212" ht="75.0" customHeight="1">
      <c r="A212" s="140"/>
      <c r="B212" s="141"/>
      <c r="C212" s="141"/>
      <c r="D212" s="141" t="str">
        <f t="shared" si="33"/>
        <v/>
      </c>
      <c r="E212" s="142" t="s">
        <v>1586</v>
      </c>
      <c r="F212" s="147">
        <f>date(2023,1,19)</f>
        <v>44945</v>
      </c>
      <c r="G212" s="144" t="s">
        <v>1587</v>
      </c>
      <c r="H212" s="145"/>
      <c r="I212" s="145"/>
      <c r="J212" s="146" t="s">
        <v>1588</v>
      </c>
      <c r="K212" s="137"/>
    </row>
    <row r="213" ht="75.0" customHeight="1">
      <c r="A213" s="140"/>
      <c r="B213" s="141"/>
      <c r="C213" s="141"/>
      <c r="D213" s="141" t="str">
        <f t="shared" si="33"/>
        <v/>
      </c>
      <c r="E213" s="142" t="s">
        <v>1589</v>
      </c>
      <c r="F213" s="147">
        <f>date(2023,1,17)</f>
        <v>44943</v>
      </c>
      <c r="G213" s="144" t="s">
        <v>1235</v>
      </c>
      <c r="H213" s="145"/>
      <c r="I213" s="145"/>
      <c r="J213" s="146" t="s">
        <v>1590</v>
      </c>
      <c r="K213" s="137"/>
    </row>
    <row r="214" ht="75.0" customHeight="1">
      <c r="A214" s="140"/>
      <c r="B214" s="141"/>
      <c r="C214" s="141"/>
      <c r="D214" s="141" t="str">
        <f t="shared" si="33"/>
        <v/>
      </c>
      <c r="E214" s="142" t="s">
        <v>1591</v>
      </c>
      <c r="F214" s="147">
        <f>date(2023,1,12)</f>
        <v>44938</v>
      </c>
      <c r="G214" s="144" t="s">
        <v>1587</v>
      </c>
      <c r="H214" s="145"/>
      <c r="I214" s="145"/>
      <c r="J214" s="146" t="s">
        <v>1592</v>
      </c>
      <c r="K214" s="137"/>
    </row>
    <row r="215" ht="75.0" customHeight="1">
      <c r="A215" s="140"/>
      <c r="B215" s="141"/>
      <c r="C215" s="141"/>
      <c r="D215" s="141" t="str">
        <f t="shared" si="33"/>
        <v/>
      </c>
      <c r="E215" s="142" t="s">
        <v>1593</v>
      </c>
      <c r="F215" s="147">
        <f>date(2023,1,10)</f>
        <v>44936</v>
      </c>
      <c r="G215" s="144" t="s">
        <v>1358</v>
      </c>
      <c r="H215" s="145"/>
      <c r="I215" s="145"/>
      <c r="J215" s="146" t="s">
        <v>1594</v>
      </c>
      <c r="K215" s="137"/>
    </row>
    <row r="216" ht="75.0" customHeight="1">
      <c r="A216" s="140"/>
      <c r="B216" s="141"/>
      <c r="C216" s="141"/>
      <c r="D216" s="141" t="str">
        <f t="shared" si="33"/>
        <v/>
      </c>
      <c r="E216" s="142" t="s">
        <v>1595</v>
      </c>
      <c r="F216" s="147">
        <f>date(2023,1,3)</f>
        <v>44929</v>
      </c>
      <c r="G216" s="144" t="s">
        <v>1587</v>
      </c>
      <c r="H216" s="145"/>
      <c r="I216" s="145"/>
      <c r="J216" s="146" t="s">
        <v>1596</v>
      </c>
      <c r="K216" s="137"/>
    </row>
    <row r="217" ht="75.0" customHeight="1">
      <c r="A217" s="140"/>
      <c r="B217" s="141"/>
      <c r="C217" s="141"/>
      <c r="D217" s="141" t="str">
        <f t="shared" si="33"/>
        <v/>
      </c>
      <c r="E217" s="142" t="s">
        <v>1597</v>
      </c>
      <c r="F217" s="147">
        <f t="shared" ref="F217:F218" si="34">date(2023,1,1)</f>
        <v>44927</v>
      </c>
      <c r="G217" s="144" t="s">
        <v>1587</v>
      </c>
      <c r="H217" s="145"/>
      <c r="I217" s="145"/>
      <c r="J217" s="146" t="s">
        <v>1598</v>
      </c>
      <c r="K217" s="137"/>
    </row>
    <row r="218" ht="75.0" customHeight="1">
      <c r="A218" s="140"/>
      <c r="B218" s="141"/>
      <c r="C218" s="141"/>
      <c r="D218" s="141" t="str">
        <f t="shared" si="33"/>
        <v/>
      </c>
      <c r="E218" s="142" t="s">
        <v>1599</v>
      </c>
      <c r="F218" s="147">
        <f t="shared" si="34"/>
        <v>44927</v>
      </c>
      <c r="G218" s="144" t="s">
        <v>1600</v>
      </c>
      <c r="H218" s="145"/>
      <c r="I218" s="145"/>
      <c r="J218" s="146" t="s">
        <v>1601</v>
      </c>
      <c r="K218" s="137"/>
    </row>
    <row r="219" ht="75.0" customHeight="1">
      <c r="A219" s="137"/>
      <c r="B219" s="149"/>
      <c r="C219" s="149"/>
      <c r="D219" s="149"/>
      <c r="E219" s="150"/>
      <c r="F219" s="143"/>
      <c r="G219" s="143"/>
      <c r="H219" s="145"/>
      <c r="I219" s="145"/>
      <c r="J219" s="145"/>
      <c r="K219" s="137"/>
    </row>
    <row r="220" ht="75.0" customHeight="1">
      <c r="A220" s="137"/>
      <c r="B220" s="149"/>
      <c r="C220" s="149"/>
      <c r="D220" s="149"/>
      <c r="E220" s="150"/>
      <c r="F220" s="143"/>
      <c r="G220" s="143"/>
      <c r="H220" s="145"/>
      <c r="I220" s="145"/>
      <c r="J220" s="145"/>
      <c r="K220" s="137"/>
    </row>
    <row r="221" ht="75.0" customHeight="1">
      <c r="A221" s="137"/>
      <c r="B221" s="149"/>
      <c r="C221" s="149"/>
      <c r="D221" s="149"/>
      <c r="E221" s="150"/>
      <c r="F221" s="143"/>
      <c r="G221" s="143"/>
      <c r="H221" s="145"/>
      <c r="I221" s="145"/>
      <c r="J221" s="145"/>
      <c r="K221" s="137"/>
    </row>
    <row r="222" ht="75.0" customHeight="1">
      <c r="A222" s="137"/>
      <c r="B222" s="149"/>
      <c r="C222" s="149"/>
      <c r="D222" s="149"/>
      <c r="E222" s="150"/>
      <c r="F222" s="143"/>
      <c r="G222" s="143"/>
      <c r="H222" s="145"/>
      <c r="I222" s="145"/>
      <c r="J222" s="145"/>
      <c r="K222" s="137"/>
    </row>
    <row r="223" ht="75.0" customHeight="1">
      <c r="A223" s="137"/>
      <c r="B223" s="149"/>
      <c r="C223" s="149"/>
      <c r="D223" s="149"/>
      <c r="E223" s="150"/>
      <c r="F223" s="143"/>
      <c r="G223" s="143"/>
      <c r="H223" s="145"/>
      <c r="I223" s="145"/>
      <c r="J223" s="145"/>
      <c r="K223" s="137"/>
    </row>
    <row r="224" ht="75.0" customHeight="1">
      <c r="A224" s="137"/>
      <c r="B224" s="149"/>
      <c r="C224" s="149"/>
      <c r="D224" s="149"/>
      <c r="E224" s="150"/>
      <c r="F224" s="143"/>
      <c r="G224" s="143"/>
      <c r="H224" s="145"/>
      <c r="I224" s="145"/>
      <c r="J224" s="145"/>
      <c r="K224" s="137"/>
    </row>
    <row r="225" ht="75.0" customHeight="1">
      <c r="A225" s="137"/>
      <c r="B225" s="149"/>
      <c r="C225" s="149"/>
      <c r="D225" s="149"/>
      <c r="E225" s="150"/>
      <c r="F225" s="143"/>
      <c r="G225" s="143"/>
      <c r="H225" s="145"/>
      <c r="I225" s="145"/>
      <c r="J225" s="145"/>
      <c r="K225" s="137"/>
    </row>
    <row r="226" ht="75.0" customHeight="1">
      <c r="A226" s="137"/>
      <c r="B226" s="149"/>
      <c r="C226" s="149"/>
      <c r="D226" s="149"/>
      <c r="E226" s="150"/>
      <c r="F226" s="143"/>
      <c r="G226" s="143"/>
      <c r="H226" s="145"/>
      <c r="I226" s="145"/>
      <c r="J226" s="145"/>
      <c r="K226" s="137"/>
    </row>
    <row r="227" ht="75.0" customHeight="1">
      <c r="A227" s="137"/>
      <c r="B227" s="149"/>
      <c r="C227" s="149"/>
      <c r="D227" s="149"/>
      <c r="E227" s="150"/>
      <c r="F227" s="143"/>
      <c r="G227" s="143"/>
      <c r="H227" s="145"/>
      <c r="I227" s="145"/>
      <c r="J227" s="145"/>
      <c r="K227" s="137"/>
    </row>
    <row r="228" ht="75.0" customHeight="1">
      <c r="A228" s="137"/>
      <c r="B228" s="149"/>
      <c r="C228" s="149"/>
      <c r="D228" s="149"/>
      <c r="E228" s="150"/>
      <c r="F228" s="143"/>
      <c r="G228" s="143"/>
      <c r="H228" s="145"/>
      <c r="I228" s="145"/>
      <c r="J228" s="145"/>
      <c r="K228" s="137"/>
    </row>
    <row r="229" ht="75.0" customHeight="1">
      <c r="A229" s="137"/>
      <c r="B229" s="149"/>
      <c r="C229" s="149"/>
      <c r="D229" s="149"/>
      <c r="E229" s="150"/>
      <c r="F229" s="143"/>
      <c r="G229" s="143"/>
      <c r="H229" s="145"/>
      <c r="I229" s="145"/>
      <c r="J229" s="145"/>
      <c r="K229" s="137"/>
    </row>
    <row r="230" ht="75.0" customHeight="1">
      <c r="A230" s="137"/>
      <c r="B230" s="149"/>
      <c r="C230" s="149"/>
      <c r="D230" s="149"/>
      <c r="E230" s="150"/>
      <c r="F230" s="143"/>
      <c r="G230" s="143"/>
      <c r="H230" s="145"/>
      <c r="I230" s="145"/>
      <c r="J230" s="145"/>
      <c r="K230" s="137"/>
    </row>
    <row r="231" ht="75.0" customHeight="1">
      <c r="A231" s="137"/>
      <c r="B231" s="149"/>
      <c r="C231" s="149"/>
      <c r="D231" s="149"/>
      <c r="E231" s="150"/>
      <c r="F231" s="143"/>
      <c r="G231" s="143"/>
      <c r="H231" s="145"/>
      <c r="I231" s="145"/>
      <c r="J231" s="145"/>
      <c r="K231" s="137"/>
    </row>
    <row r="232" ht="75.0" customHeight="1">
      <c r="A232" s="137"/>
      <c r="B232" s="149"/>
      <c r="C232" s="149"/>
      <c r="D232" s="149"/>
      <c r="E232" s="150"/>
      <c r="F232" s="143"/>
      <c r="G232" s="143"/>
      <c r="H232" s="145"/>
      <c r="I232" s="145"/>
      <c r="J232" s="145"/>
      <c r="K232" s="137"/>
    </row>
    <row r="233" ht="75.0" customHeight="1">
      <c r="A233" s="137"/>
      <c r="B233" s="149"/>
      <c r="C233" s="149"/>
      <c r="D233" s="149"/>
      <c r="E233" s="150"/>
      <c r="F233" s="143"/>
      <c r="G233" s="143"/>
      <c r="H233" s="145"/>
      <c r="I233" s="145"/>
      <c r="J233" s="145"/>
      <c r="K233" s="137"/>
    </row>
    <row r="234" ht="75.0" customHeight="1">
      <c r="A234" s="137"/>
      <c r="B234" s="149"/>
      <c r="C234" s="149"/>
      <c r="D234" s="149"/>
      <c r="E234" s="150"/>
      <c r="F234" s="143"/>
      <c r="G234" s="143"/>
      <c r="H234" s="145"/>
      <c r="I234" s="145"/>
      <c r="J234" s="145"/>
      <c r="K234" s="137"/>
    </row>
    <row r="235" ht="75.0" customHeight="1">
      <c r="A235" s="137"/>
      <c r="B235" s="149"/>
      <c r="C235" s="149"/>
      <c r="D235" s="149"/>
      <c r="E235" s="150"/>
      <c r="F235" s="143"/>
      <c r="G235" s="143"/>
      <c r="H235" s="145"/>
      <c r="I235" s="145"/>
      <c r="J235" s="145"/>
      <c r="K235" s="137"/>
    </row>
    <row r="236" ht="75.0" customHeight="1">
      <c r="A236" s="137"/>
      <c r="B236" s="149"/>
      <c r="C236" s="149"/>
      <c r="D236" s="149"/>
      <c r="E236" s="150"/>
      <c r="F236" s="143"/>
      <c r="G236" s="143"/>
      <c r="H236" s="145"/>
      <c r="I236" s="145"/>
      <c r="J236" s="145"/>
      <c r="K236" s="137"/>
    </row>
    <row r="237" ht="75.0" customHeight="1">
      <c r="A237" s="137"/>
      <c r="B237" s="149"/>
      <c r="C237" s="149"/>
      <c r="D237" s="149"/>
      <c r="E237" s="150"/>
      <c r="F237" s="143"/>
      <c r="G237" s="143"/>
      <c r="H237" s="145"/>
      <c r="I237" s="145"/>
      <c r="J237" s="145"/>
      <c r="K237" s="137"/>
    </row>
    <row r="238" ht="75.0" customHeight="1">
      <c r="A238" s="137"/>
      <c r="B238" s="149"/>
      <c r="C238" s="149"/>
      <c r="D238" s="149"/>
      <c r="E238" s="150"/>
      <c r="F238" s="143"/>
      <c r="G238" s="143"/>
      <c r="H238" s="145"/>
      <c r="I238" s="145"/>
      <c r="J238" s="145"/>
      <c r="K238" s="137"/>
    </row>
    <row r="239" ht="75.0" customHeight="1">
      <c r="A239" s="137"/>
      <c r="B239" s="149"/>
      <c r="C239" s="149"/>
      <c r="D239" s="149"/>
      <c r="E239" s="150"/>
      <c r="F239" s="143"/>
      <c r="G239" s="143"/>
      <c r="H239" s="145"/>
      <c r="I239" s="145"/>
      <c r="J239" s="145"/>
      <c r="K239" s="137"/>
    </row>
    <row r="240" ht="75.0" customHeight="1">
      <c r="A240" s="137"/>
      <c r="B240" s="149"/>
      <c r="C240" s="149"/>
      <c r="D240" s="149"/>
      <c r="E240" s="150"/>
      <c r="F240" s="143"/>
      <c r="G240" s="143"/>
      <c r="H240" s="145"/>
      <c r="I240" s="145"/>
      <c r="J240" s="145"/>
      <c r="K240" s="137"/>
    </row>
    <row r="241" ht="75.0" customHeight="1">
      <c r="A241" s="137"/>
      <c r="B241" s="149"/>
      <c r="C241" s="149"/>
      <c r="D241" s="149"/>
      <c r="E241" s="150"/>
      <c r="F241" s="143"/>
      <c r="G241" s="143"/>
      <c r="H241" s="145"/>
      <c r="I241" s="145"/>
      <c r="J241" s="145"/>
      <c r="K241" s="137"/>
    </row>
    <row r="242" ht="75.0" customHeight="1">
      <c r="A242" s="137"/>
      <c r="B242" s="149"/>
      <c r="C242" s="149"/>
      <c r="D242" s="149"/>
      <c r="E242" s="150"/>
      <c r="F242" s="143"/>
      <c r="G242" s="143"/>
      <c r="H242" s="145"/>
      <c r="I242" s="145"/>
      <c r="J242" s="145"/>
      <c r="K242" s="137"/>
    </row>
    <row r="243" ht="75.0" customHeight="1">
      <c r="A243" s="137"/>
      <c r="B243" s="149"/>
      <c r="C243" s="149"/>
      <c r="D243" s="149"/>
      <c r="E243" s="150"/>
      <c r="F243" s="143"/>
      <c r="G243" s="143"/>
      <c r="H243" s="145"/>
      <c r="I243" s="145"/>
      <c r="J243" s="145"/>
      <c r="K243" s="137"/>
    </row>
    <row r="244" ht="75.0" customHeight="1">
      <c r="A244" s="137"/>
      <c r="B244" s="149"/>
      <c r="C244" s="149"/>
      <c r="D244" s="149"/>
      <c r="E244" s="150"/>
      <c r="F244" s="143"/>
      <c r="G244" s="143"/>
      <c r="H244" s="145"/>
      <c r="I244" s="145"/>
      <c r="J244" s="145"/>
      <c r="K244" s="137"/>
    </row>
    <row r="245" ht="75.0" customHeight="1">
      <c r="A245" s="137"/>
      <c r="B245" s="149"/>
      <c r="C245" s="149"/>
      <c r="D245" s="149"/>
      <c r="E245" s="150"/>
      <c r="F245" s="143"/>
      <c r="G245" s="143"/>
      <c r="H245" s="145"/>
      <c r="I245" s="145"/>
      <c r="J245" s="145"/>
      <c r="K245" s="137"/>
    </row>
    <row r="246" ht="75.0" customHeight="1">
      <c r="A246" s="137"/>
      <c r="B246" s="149"/>
      <c r="C246" s="149"/>
      <c r="D246" s="149"/>
      <c r="E246" s="150"/>
      <c r="F246" s="143"/>
      <c r="G246" s="143"/>
      <c r="H246" s="145"/>
      <c r="I246" s="145"/>
      <c r="J246" s="145"/>
      <c r="K246" s="137"/>
    </row>
    <row r="247" ht="75.0" customHeight="1">
      <c r="A247" s="137"/>
      <c r="B247" s="149"/>
      <c r="C247" s="149"/>
      <c r="D247" s="149"/>
      <c r="E247" s="150"/>
      <c r="F247" s="143"/>
      <c r="G247" s="143"/>
      <c r="H247" s="145"/>
      <c r="I247" s="145"/>
      <c r="J247" s="145"/>
      <c r="K247" s="137"/>
    </row>
    <row r="248" ht="75.0" customHeight="1">
      <c r="A248" s="137"/>
      <c r="B248" s="149"/>
      <c r="C248" s="149"/>
      <c r="D248" s="149"/>
      <c r="E248" s="150"/>
      <c r="F248" s="143"/>
      <c r="G248" s="143"/>
      <c r="H248" s="145"/>
      <c r="I248" s="145"/>
      <c r="J248" s="145"/>
      <c r="K248" s="137"/>
    </row>
    <row r="249" ht="75.0" customHeight="1">
      <c r="A249" s="137"/>
      <c r="B249" s="149"/>
      <c r="C249" s="149"/>
      <c r="D249" s="149"/>
      <c r="E249" s="150"/>
      <c r="F249" s="143"/>
      <c r="G249" s="143"/>
      <c r="H249" s="145"/>
      <c r="I249" s="145"/>
      <c r="J249" s="145"/>
      <c r="K249" s="137"/>
    </row>
    <row r="250" ht="75.0" customHeight="1">
      <c r="A250" s="137"/>
      <c r="B250" s="149"/>
      <c r="C250" s="149"/>
      <c r="D250" s="149"/>
      <c r="E250" s="150"/>
      <c r="F250" s="143"/>
      <c r="G250" s="143"/>
      <c r="H250" s="145"/>
      <c r="I250" s="145"/>
      <c r="J250" s="145"/>
      <c r="K250" s="137"/>
    </row>
    <row r="251" ht="75.0" customHeight="1">
      <c r="A251" s="137"/>
      <c r="B251" s="149"/>
      <c r="C251" s="149"/>
      <c r="D251" s="149"/>
      <c r="E251" s="150"/>
      <c r="F251" s="143"/>
      <c r="G251" s="143"/>
      <c r="H251" s="145"/>
      <c r="I251" s="145"/>
      <c r="J251" s="145"/>
      <c r="K251" s="137"/>
    </row>
    <row r="252" ht="75.0" customHeight="1">
      <c r="A252" s="137"/>
      <c r="B252" s="149"/>
      <c r="C252" s="149"/>
      <c r="D252" s="149"/>
      <c r="E252" s="150"/>
      <c r="F252" s="143"/>
      <c r="G252" s="143"/>
      <c r="H252" s="145"/>
      <c r="I252" s="145"/>
      <c r="J252" s="145"/>
      <c r="K252" s="137"/>
    </row>
    <row r="253" ht="75.0" customHeight="1">
      <c r="A253" s="137"/>
      <c r="B253" s="149"/>
      <c r="C253" s="149"/>
      <c r="D253" s="149"/>
      <c r="E253" s="150"/>
      <c r="F253" s="143"/>
      <c r="G253" s="143"/>
      <c r="H253" s="145"/>
      <c r="I253" s="145"/>
      <c r="J253" s="145"/>
      <c r="K253" s="137"/>
    </row>
    <row r="254" ht="75.0" customHeight="1">
      <c r="A254" s="137"/>
      <c r="B254" s="149"/>
      <c r="C254" s="149"/>
      <c r="D254" s="149"/>
      <c r="E254" s="150"/>
      <c r="F254" s="143"/>
      <c r="G254" s="143"/>
      <c r="H254" s="145"/>
      <c r="I254" s="145"/>
      <c r="J254" s="145"/>
      <c r="K254" s="137"/>
    </row>
    <row r="255" ht="75.0" customHeight="1">
      <c r="A255" s="137"/>
      <c r="B255" s="149"/>
      <c r="C255" s="149"/>
      <c r="D255" s="149"/>
      <c r="E255" s="150"/>
      <c r="F255" s="143"/>
      <c r="G255" s="143"/>
      <c r="H255" s="151"/>
      <c r="I255" s="151"/>
      <c r="J255" s="151"/>
      <c r="K255" s="137"/>
    </row>
    <row r="256" ht="75.0" customHeight="1">
      <c r="A256" s="137"/>
      <c r="B256" s="149"/>
      <c r="C256" s="149"/>
      <c r="D256" s="149"/>
      <c r="E256" s="150"/>
      <c r="F256" s="143"/>
      <c r="G256" s="143"/>
      <c r="H256" s="151"/>
      <c r="I256" s="151"/>
      <c r="J256" s="151"/>
      <c r="K256" s="137"/>
    </row>
    <row r="257" ht="75.0" customHeight="1">
      <c r="A257" s="137"/>
      <c r="B257" s="149"/>
      <c r="C257" s="149"/>
      <c r="D257" s="149"/>
      <c r="E257" s="150"/>
      <c r="F257" s="143"/>
      <c r="G257" s="143"/>
      <c r="H257" s="151"/>
      <c r="I257" s="151"/>
      <c r="J257" s="151"/>
      <c r="K257" s="137"/>
    </row>
    <row r="258" ht="75.0" customHeight="1">
      <c r="A258" s="137"/>
      <c r="B258" s="149"/>
      <c r="C258" s="149"/>
      <c r="D258" s="149"/>
      <c r="E258" s="150"/>
      <c r="F258" s="143"/>
      <c r="G258" s="143"/>
      <c r="H258" s="151"/>
      <c r="I258" s="151"/>
      <c r="J258" s="151"/>
      <c r="K258" s="137"/>
    </row>
    <row r="259" ht="75.0" customHeight="1">
      <c r="A259" s="137"/>
      <c r="B259" s="149"/>
      <c r="C259" s="149"/>
      <c r="D259" s="149"/>
      <c r="E259" s="150"/>
      <c r="F259" s="143"/>
      <c r="G259" s="143"/>
      <c r="H259" s="151"/>
      <c r="I259" s="151"/>
      <c r="J259" s="151"/>
      <c r="K259" s="137"/>
    </row>
    <row r="260" ht="75.0" customHeight="1">
      <c r="A260" s="137"/>
      <c r="B260" s="149"/>
      <c r="C260" s="149"/>
      <c r="D260" s="149"/>
      <c r="E260" s="150"/>
      <c r="F260" s="143"/>
      <c r="G260" s="143"/>
      <c r="H260" s="151"/>
      <c r="I260" s="151"/>
      <c r="J260" s="151"/>
      <c r="K260" s="137"/>
    </row>
    <row r="261" ht="75.0" customHeight="1">
      <c r="A261" s="137"/>
      <c r="B261" s="149"/>
      <c r="C261" s="149"/>
      <c r="D261" s="149"/>
      <c r="E261" s="150"/>
      <c r="F261" s="143"/>
      <c r="G261" s="143"/>
      <c r="H261" s="151"/>
      <c r="I261" s="151"/>
      <c r="J261" s="151"/>
      <c r="K261" s="137"/>
    </row>
    <row r="262" ht="75.0" customHeight="1">
      <c r="A262" s="137"/>
      <c r="B262" s="149"/>
      <c r="C262" s="149"/>
      <c r="D262" s="149"/>
      <c r="E262" s="150"/>
      <c r="F262" s="143"/>
      <c r="G262" s="143"/>
      <c r="H262" s="151"/>
      <c r="I262" s="151"/>
      <c r="J262" s="151"/>
      <c r="K262" s="137"/>
    </row>
    <row r="263" ht="75.0" customHeight="1">
      <c r="A263" s="137"/>
      <c r="B263" s="149"/>
      <c r="C263" s="149"/>
      <c r="D263" s="149"/>
      <c r="E263" s="150"/>
      <c r="F263" s="143"/>
      <c r="G263" s="143"/>
      <c r="H263" s="151"/>
      <c r="I263" s="151"/>
      <c r="J263" s="151"/>
      <c r="K263" s="137"/>
    </row>
    <row r="264" ht="75.0" customHeight="1">
      <c r="A264" s="137"/>
      <c r="B264" s="149"/>
      <c r="C264" s="149"/>
      <c r="D264" s="149"/>
      <c r="E264" s="150"/>
      <c r="F264" s="143"/>
      <c r="G264" s="143"/>
      <c r="H264" s="151"/>
      <c r="I264" s="151"/>
      <c r="J264" s="151"/>
      <c r="K264" s="137"/>
    </row>
    <row r="265" ht="75.0" customHeight="1">
      <c r="A265" s="137"/>
      <c r="B265" s="149"/>
      <c r="C265" s="149"/>
      <c r="D265" s="149"/>
      <c r="E265" s="150"/>
      <c r="F265" s="143"/>
      <c r="G265" s="143"/>
      <c r="H265" s="151"/>
      <c r="I265" s="151"/>
      <c r="J265" s="151"/>
      <c r="K265" s="137"/>
    </row>
    <row r="266" ht="75.0" customHeight="1">
      <c r="A266" s="137"/>
      <c r="B266" s="149"/>
      <c r="C266" s="149"/>
      <c r="D266" s="149"/>
      <c r="E266" s="150"/>
      <c r="F266" s="143"/>
      <c r="G266" s="143"/>
      <c r="H266" s="151"/>
      <c r="I266" s="151"/>
      <c r="J266" s="151"/>
      <c r="K266" s="137"/>
    </row>
    <row r="267" ht="75.0" customHeight="1">
      <c r="A267" s="137"/>
      <c r="B267" s="149"/>
      <c r="C267" s="149"/>
      <c r="D267" s="149"/>
      <c r="E267" s="150"/>
      <c r="F267" s="143"/>
      <c r="G267" s="143"/>
      <c r="H267" s="151"/>
      <c r="I267" s="151"/>
      <c r="J267" s="151"/>
      <c r="K267" s="137"/>
    </row>
    <row r="268" ht="75.0" customHeight="1">
      <c r="A268" s="137"/>
      <c r="B268" s="149"/>
      <c r="C268" s="149"/>
      <c r="D268" s="149"/>
      <c r="E268" s="150"/>
      <c r="F268" s="143"/>
      <c r="G268" s="143"/>
      <c r="H268" s="151"/>
      <c r="I268" s="151"/>
      <c r="J268" s="151"/>
      <c r="K268" s="137"/>
    </row>
    <row r="269" ht="75.0" customHeight="1">
      <c r="A269" s="137"/>
      <c r="B269" s="149"/>
      <c r="C269" s="149"/>
      <c r="D269" s="149"/>
      <c r="E269" s="150"/>
      <c r="F269" s="143"/>
      <c r="G269" s="143"/>
      <c r="H269" s="151"/>
      <c r="I269" s="151"/>
      <c r="J269" s="151"/>
      <c r="K269" s="137"/>
    </row>
    <row r="270" ht="75.0" customHeight="1">
      <c r="A270" s="137"/>
      <c r="B270" s="149"/>
      <c r="C270" s="149"/>
      <c r="D270" s="149"/>
      <c r="E270" s="150"/>
      <c r="F270" s="143"/>
      <c r="G270" s="143"/>
      <c r="H270" s="151"/>
      <c r="I270" s="151"/>
      <c r="J270" s="151"/>
      <c r="K270" s="137"/>
    </row>
    <row r="271" ht="75.0" customHeight="1">
      <c r="A271" s="137"/>
      <c r="B271" s="149"/>
      <c r="C271" s="149"/>
      <c r="D271" s="149"/>
      <c r="E271" s="150"/>
      <c r="F271" s="143"/>
      <c r="G271" s="143"/>
      <c r="H271" s="151"/>
      <c r="I271" s="151"/>
      <c r="J271" s="151"/>
      <c r="K271" s="137"/>
    </row>
    <row r="272" ht="75.0" customHeight="1">
      <c r="A272" s="137"/>
      <c r="B272" s="149"/>
      <c r="C272" s="149"/>
      <c r="D272" s="149"/>
      <c r="E272" s="150"/>
      <c r="F272" s="143"/>
      <c r="G272" s="143"/>
      <c r="H272" s="151"/>
      <c r="I272" s="151"/>
      <c r="J272" s="151"/>
      <c r="K272" s="137"/>
    </row>
    <row r="273" ht="75.0" customHeight="1">
      <c r="A273" s="137"/>
      <c r="B273" s="149"/>
      <c r="C273" s="149"/>
      <c r="D273" s="149"/>
      <c r="E273" s="150"/>
      <c r="F273" s="143"/>
      <c r="G273" s="143"/>
      <c r="H273" s="151"/>
      <c r="I273" s="151"/>
      <c r="J273" s="151"/>
      <c r="K273" s="137"/>
    </row>
    <row r="274" ht="75.0" customHeight="1">
      <c r="A274" s="137"/>
      <c r="B274" s="149"/>
      <c r="C274" s="149"/>
      <c r="D274" s="149"/>
      <c r="E274" s="150"/>
      <c r="F274" s="143"/>
      <c r="G274" s="143"/>
      <c r="H274" s="151"/>
      <c r="I274" s="151"/>
      <c r="J274" s="151"/>
      <c r="K274" s="137"/>
    </row>
    <row r="275" ht="75.0" customHeight="1">
      <c r="A275" s="137"/>
      <c r="B275" s="149"/>
      <c r="C275" s="149"/>
      <c r="D275" s="149"/>
      <c r="E275" s="150"/>
      <c r="F275" s="143"/>
      <c r="G275" s="143"/>
      <c r="H275" s="151"/>
      <c r="I275" s="151"/>
      <c r="J275" s="151"/>
      <c r="K275" s="137"/>
    </row>
    <row r="276" ht="75.0" customHeight="1">
      <c r="A276" s="137"/>
      <c r="B276" s="149"/>
      <c r="C276" s="149"/>
      <c r="D276" s="149"/>
      <c r="E276" s="150"/>
      <c r="F276" s="143"/>
      <c r="G276" s="143"/>
      <c r="H276" s="151"/>
      <c r="I276" s="151"/>
      <c r="J276" s="151"/>
      <c r="K276" s="137"/>
    </row>
    <row r="277" ht="75.0" customHeight="1">
      <c r="A277" s="137"/>
      <c r="B277" s="149"/>
      <c r="C277" s="149"/>
      <c r="D277" s="149"/>
      <c r="E277" s="150"/>
      <c r="F277" s="143"/>
      <c r="G277" s="143"/>
      <c r="H277" s="151"/>
      <c r="I277" s="151"/>
      <c r="J277" s="151"/>
      <c r="K277" s="137"/>
    </row>
    <row r="278" ht="75.0" customHeight="1">
      <c r="A278" s="137"/>
      <c r="B278" s="149"/>
      <c r="C278" s="149"/>
      <c r="D278" s="149"/>
      <c r="E278" s="150"/>
      <c r="F278" s="143"/>
      <c r="G278" s="143"/>
      <c r="H278" s="151"/>
      <c r="I278" s="151"/>
      <c r="J278" s="151"/>
      <c r="K278" s="137"/>
    </row>
    <row r="279" ht="75.0" customHeight="1">
      <c r="A279" s="137"/>
      <c r="B279" s="149"/>
      <c r="C279" s="149"/>
      <c r="D279" s="149"/>
      <c r="E279" s="150"/>
      <c r="F279" s="143"/>
      <c r="G279" s="143"/>
      <c r="H279" s="151"/>
      <c r="I279" s="151"/>
      <c r="J279" s="151"/>
      <c r="K279" s="137"/>
    </row>
    <row r="280" ht="75.0" customHeight="1">
      <c r="A280" s="137"/>
      <c r="B280" s="149"/>
      <c r="C280" s="149"/>
      <c r="D280" s="149"/>
      <c r="E280" s="150"/>
      <c r="F280" s="143"/>
      <c r="G280" s="143"/>
      <c r="H280" s="151"/>
      <c r="I280" s="151"/>
      <c r="J280" s="151"/>
      <c r="K280" s="137"/>
    </row>
    <row r="281" ht="75.0" customHeight="1">
      <c r="A281" s="137"/>
      <c r="B281" s="149"/>
      <c r="C281" s="149"/>
      <c r="D281" s="149"/>
      <c r="E281" s="150"/>
      <c r="F281" s="143"/>
      <c r="G281" s="143"/>
      <c r="H281" s="151"/>
      <c r="I281" s="151"/>
      <c r="J281" s="151"/>
      <c r="K281" s="137"/>
    </row>
    <row r="282" ht="75.0" customHeight="1">
      <c r="A282" s="137"/>
      <c r="B282" s="149"/>
      <c r="C282" s="149"/>
      <c r="D282" s="149"/>
      <c r="E282" s="150"/>
      <c r="F282" s="143"/>
      <c r="G282" s="143"/>
      <c r="H282" s="151"/>
      <c r="I282" s="151"/>
      <c r="J282" s="151"/>
      <c r="K282" s="137"/>
    </row>
    <row r="283" ht="75.0" customHeight="1">
      <c r="A283" s="137"/>
      <c r="B283" s="149"/>
      <c r="C283" s="149"/>
      <c r="D283" s="149"/>
      <c r="E283" s="150"/>
      <c r="F283" s="143"/>
      <c r="G283" s="143"/>
      <c r="H283" s="151"/>
      <c r="I283" s="151"/>
      <c r="J283" s="151"/>
      <c r="K283" s="137"/>
    </row>
    <row r="284" ht="75.0" customHeight="1">
      <c r="A284" s="137"/>
      <c r="B284" s="149"/>
      <c r="C284" s="149"/>
      <c r="D284" s="149"/>
      <c r="E284" s="150"/>
      <c r="F284" s="143"/>
      <c r="G284" s="143"/>
      <c r="H284" s="151"/>
      <c r="I284" s="151"/>
      <c r="J284" s="151"/>
      <c r="K284" s="137"/>
    </row>
    <row r="285" ht="75.0" customHeight="1">
      <c r="A285" s="137"/>
      <c r="B285" s="149"/>
      <c r="C285" s="149"/>
      <c r="D285" s="149"/>
      <c r="E285" s="150"/>
      <c r="F285" s="143"/>
      <c r="G285" s="143"/>
      <c r="H285" s="151"/>
      <c r="I285" s="151"/>
      <c r="J285" s="151"/>
      <c r="K285" s="137"/>
    </row>
    <row r="286" ht="75.0" customHeight="1">
      <c r="A286" s="137"/>
      <c r="B286" s="149"/>
      <c r="C286" s="149"/>
      <c r="D286" s="149"/>
      <c r="E286" s="150"/>
      <c r="F286" s="143"/>
      <c r="G286" s="143"/>
      <c r="H286" s="151"/>
      <c r="I286" s="151"/>
      <c r="J286" s="151"/>
      <c r="K286" s="137"/>
    </row>
    <row r="287" ht="75.0" customHeight="1">
      <c r="A287" s="137"/>
      <c r="B287" s="149"/>
      <c r="C287" s="149"/>
      <c r="D287" s="149"/>
      <c r="E287" s="150"/>
      <c r="F287" s="143"/>
      <c r="G287" s="143"/>
      <c r="H287" s="151"/>
      <c r="I287" s="151"/>
      <c r="J287" s="151"/>
      <c r="K287" s="137"/>
    </row>
    <row r="288" ht="75.0" customHeight="1">
      <c r="A288" s="137"/>
      <c r="B288" s="149"/>
      <c r="C288" s="149"/>
      <c r="D288" s="149"/>
      <c r="E288" s="150"/>
      <c r="F288" s="143"/>
      <c r="G288" s="143"/>
      <c r="H288" s="151"/>
      <c r="I288" s="151"/>
      <c r="J288" s="151"/>
      <c r="K288" s="137"/>
    </row>
    <row r="289" ht="75.0" customHeight="1">
      <c r="A289" s="137"/>
      <c r="B289" s="149"/>
      <c r="C289" s="149"/>
      <c r="D289" s="149"/>
      <c r="E289" s="150"/>
      <c r="F289" s="143"/>
      <c r="G289" s="143"/>
      <c r="H289" s="151"/>
      <c r="I289" s="151"/>
      <c r="J289" s="151"/>
      <c r="K289" s="137"/>
    </row>
    <row r="290" ht="75.0" customHeight="1">
      <c r="A290" s="137"/>
      <c r="B290" s="149"/>
      <c r="C290" s="149"/>
      <c r="D290" s="149"/>
      <c r="E290" s="150"/>
      <c r="F290" s="143"/>
      <c r="G290" s="143"/>
      <c r="H290" s="151"/>
      <c r="I290" s="151"/>
      <c r="J290" s="151"/>
      <c r="K290" s="137"/>
    </row>
    <row r="291" ht="75.0" customHeight="1">
      <c r="A291" s="137"/>
      <c r="B291" s="149"/>
      <c r="C291" s="149"/>
      <c r="D291" s="149"/>
      <c r="E291" s="150"/>
      <c r="F291" s="143"/>
      <c r="G291" s="143"/>
      <c r="H291" s="151"/>
      <c r="I291" s="151"/>
      <c r="J291" s="151"/>
      <c r="K291" s="137"/>
    </row>
    <row r="292" ht="75.0" customHeight="1">
      <c r="A292" s="137"/>
      <c r="B292" s="149"/>
      <c r="C292" s="149"/>
      <c r="D292" s="149"/>
      <c r="E292" s="150"/>
      <c r="F292" s="143"/>
      <c r="G292" s="143"/>
      <c r="H292" s="151"/>
      <c r="I292" s="151"/>
      <c r="J292" s="151"/>
      <c r="K292" s="137"/>
    </row>
    <row r="293" ht="75.0" customHeight="1">
      <c r="A293" s="137"/>
      <c r="B293" s="149"/>
      <c r="C293" s="149"/>
      <c r="D293" s="149"/>
      <c r="E293" s="150"/>
      <c r="F293" s="143"/>
      <c r="G293" s="143"/>
      <c r="H293" s="151"/>
      <c r="I293" s="151"/>
      <c r="J293" s="151"/>
      <c r="K293" s="137"/>
    </row>
    <row r="294" ht="75.0" customHeight="1">
      <c r="A294" s="137"/>
      <c r="B294" s="149"/>
      <c r="C294" s="149"/>
      <c r="D294" s="149"/>
      <c r="E294" s="150"/>
      <c r="F294" s="143"/>
      <c r="G294" s="143"/>
      <c r="H294" s="151"/>
      <c r="I294" s="151"/>
      <c r="J294" s="151"/>
      <c r="K294" s="137"/>
    </row>
    <row r="295" ht="75.0" customHeight="1">
      <c r="A295" s="137"/>
      <c r="B295" s="149"/>
      <c r="C295" s="149"/>
      <c r="D295" s="149"/>
      <c r="E295" s="150"/>
      <c r="F295" s="143"/>
      <c r="G295" s="143"/>
      <c r="H295" s="151"/>
      <c r="I295" s="151"/>
      <c r="J295" s="151"/>
      <c r="K295" s="137"/>
    </row>
    <row r="296" ht="75.0" customHeight="1">
      <c r="A296" s="137"/>
      <c r="B296" s="149"/>
      <c r="C296" s="149"/>
      <c r="D296" s="149"/>
      <c r="E296" s="150"/>
      <c r="F296" s="143"/>
      <c r="G296" s="143"/>
      <c r="H296" s="151"/>
      <c r="I296" s="151"/>
      <c r="J296" s="151"/>
      <c r="K296" s="137"/>
    </row>
    <row r="297" ht="75.0" customHeight="1">
      <c r="A297" s="137"/>
      <c r="B297" s="149"/>
      <c r="C297" s="149"/>
      <c r="D297" s="149"/>
      <c r="E297" s="150"/>
      <c r="F297" s="143"/>
      <c r="G297" s="143"/>
      <c r="H297" s="151"/>
      <c r="I297" s="151"/>
      <c r="J297" s="151"/>
      <c r="K297" s="137"/>
    </row>
    <row r="298" ht="75.0" customHeight="1">
      <c r="A298" s="137"/>
      <c r="B298" s="149"/>
      <c r="C298" s="149"/>
      <c r="D298" s="149"/>
      <c r="E298" s="150"/>
      <c r="F298" s="143"/>
      <c r="G298" s="143"/>
      <c r="H298" s="151"/>
      <c r="I298" s="151"/>
      <c r="J298" s="151"/>
      <c r="K298" s="137"/>
    </row>
    <row r="299" ht="75.0" customHeight="1">
      <c r="A299" s="137"/>
      <c r="B299" s="149"/>
      <c r="C299" s="149"/>
      <c r="D299" s="149"/>
      <c r="E299" s="150"/>
      <c r="F299" s="143"/>
      <c r="G299" s="143"/>
      <c r="H299" s="151"/>
      <c r="I299" s="151"/>
      <c r="J299" s="151"/>
      <c r="K299" s="137"/>
    </row>
    <row r="300" ht="75.0" customHeight="1">
      <c r="A300" s="137"/>
      <c r="B300" s="149"/>
      <c r="C300" s="149"/>
      <c r="D300" s="149"/>
      <c r="E300" s="150"/>
      <c r="F300" s="143"/>
      <c r="G300" s="143"/>
      <c r="H300" s="151"/>
      <c r="I300" s="151"/>
      <c r="J300" s="151"/>
      <c r="K300" s="137"/>
    </row>
    <row r="301" ht="75.0" customHeight="1">
      <c r="A301" s="137"/>
      <c r="B301" s="149"/>
      <c r="C301" s="149"/>
      <c r="D301" s="149"/>
      <c r="E301" s="150"/>
      <c r="F301" s="143"/>
      <c r="G301" s="143"/>
      <c r="H301" s="151"/>
      <c r="I301" s="151"/>
      <c r="J301" s="151"/>
      <c r="K301" s="137"/>
    </row>
    <row r="302" ht="75.0" customHeight="1">
      <c r="A302" s="137"/>
      <c r="B302" s="149"/>
      <c r="C302" s="149"/>
      <c r="D302" s="149"/>
      <c r="E302" s="150"/>
      <c r="F302" s="143"/>
      <c r="G302" s="143"/>
      <c r="H302" s="151"/>
      <c r="I302" s="151"/>
      <c r="J302" s="151"/>
      <c r="K302" s="137"/>
    </row>
    <row r="303" ht="75.0" customHeight="1">
      <c r="A303" s="137"/>
      <c r="B303" s="149"/>
      <c r="C303" s="149"/>
      <c r="D303" s="149"/>
      <c r="E303" s="150"/>
      <c r="F303" s="143"/>
      <c r="G303" s="143"/>
      <c r="H303" s="151"/>
      <c r="I303" s="151"/>
      <c r="J303" s="151"/>
      <c r="K303" s="137"/>
    </row>
    <row r="304" ht="75.0" customHeight="1">
      <c r="A304" s="137"/>
      <c r="B304" s="149"/>
      <c r="C304" s="149"/>
      <c r="D304" s="149"/>
      <c r="E304" s="150"/>
      <c r="F304" s="143"/>
      <c r="G304" s="143"/>
      <c r="H304" s="151"/>
      <c r="I304" s="151"/>
      <c r="J304" s="151"/>
      <c r="K304" s="137"/>
    </row>
    <row r="305" ht="75.0" customHeight="1">
      <c r="A305" s="137"/>
      <c r="B305" s="149"/>
      <c r="C305" s="149"/>
      <c r="D305" s="149"/>
      <c r="E305" s="150"/>
      <c r="F305" s="143"/>
      <c r="G305" s="143"/>
      <c r="H305" s="151"/>
      <c r="I305" s="151"/>
      <c r="J305" s="151"/>
      <c r="K305" s="137"/>
    </row>
    <row r="306" ht="75.0" customHeight="1">
      <c r="A306" s="137"/>
      <c r="B306" s="149"/>
      <c r="C306" s="149"/>
      <c r="D306" s="149"/>
      <c r="E306" s="150"/>
      <c r="F306" s="143"/>
      <c r="G306" s="143"/>
      <c r="H306" s="151"/>
      <c r="I306" s="151"/>
      <c r="J306" s="151"/>
      <c r="K306" s="137"/>
    </row>
    <row r="307" ht="75.0" customHeight="1">
      <c r="A307" s="137"/>
      <c r="B307" s="149"/>
      <c r="C307" s="149"/>
      <c r="D307" s="149"/>
      <c r="E307" s="150"/>
      <c r="F307" s="143"/>
      <c r="G307" s="143"/>
      <c r="H307" s="151"/>
      <c r="I307" s="151"/>
      <c r="J307" s="151"/>
      <c r="K307" s="137"/>
    </row>
    <row r="308" ht="75.0" customHeight="1">
      <c r="A308" s="137"/>
      <c r="B308" s="149"/>
      <c r="C308" s="149"/>
      <c r="D308" s="149"/>
      <c r="E308" s="150"/>
      <c r="F308" s="143"/>
      <c r="G308" s="143"/>
      <c r="H308" s="151"/>
      <c r="I308" s="151"/>
      <c r="J308" s="151"/>
      <c r="K308" s="137"/>
    </row>
    <row r="309" ht="75.0" customHeight="1">
      <c r="A309" s="137"/>
      <c r="B309" s="149"/>
      <c r="C309" s="149"/>
      <c r="D309" s="149"/>
      <c r="E309" s="150"/>
      <c r="F309" s="143"/>
      <c r="G309" s="143"/>
      <c r="H309" s="151"/>
      <c r="I309" s="151"/>
      <c r="J309" s="151"/>
      <c r="K309" s="137"/>
    </row>
    <row r="310" ht="75.0" customHeight="1">
      <c r="A310" s="137"/>
      <c r="B310" s="149"/>
      <c r="C310" s="149"/>
      <c r="D310" s="149"/>
      <c r="E310" s="150"/>
      <c r="F310" s="143"/>
      <c r="G310" s="143"/>
      <c r="H310" s="151"/>
      <c r="I310" s="151"/>
      <c r="J310" s="151"/>
      <c r="K310" s="137"/>
    </row>
    <row r="311" ht="75.0" customHeight="1">
      <c r="A311" s="137"/>
      <c r="B311" s="149"/>
      <c r="C311" s="149"/>
      <c r="D311" s="149"/>
      <c r="E311" s="150"/>
      <c r="F311" s="143"/>
      <c r="G311" s="143"/>
      <c r="H311" s="151"/>
      <c r="I311" s="151"/>
      <c r="J311" s="151"/>
      <c r="K311" s="137"/>
    </row>
    <row r="312" ht="75.0" customHeight="1">
      <c r="A312" s="137"/>
      <c r="B312" s="149"/>
      <c r="C312" s="149"/>
      <c r="D312" s="149"/>
      <c r="E312" s="150"/>
      <c r="F312" s="143"/>
      <c r="G312" s="143"/>
      <c r="H312" s="151"/>
      <c r="I312" s="151"/>
      <c r="J312" s="151"/>
      <c r="K312" s="137"/>
    </row>
    <row r="313" ht="75.0" customHeight="1">
      <c r="A313" s="137"/>
      <c r="B313" s="149"/>
      <c r="C313" s="149"/>
      <c r="D313" s="149"/>
      <c r="E313" s="150"/>
      <c r="F313" s="143"/>
      <c r="G313" s="143"/>
      <c r="H313" s="151"/>
      <c r="I313" s="151"/>
      <c r="J313" s="151"/>
      <c r="K313" s="137"/>
    </row>
    <row r="314" ht="75.0" customHeight="1">
      <c r="A314" s="137"/>
      <c r="B314" s="149"/>
      <c r="C314" s="149"/>
      <c r="D314" s="149"/>
      <c r="E314" s="150"/>
      <c r="F314" s="143"/>
      <c r="G314" s="143"/>
      <c r="H314" s="151"/>
      <c r="I314" s="151"/>
      <c r="J314" s="151"/>
      <c r="K314" s="137"/>
    </row>
    <row r="315" ht="75.0" customHeight="1">
      <c r="A315" s="137"/>
      <c r="B315" s="149"/>
      <c r="C315" s="149"/>
      <c r="D315" s="149"/>
      <c r="E315" s="150"/>
      <c r="F315" s="143"/>
      <c r="G315" s="143"/>
      <c r="H315" s="151"/>
      <c r="I315" s="151"/>
      <c r="J315" s="151"/>
      <c r="K315" s="137"/>
    </row>
    <row r="316" ht="75.0" customHeight="1">
      <c r="A316" s="137"/>
      <c r="B316" s="149"/>
      <c r="C316" s="149"/>
      <c r="D316" s="149"/>
      <c r="E316" s="150"/>
      <c r="F316" s="143"/>
      <c r="G316" s="143"/>
      <c r="H316" s="151"/>
      <c r="I316" s="151"/>
      <c r="J316" s="151"/>
      <c r="K316" s="137"/>
    </row>
    <row r="317" ht="75.0" customHeight="1">
      <c r="A317" s="137"/>
      <c r="B317" s="149"/>
      <c r="C317" s="149"/>
      <c r="D317" s="149"/>
      <c r="E317" s="150"/>
      <c r="F317" s="143"/>
      <c r="G317" s="143"/>
      <c r="H317" s="151"/>
      <c r="I317" s="151"/>
      <c r="J317" s="151"/>
      <c r="K317" s="137"/>
    </row>
    <row r="318" ht="75.0" customHeight="1">
      <c r="A318" s="137"/>
      <c r="B318" s="149"/>
      <c r="C318" s="149"/>
      <c r="D318" s="149"/>
      <c r="E318" s="150"/>
      <c r="F318" s="143"/>
      <c r="G318" s="143"/>
      <c r="H318" s="151"/>
      <c r="I318" s="151"/>
      <c r="J318" s="151"/>
      <c r="K318" s="137"/>
    </row>
    <row r="319" ht="75.0" customHeight="1">
      <c r="A319" s="137"/>
      <c r="B319" s="149"/>
      <c r="C319" s="149"/>
      <c r="D319" s="149"/>
      <c r="E319" s="150"/>
      <c r="F319" s="143"/>
      <c r="G319" s="143"/>
      <c r="H319" s="151"/>
      <c r="I319" s="151"/>
      <c r="J319" s="151"/>
      <c r="K319" s="137"/>
    </row>
    <row r="320" ht="75.0" customHeight="1">
      <c r="A320" s="137"/>
      <c r="B320" s="149"/>
      <c r="C320" s="149"/>
      <c r="D320" s="149"/>
      <c r="E320" s="150"/>
      <c r="F320" s="143"/>
      <c r="G320" s="143"/>
      <c r="H320" s="151"/>
      <c r="I320" s="151"/>
      <c r="J320" s="151"/>
      <c r="K320" s="137"/>
    </row>
    <row r="321" ht="75.0" customHeight="1">
      <c r="A321" s="137"/>
      <c r="B321" s="149"/>
      <c r="C321" s="149"/>
      <c r="D321" s="149"/>
      <c r="E321" s="150"/>
      <c r="F321" s="143"/>
      <c r="G321" s="143"/>
      <c r="H321" s="151"/>
      <c r="I321" s="151"/>
      <c r="J321" s="151"/>
      <c r="K321" s="137"/>
    </row>
    <row r="322" ht="75.0" customHeight="1">
      <c r="A322" s="137"/>
      <c r="B322" s="149"/>
      <c r="C322" s="149"/>
      <c r="D322" s="149"/>
      <c r="E322" s="150"/>
      <c r="F322" s="143"/>
      <c r="G322" s="143"/>
      <c r="H322" s="151"/>
      <c r="I322" s="151"/>
      <c r="J322" s="151"/>
      <c r="K322" s="137"/>
    </row>
    <row r="323" ht="75.0" customHeight="1">
      <c r="A323" s="137"/>
      <c r="B323" s="149"/>
      <c r="C323" s="149"/>
      <c r="D323" s="149"/>
      <c r="E323" s="150"/>
      <c r="F323" s="143"/>
      <c r="G323" s="143"/>
      <c r="H323" s="151"/>
      <c r="I323" s="151"/>
      <c r="J323" s="151"/>
      <c r="K323" s="137"/>
    </row>
    <row r="324" ht="75.0" customHeight="1">
      <c r="A324" s="137"/>
      <c r="B324" s="149"/>
      <c r="C324" s="149"/>
      <c r="D324" s="149"/>
      <c r="E324" s="150"/>
      <c r="F324" s="143"/>
      <c r="G324" s="143"/>
      <c r="H324" s="151"/>
      <c r="I324" s="151"/>
      <c r="J324" s="151"/>
      <c r="K324" s="137"/>
    </row>
    <row r="325" ht="75.0" customHeight="1">
      <c r="A325" s="137"/>
      <c r="B325" s="149"/>
      <c r="C325" s="149"/>
      <c r="D325" s="149"/>
      <c r="E325" s="150"/>
      <c r="F325" s="143"/>
      <c r="G325" s="143"/>
      <c r="H325" s="151"/>
      <c r="I325" s="151"/>
      <c r="J325" s="151"/>
      <c r="K325" s="137"/>
    </row>
    <row r="326" ht="75.0" customHeight="1">
      <c r="A326" s="137"/>
      <c r="B326" s="149"/>
      <c r="C326" s="149"/>
      <c r="D326" s="149"/>
      <c r="E326" s="150"/>
      <c r="F326" s="143"/>
      <c r="G326" s="143"/>
      <c r="H326" s="151"/>
      <c r="I326" s="151"/>
      <c r="J326" s="151"/>
      <c r="K326" s="137"/>
    </row>
    <row r="327" ht="75.0" customHeight="1">
      <c r="A327" s="137"/>
      <c r="B327" s="149"/>
      <c r="C327" s="149"/>
      <c r="D327" s="149"/>
      <c r="E327" s="150"/>
      <c r="F327" s="143"/>
      <c r="G327" s="143"/>
      <c r="H327" s="151"/>
      <c r="I327" s="151"/>
      <c r="J327" s="151"/>
      <c r="K327" s="137"/>
    </row>
    <row r="328" ht="75.0" customHeight="1">
      <c r="A328" s="137"/>
      <c r="B328" s="149"/>
      <c r="C328" s="149"/>
      <c r="D328" s="149"/>
      <c r="E328" s="150"/>
      <c r="F328" s="143"/>
      <c r="G328" s="143"/>
      <c r="H328" s="151"/>
      <c r="I328" s="151"/>
      <c r="J328" s="151"/>
      <c r="K328" s="137"/>
    </row>
    <row r="329" ht="75.0" customHeight="1">
      <c r="A329" s="137"/>
      <c r="B329" s="149"/>
      <c r="C329" s="149"/>
      <c r="D329" s="149"/>
      <c r="E329" s="150"/>
      <c r="F329" s="143"/>
      <c r="G329" s="143"/>
      <c r="H329" s="151"/>
      <c r="I329" s="151"/>
      <c r="J329" s="151"/>
      <c r="K329" s="137"/>
    </row>
    <row r="330" ht="75.0" customHeight="1">
      <c r="A330" s="137"/>
      <c r="B330" s="149"/>
      <c r="C330" s="149"/>
      <c r="D330" s="149"/>
      <c r="E330" s="150"/>
      <c r="F330" s="143"/>
      <c r="G330" s="143"/>
      <c r="H330" s="151"/>
      <c r="I330" s="151"/>
      <c r="J330" s="151"/>
      <c r="K330" s="137"/>
    </row>
    <row r="331" ht="75.0" customHeight="1">
      <c r="A331" s="137"/>
      <c r="B331" s="149"/>
      <c r="C331" s="149"/>
      <c r="D331" s="149"/>
      <c r="E331" s="150"/>
      <c r="F331" s="143"/>
      <c r="G331" s="143"/>
      <c r="H331" s="151"/>
      <c r="I331" s="151"/>
      <c r="J331" s="151"/>
      <c r="K331" s="137"/>
    </row>
    <row r="332" ht="75.0" customHeight="1">
      <c r="A332" s="137"/>
      <c r="B332" s="149"/>
      <c r="C332" s="149"/>
      <c r="D332" s="149"/>
      <c r="E332" s="150"/>
      <c r="F332" s="143"/>
      <c r="G332" s="143"/>
      <c r="H332" s="151"/>
      <c r="I332" s="151"/>
      <c r="J332" s="151"/>
      <c r="K332" s="137"/>
    </row>
    <row r="333" ht="75.0" customHeight="1">
      <c r="A333" s="137"/>
      <c r="B333" s="149"/>
      <c r="C333" s="149"/>
      <c r="D333" s="149"/>
      <c r="E333" s="150"/>
      <c r="F333" s="143"/>
      <c r="G333" s="143"/>
      <c r="H333" s="151"/>
      <c r="I333" s="151"/>
      <c r="J333" s="151"/>
      <c r="K333" s="137"/>
    </row>
    <row r="334" ht="75.0" customHeight="1">
      <c r="A334" s="137"/>
      <c r="B334" s="149"/>
      <c r="C334" s="149"/>
      <c r="D334" s="149"/>
      <c r="E334" s="150"/>
      <c r="F334" s="143"/>
      <c r="G334" s="143"/>
      <c r="H334" s="151"/>
      <c r="I334" s="151"/>
      <c r="J334" s="151"/>
      <c r="K334" s="137"/>
    </row>
    <row r="335" ht="75.0" customHeight="1">
      <c r="A335" s="137"/>
      <c r="B335" s="149"/>
      <c r="C335" s="149"/>
      <c r="D335" s="149"/>
      <c r="E335" s="150"/>
      <c r="F335" s="143"/>
      <c r="G335" s="143"/>
      <c r="H335" s="151"/>
      <c r="I335" s="151"/>
      <c r="J335" s="151"/>
      <c r="K335" s="137"/>
    </row>
    <row r="336" ht="75.0" customHeight="1">
      <c r="A336" s="137"/>
      <c r="B336" s="149"/>
      <c r="C336" s="149"/>
      <c r="D336" s="149"/>
      <c r="E336" s="150"/>
      <c r="F336" s="143"/>
      <c r="G336" s="143"/>
      <c r="H336" s="151"/>
      <c r="I336" s="151"/>
      <c r="J336" s="151"/>
      <c r="K336" s="137"/>
    </row>
    <row r="337" ht="75.0" customHeight="1">
      <c r="A337" s="137"/>
      <c r="B337" s="149"/>
      <c r="C337" s="149"/>
      <c r="D337" s="149"/>
      <c r="E337" s="150"/>
      <c r="F337" s="143"/>
      <c r="G337" s="143"/>
      <c r="H337" s="151"/>
      <c r="I337" s="151"/>
      <c r="J337" s="151"/>
      <c r="K337" s="137"/>
    </row>
    <row r="338" ht="75.0" customHeight="1">
      <c r="A338" s="137"/>
      <c r="B338" s="149"/>
      <c r="C338" s="149"/>
      <c r="D338" s="149"/>
      <c r="E338" s="150"/>
      <c r="F338" s="143"/>
      <c r="G338" s="143"/>
      <c r="H338" s="151"/>
      <c r="I338" s="151"/>
      <c r="J338" s="151"/>
      <c r="K338" s="137"/>
    </row>
    <row r="339" ht="75.0" customHeight="1">
      <c r="A339" s="137"/>
      <c r="B339" s="149"/>
      <c r="C339" s="149"/>
      <c r="D339" s="149"/>
      <c r="E339" s="150"/>
      <c r="F339" s="143"/>
      <c r="G339" s="143"/>
      <c r="H339" s="151"/>
      <c r="I339" s="151"/>
      <c r="J339" s="151"/>
      <c r="K339" s="137"/>
    </row>
    <row r="340" ht="75.0" customHeight="1">
      <c r="A340" s="137"/>
      <c r="B340" s="149"/>
      <c r="C340" s="149"/>
      <c r="D340" s="149"/>
      <c r="E340" s="150"/>
      <c r="F340" s="143"/>
      <c r="G340" s="143"/>
      <c r="H340" s="151"/>
      <c r="I340" s="151"/>
      <c r="J340" s="151"/>
      <c r="K340" s="137"/>
    </row>
    <row r="341" ht="75.0" customHeight="1">
      <c r="A341" s="137"/>
      <c r="B341" s="149"/>
      <c r="C341" s="149"/>
      <c r="D341" s="149"/>
      <c r="E341" s="150"/>
      <c r="F341" s="143"/>
      <c r="G341" s="143"/>
      <c r="H341" s="151"/>
      <c r="I341" s="151"/>
      <c r="J341" s="151"/>
      <c r="K341" s="137"/>
    </row>
    <row r="342" ht="75.0" customHeight="1">
      <c r="A342" s="137"/>
      <c r="B342" s="149"/>
      <c r="C342" s="149"/>
      <c r="D342" s="149"/>
      <c r="E342" s="150"/>
      <c r="F342" s="143"/>
      <c r="G342" s="143"/>
      <c r="H342" s="151"/>
      <c r="I342" s="151"/>
      <c r="J342" s="151"/>
      <c r="K342" s="137"/>
    </row>
    <row r="343" ht="75.0" customHeight="1">
      <c r="A343" s="137"/>
      <c r="B343" s="149"/>
      <c r="C343" s="149"/>
      <c r="D343" s="149"/>
      <c r="E343" s="150"/>
      <c r="F343" s="143"/>
      <c r="G343" s="143"/>
      <c r="H343" s="151"/>
      <c r="I343" s="151"/>
      <c r="J343" s="151"/>
      <c r="K343" s="137"/>
    </row>
    <row r="344" ht="75.0" customHeight="1">
      <c r="A344" s="137"/>
      <c r="B344" s="149"/>
      <c r="C344" s="149"/>
      <c r="D344" s="149"/>
      <c r="E344" s="150"/>
      <c r="F344" s="143"/>
      <c r="G344" s="143"/>
      <c r="H344" s="151"/>
      <c r="I344" s="151"/>
      <c r="J344" s="151"/>
      <c r="K344" s="137"/>
    </row>
    <row r="345" ht="75.0" customHeight="1">
      <c r="A345" s="137"/>
      <c r="B345" s="149"/>
      <c r="C345" s="149"/>
      <c r="D345" s="149"/>
      <c r="E345" s="150"/>
      <c r="F345" s="143"/>
      <c r="G345" s="143"/>
      <c r="H345" s="151"/>
      <c r="I345" s="151"/>
      <c r="J345" s="151"/>
      <c r="K345" s="137"/>
    </row>
    <row r="346" ht="75.0" customHeight="1">
      <c r="A346" s="137"/>
      <c r="B346" s="149"/>
      <c r="C346" s="149"/>
      <c r="D346" s="149"/>
      <c r="E346" s="150"/>
      <c r="F346" s="143"/>
      <c r="G346" s="143"/>
      <c r="H346" s="151"/>
      <c r="I346" s="151"/>
      <c r="J346" s="151"/>
      <c r="K346" s="137"/>
    </row>
    <row r="347" ht="75.0" customHeight="1">
      <c r="A347" s="137"/>
      <c r="B347" s="149"/>
      <c r="C347" s="149"/>
      <c r="D347" s="149"/>
      <c r="E347" s="150"/>
      <c r="F347" s="143"/>
      <c r="G347" s="143"/>
      <c r="H347" s="151"/>
      <c r="I347" s="151"/>
      <c r="J347" s="151"/>
      <c r="K347" s="137"/>
    </row>
    <row r="348" ht="75.0" customHeight="1">
      <c r="A348" s="137"/>
      <c r="B348" s="149"/>
      <c r="C348" s="149"/>
      <c r="D348" s="149"/>
      <c r="E348" s="150"/>
      <c r="F348" s="143"/>
      <c r="G348" s="143"/>
      <c r="H348" s="151"/>
      <c r="I348" s="151"/>
      <c r="J348" s="151"/>
      <c r="K348" s="137"/>
    </row>
    <row r="349" ht="75.0" customHeight="1">
      <c r="A349" s="137"/>
      <c r="B349" s="149"/>
      <c r="C349" s="149"/>
      <c r="D349" s="149"/>
      <c r="E349" s="150"/>
      <c r="F349" s="143"/>
      <c r="G349" s="143"/>
      <c r="H349" s="151"/>
      <c r="I349" s="151"/>
      <c r="J349" s="151"/>
      <c r="K349" s="137"/>
    </row>
    <row r="350" ht="75.0" customHeight="1">
      <c r="A350" s="137"/>
      <c r="B350" s="149"/>
      <c r="C350" s="149"/>
      <c r="D350" s="149"/>
      <c r="E350" s="150"/>
      <c r="F350" s="143"/>
      <c r="G350" s="143"/>
      <c r="H350" s="151"/>
      <c r="I350" s="151"/>
      <c r="J350" s="151"/>
      <c r="K350" s="137"/>
    </row>
    <row r="351" ht="75.0" customHeight="1">
      <c r="A351" s="137"/>
      <c r="B351" s="149"/>
      <c r="C351" s="149"/>
      <c r="D351" s="149"/>
      <c r="E351" s="150"/>
      <c r="F351" s="143"/>
      <c r="G351" s="143"/>
      <c r="H351" s="151"/>
      <c r="I351" s="151"/>
      <c r="J351" s="151"/>
      <c r="K351" s="137"/>
    </row>
    <row r="352" ht="75.0" customHeight="1">
      <c r="A352" s="137"/>
      <c r="B352" s="149"/>
      <c r="C352" s="149"/>
      <c r="D352" s="149"/>
      <c r="E352" s="150"/>
      <c r="F352" s="143"/>
      <c r="G352" s="143"/>
      <c r="H352" s="151"/>
      <c r="I352" s="151"/>
      <c r="J352" s="151"/>
      <c r="K352" s="137"/>
    </row>
    <row r="353" ht="75.0" customHeight="1">
      <c r="A353" s="137"/>
      <c r="B353" s="149"/>
      <c r="C353" s="149"/>
      <c r="D353" s="149"/>
      <c r="E353" s="150"/>
      <c r="F353" s="143"/>
      <c r="G353" s="143"/>
      <c r="H353" s="151"/>
      <c r="I353" s="151"/>
      <c r="J353" s="151"/>
      <c r="K353" s="137"/>
    </row>
    <row r="354" ht="75.0" customHeight="1">
      <c r="A354" s="137"/>
      <c r="B354" s="149"/>
      <c r="C354" s="149"/>
      <c r="D354" s="149"/>
      <c r="E354" s="150"/>
      <c r="F354" s="143"/>
      <c r="G354" s="143"/>
      <c r="H354" s="151"/>
      <c r="I354" s="151"/>
      <c r="J354" s="151"/>
      <c r="K354" s="137"/>
    </row>
    <row r="355" ht="75.0" customHeight="1">
      <c r="A355" s="137"/>
      <c r="B355" s="149"/>
      <c r="C355" s="149"/>
      <c r="D355" s="149"/>
      <c r="E355" s="150"/>
      <c r="F355" s="143"/>
      <c r="G355" s="143"/>
      <c r="H355" s="151"/>
      <c r="I355" s="151"/>
      <c r="J355" s="151"/>
      <c r="K355" s="137"/>
    </row>
    <row r="356" ht="75.0" customHeight="1">
      <c r="A356" s="137"/>
      <c r="B356" s="149"/>
      <c r="C356" s="149"/>
      <c r="D356" s="149"/>
      <c r="E356" s="150"/>
      <c r="F356" s="143"/>
      <c r="G356" s="143"/>
      <c r="H356" s="151"/>
      <c r="I356" s="151"/>
      <c r="J356" s="151"/>
      <c r="K356" s="137"/>
    </row>
    <row r="357" ht="75.0" customHeight="1">
      <c r="A357" s="137"/>
      <c r="B357" s="149"/>
      <c r="C357" s="149"/>
      <c r="D357" s="149"/>
      <c r="E357" s="150"/>
      <c r="F357" s="143"/>
      <c r="G357" s="143"/>
      <c r="H357" s="151"/>
      <c r="I357" s="151"/>
      <c r="J357" s="151"/>
      <c r="K357" s="137"/>
    </row>
    <row r="358" ht="75.0" customHeight="1">
      <c r="A358" s="137"/>
      <c r="B358" s="149"/>
      <c r="C358" s="149"/>
      <c r="D358" s="149"/>
      <c r="E358" s="150"/>
      <c r="F358" s="143"/>
      <c r="G358" s="143"/>
      <c r="H358" s="151"/>
      <c r="I358" s="151"/>
      <c r="J358" s="151"/>
      <c r="K358" s="137"/>
    </row>
    <row r="359" ht="75.0" customHeight="1">
      <c r="A359" s="137"/>
      <c r="B359" s="149"/>
      <c r="C359" s="149"/>
      <c r="D359" s="149"/>
      <c r="E359" s="150"/>
      <c r="F359" s="143"/>
      <c r="G359" s="143"/>
      <c r="H359" s="151"/>
      <c r="I359" s="151"/>
      <c r="J359" s="151"/>
      <c r="K359" s="137"/>
    </row>
    <row r="360" ht="75.0" customHeight="1">
      <c r="A360" s="137"/>
      <c r="B360" s="149"/>
      <c r="C360" s="149"/>
      <c r="D360" s="149"/>
      <c r="E360" s="150"/>
      <c r="F360" s="143"/>
      <c r="G360" s="143"/>
      <c r="H360" s="151"/>
      <c r="I360" s="151"/>
      <c r="J360" s="151"/>
      <c r="K360" s="137"/>
    </row>
    <row r="361" ht="75.0" customHeight="1">
      <c r="A361" s="137"/>
      <c r="B361" s="149"/>
      <c r="C361" s="149"/>
      <c r="D361" s="149"/>
      <c r="E361" s="150"/>
      <c r="F361" s="143"/>
      <c r="G361" s="143"/>
      <c r="H361" s="151"/>
      <c r="I361" s="151"/>
      <c r="J361" s="151"/>
      <c r="K361" s="137"/>
    </row>
    <row r="362" ht="75.0" customHeight="1">
      <c r="A362" s="137"/>
      <c r="B362" s="149"/>
      <c r="C362" s="149"/>
      <c r="D362" s="149"/>
      <c r="E362" s="150"/>
      <c r="F362" s="143"/>
      <c r="G362" s="143"/>
      <c r="H362" s="151"/>
      <c r="I362" s="151"/>
      <c r="J362" s="151"/>
      <c r="K362" s="137"/>
    </row>
    <row r="363" ht="75.0" customHeight="1">
      <c r="A363" s="137"/>
      <c r="B363" s="149"/>
      <c r="C363" s="149"/>
      <c r="D363" s="149"/>
      <c r="E363" s="150"/>
      <c r="F363" s="143"/>
      <c r="G363" s="143"/>
      <c r="H363" s="151"/>
      <c r="I363" s="151"/>
      <c r="J363" s="151"/>
      <c r="K363" s="137"/>
    </row>
    <row r="364" ht="75.0" customHeight="1">
      <c r="A364" s="137"/>
      <c r="B364" s="149"/>
      <c r="C364" s="149"/>
      <c r="D364" s="149"/>
      <c r="E364" s="150"/>
      <c r="F364" s="143"/>
      <c r="G364" s="143"/>
      <c r="H364" s="151"/>
      <c r="I364" s="151"/>
      <c r="J364" s="151"/>
      <c r="K364" s="137"/>
    </row>
    <row r="365" ht="75.0" customHeight="1">
      <c r="A365" s="137"/>
      <c r="B365" s="149"/>
      <c r="C365" s="149"/>
      <c r="D365" s="149"/>
      <c r="E365" s="150"/>
      <c r="F365" s="143"/>
      <c r="G365" s="143"/>
      <c r="H365" s="151"/>
      <c r="I365" s="151"/>
      <c r="J365" s="151"/>
      <c r="K365" s="137"/>
    </row>
    <row r="366" ht="75.0" customHeight="1">
      <c r="A366" s="137"/>
      <c r="B366" s="149"/>
      <c r="C366" s="149"/>
      <c r="D366" s="149"/>
      <c r="E366" s="150"/>
      <c r="F366" s="143"/>
      <c r="G366" s="143"/>
      <c r="H366" s="151"/>
      <c r="I366" s="151"/>
      <c r="J366" s="151"/>
      <c r="K366" s="137"/>
    </row>
    <row r="367" ht="75.0" customHeight="1">
      <c r="A367" s="137"/>
      <c r="B367" s="149"/>
      <c r="C367" s="149"/>
      <c r="D367" s="149"/>
      <c r="E367" s="150"/>
      <c r="F367" s="143"/>
      <c r="G367" s="143"/>
      <c r="H367" s="151"/>
      <c r="I367" s="151"/>
      <c r="J367" s="151"/>
      <c r="K367" s="137"/>
    </row>
    <row r="368" ht="75.0" customHeight="1">
      <c r="A368" s="137"/>
      <c r="B368" s="149"/>
      <c r="C368" s="149"/>
      <c r="D368" s="149"/>
      <c r="E368" s="150"/>
      <c r="F368" s="143"/>
      <c r="G368" s="143"/>
      <c r="H368" s="151"/>
      <c r="I368" s="151"/>
      <c r="J368" s="151"/>
      <c r="K368" s="137"/>
    </row>
    <row r="369" ht="75.0" customHeight="1">
      <c r="A369" s="137"/>
      <c r="B369" s="149"/>
      <c r="C369" s="149"/>
      <c r="D369" s="149"/>
      <c r="E369" s="150"/>
      <c r="F369" s="143"/>
      <c r="G369" s="143"/>
      <c r="H369" s="151"/>
      <c r="I369" s="151"/>
      <c r="J369" s="151"/>
      <c r="K369" s="137"/>
    </row>
    <row r="370" ht="75.0" customHeight="1">
      <c r="A370" s="137"/>
      <c r="B370" s="149"/>
      <c r="C370" s="149"/>
      <c r="D370" s="149"/>
      <c r="E370" s="150"/>
      <c r="F370" s="143"/>
      <c r="G370" s="143"/>
      <c r="H370" s="151"/>
      <c r="I370" s="151"/>
      <c r="J370" s="151"/>
      <c r="K370" s="137"/>
    </row>
    <row r="371" ht="75.0" customHeight="1">
      <c r="A371" s="137"/>
      <c r="B371" s="149"/>
      <c r="C371" s="149"/>
      <c r="D371" s="149"/>
      <c r="E371" s="150"/>
      <c r="F371" s="143"/>
      <c r="G371" s="143"/>
      <c r="H371" s="151"/>
      <c r="I371" s="151"/>
      <c r="J371" s="151"/>
      <c r="K371" s="137"/>
    </row>
    <row r="372" ht="75.0" customHeight="1">
      <c r="A372" s="137"/>
      <c r="B372" s="149"/>
      <c r="C372" s="149"/>
      <c r="D372" s="149"/>
      <c r="E372" s="150"/>
      <c r="F372" s="143"/>
      <c r="G372" s="143"/>
      <c r="H372" s="151"/>
      <c r="I372" s="151"/>
      <c r="J372" s="151"/>
      <c r="K372" s="137"/>
    </row>
    <row r="373" ht="75.0" customHeight="1">
      <c r="A373" s="137"/>
      <c r="B373" s="149"/>
      <c r="C373" s="149"/>
      <c r="D373" s="149"/>
      <c r="E373" s="150"/>
      <c r="F373" s="143"/>
      <c r="G373" s="143"/>
      <c r="H373" s="151"/>
      <c r="I373" s="151"/>
      <c r="J373" s="151"/>
      <c r="K373" s="137"/>
    </row>
    <row r="374" ht="75.0" customHeight="1">
      <c r="A374" s="137"/>
      <c r="B374" s="149"/>
      <c r="C374" s="149"/>
      <c r="D374" s="149"/>
      <c r="E374" s="150"/>
      <c r="F374" s="143"/>
      <c r="G374" s="143"/>
      <c r="H374" s="151"/>
      <c r="I374" s="151"/>
      <c r="J374" s="151"/>
      <c r="K374" s="137"/>
    </row>
    <row r="375" ht="75.0" customHeight="1">
      <c r="A375" s="137"/>
      <c r="B375" s="149"/>
      <c r="C375" s="149"/>
      <c r="D375" s="149"/>
      <c r="E375" s="150"/>
      <c r="F375" s="143"/>
      <c r="G375" s="143"/>
      <c r="H375" s="151"/>
      <c r="I375" s="151"/>
      <c r="J375" s="151"/>
      <c r="K375" s="137"/>
    </row>
    <row r="376" ht="75.0" customHeight="1">
      <c r="A376" s="137"/>
      <c r="B376" s="149"/>
      <c r="C376" s="149"/>
      <c r="D376" s="149"/>
      <c r="E376" s="150"/>
      <c r="F376" s="143"/>
      <c r="G376" s="143"/>
      <c r="H376" s="151"/>
      <c r="I376" s="151"/>
      <c r="J376" s="151"/>
      <c r="K376" s="137"/>
    </row>
    <row r="377" ht="75.0" customHeight="1">
      <c r="A377" s="137"/>
      <c r="B377" s="149"/>
      <c r="C377" s="149"/>
      <c r="D377" s="149"/>
      <c r="E377" s="150"/>
      <c r="F377" s="143"/>
      <c r="G377" s="143"/>
      <c r="H377" s="151"/>
      <c r="I377" s="151"/>
      <c r="J377" s="151"/>
      <c r="K377" s="137"/>
    </row>
    <row r="378" ht="75.0" customHeight="1">
      <c r="A378" s="137"/>
      <c r="B378" s="149"/>
      <c r="C378" s="149"/>
      <c r="D378" s="149"/>
      <c r="E378" s="150"/>
      <c r="F378" s="143"/>
      <c r="G378" s="143"/>
      <c r="H378" s="151"/>
      <c r="I378" s="151"/>
      <c r="J378" s="151"/>
      <c r="K378" s="137"/>
    </row>
    <row r="379" ht="75.0" customHeight="1">
      <c r="A379" s="137"/>
      <c r="B379" s="149"/>
      <c r="C379" s="149"/>
      <c r="D379" s="149"/>
      <c r="E379" s="150"/>
      <c r="F379" s="143"/>
      <c r="G379" s="143"/>
      <c r="H379" s="151"/>
      <c r="I379" s="151"/>
      <c r="J379" s="151"/>
      <c r="K379" s="137"/>
    </row>
    <row r="380" ht="75.0" customHeight="1">
      <c r="A380" s="137"/>
      <c r="B380" s="149"/>
      <c r="C380" s="149"/>
      <c r="D380" s="149"/>
      <c r="E380" s="150"/>
      <c r="F380" s="143"/>
      <c r="G380" s="143"/>
      <c r="H380" s="151"/>
      <c r="I380" s="151"/>
      <c r="J380" s="151"/>
      <c r="K380" s="137"/>
    </row>
    <row r="381" ht="75.0" customHeight="1">
      <c r="A381" s="137"/>
      <c r="B381" s="149"/>
      <c r="C381" s="149"/>
      <c r="D381" s="149"/>
      <c r="E381" s="150"/>
      <c r="F381" s="143"/>
      <c r="G381" s="143"/>
      <c r="H381" s="151"/>
      <c r="I381" s="151"/>
      <c r="J381" s="151"/>
      <c r="K381" s="137"/>
    </row>
    <row r="382" ht="75.0" customHeight="1">
      <c r="A382" s="137"/>
      <c r="B382" s="149"/>
      <c r="C382" s="149"/>
      <c r="D382" s="149"/>
      <c r="E382" s="150"/>
      <c r="F382" s="143"/>
      <c r="G382" s="143"/>
      <c r="H382" s="151"/>
      <c r="I382" s="151"/>
      <c r="J382" s="151"/>
      <c r="K382" s="137"/>
    </row>
    <row r="383" ht="75.0" customHeight="1">
      <c r="A383" s="137"/>
      <c r="B383" s="149"/>
      <c r="C383" s="149"/>
      <c r="D383" s="149"/>
      <c r="E383" s="150"/>
      <c r="F383" s="143"/>
      <c r="G383" s="143"/>
      <c r="H383" s="151"/>
      <c r="I383" s="151"/>
      <c r="J383" s="151"/>
      <c r="K383" s="137"/>
    </row>
    <row r="384" ht="75.0" customHeight="1">
      <c r="A384" s="137"/>
      <c r="B384" s="149"/>
      <c r="C384" s="149"/>
      <c r="D384" s="149"/>
      <c r="E384" s="150"/>
      <c r="F384" s="143"/>
      <c r="G384" s="143"/>
      <c r="H384" s="151"/>
      <c r="I384" s="151"/>
      <c r="J384" s="151"/>
      <c r="K384" s="137"/>
    </row>
    <row r="385" ht="75.0" customHeight="1">
      <c r="A385" s="137"/>
      <c r="B385" s="149"/>
      <c r="C385" s="149"/>
      <c r="D385" s="149"/>
      <c r="E385" s="150"/>
      <c r="F385" s="143"/>
      <c r="G385" s="143"/>
      <c r="H385" s="151"/>
      <c r="I385" s="151"/>
      <c r="J385" s="151"/>
      <c r="K385" s="137"/>
    </row>
    <row r="386" ht="75.0" customHeight="1">
      <c r="A386" s="137"/>
      <c r="B386" s="149"/>
      <c r="C386" s="149"/>
      <c r="D386" s="149"/>
      <c r="E386" s="150"/>
      <c r="F386" s="143"/>
      <c r="G386" s="143"/>
      <c r="H386" s="151"/>
      <c r="I386" s="151"/>
      <c r="J386" s="151"/>
      <c r="K386" s="137"/>
    </row>
    <row r="387" ht="75.0" customHeight="1">
      <c r="A387" s="137"/>
      <c r="B387" s="149"/>
      <c r="C387" s="149"/>
      <c r="D387" s="149"/>
      <c r="E387" s="150"/>
      <c r="F387" s="143"/>
      <c r="G387" s="143"/>
      <c r="H387" s="151"/>
      <c r="I387" s="151"/>
      <c r="J387" s="151"/>
      <c r="K387" s="137"/>
    </row>
    <row r="388" ht="75.0" customHeight="1">
      <c r="A388" s="137"/>
      <c r="B388" s="149"/>
      <c r="C388" s="149"/>
      <c r="D388" s="149"/>
      <c r="E388" s="150"/>
      <c r="F388" s="143"/>
      <c r="G388" s="143"/>
      <c r="H388" s="151"/>
      <c r="I388" s="151"/>
      <c r="J388" s="151"/>
      <c r="K388" s="137"/>
    </row>
    <row r="389" ht="75.0" customHeight="1">
      <c r="A389" s="137"/>
      <c r="B389" s="149"/>
      <c r="C389" s="149"/>
      <c r="D389" s="149"/>
      <c r="E389" s="150"/>
      <c r="F389" s="143"/>
      <c r="G389" s="143"/>
      <c r="H389" s="151"/>
      <c r="I389" s="151"/>
      <c r="J389" s="151"/>
      <c r="K389" s="137"/>
    </row>
    <row r="390" ht="75.0" customHeight="1">
      <c r="A390" s="137"/>
      <c r="B390" s="149"/>
      <c r="C390" s="149"/>
      <c r="D390" s="149"/>
      <c r="E390" s="150"/>
      <c r="F390" s="143"/>
      <c r="G390" s="143"/>
      <c r="H390" s="151"/>
      <c r="I390" s="151"/>
      <c r="J390" s="151"/>
      <c r="K390" s="137"/>
    </row>
    <row r="391" ht="75.0" customHeight="1">
      <c r="A391" s="137"/>
      <c r="B391" s="149"/>
      <c r="C391" s="149"/>
      <c r="D391" s="149"/>
      <c r="E391" s="150"/>
      <c r="F391" s="143"/>
      <c r="G391" s="143"/>
      <c r="H391" s="151"/>
      <c r="I391" s="151"/>
      <c r="J391" s="151"/>
      <c r="K391" s="137"/>
    </row>
    <row r="392" ht="75.0" customHeight="1">
      <c r="A392" s="137"/>
      <c r="B392" s="149"/>
      <c r="C392" s="149"/>
      <c r="D392" s="149"/>
      <c r="E392" s="150"/>
      <c r="F392" s="143"/>
      <c r="G392" s="143"/>
      <c r="H392" s="151"/>
      <c r="I392" s="151"/>
      <c r="J392" s="151"/>
      <c r="K392" s="137"/>
    </row>
    <row r="393" ht="75.0" customHeight="1">
      <c r="A393" s="137"/>
      <c r="B393" s="149"/>
      <c r="C393" s="149"/>
      <c r="D393" s="149"/>
      <c r="E393" s="150"/>
      <c r="F393" s="143"/>
      <c r="G393" s="143"/>
      <c r="H393" s="151"/>
      <c r="I393" s="151"/>
      <c r="J393" s="151"/>
      <c r="K393" s="137"/>
    </row>
    <row r="394" ht="75.0" customHeight="1">
      <c r="A394" s="137"/>
      <c r="B394" s="149"/>
      <c r="C394" s="149"/>
      <c r="D394" s="149"/>
      <c r="E394" s="150"/>
      <c r="F394" s="143"/>
      <c r="G394" s="143"/>
      <c r="H394" s="151"/>
      <c r="I394" s="151"/>
      <c r="J394" s="151"/>
      <c r="K394" s="137"/>
    </row>
    <row r="395" ht="75.0" customHeight="1">
      <c r="A395" s="137"/>
      <c r="B395" s="149"/>
      <c r="C395" s="149"/>
      <c r="D395" s="149"/>
      <c r="E395" s="150"/>
      <c r="F395" s="143"/>
      <c r="G395" s="143"/>
      <c r="H395" s="151"/>
      <c r="I395" s="151"/>
      <c r="J395" s="151"/>
      <c r="K395" s="137"/>
    </row>
    <row r="396" ht="75.0" customHeight="1">
      <c r="A396" s="137"/>
      <c r="B396" s="149"/>
      <c r="C396" s="149"/>
      <c r="D396" s="149"/>
      <c r="E396" s="150"/>
      <c r="F396" s="143"/>
      <c r="G396" s="143"/>
      <c r="H396" s="151"/>
      <c r="I396" s="151"/>
      <c r="J396" s="151"/>
      <c r="K396" s="137"/>
    </row>
    <row r="397" ht="75.0" customHeight="1">
      <c r="A397" s="137"/>
      <c r="B397" s="149"/>
      <c r="C397" s="149"/>
      <c r="D397" s="149"/>
      <c r="E397" s="150"/>
      <c r="F397" s="143"/>
      <c r="G397" s="143"/>
      <c r="H397" s="151"/>
      <c r="I397" s="151"/>
      <c r="J397" s="151"/>
      <c r="K397" s="137"/>
    </row>
    <row r="398" ht="75.0" customHeight="1">
      <c r="A398" s="137"/>
      <c r="B398" s="149"/>
      <c r="C398" s="149"/>
      <c r="D398" s="149"/>
      <c r="E398" s="150"/>
      <c r="F398" s="143"/>
      <c r="G398" s="143"/>
      <c r="H398" s="151"/>
      <c r="I398" s="151"/>
      <c r="J398" s="151"/>
      <c r="K398" s="137"/>
    </row>
    <row r="399" ht="75.0" customHeight="1">
      <c r="A399" s="137"/>
      <c r="B399" s="149"/>
      <c r="C399" s="149"/>
      <c r="D399" s="149"/>
      <c r="E399" s="150"/>
      <c r="F399" s="143"/>
      <c r="G399" s="143"/>
      <c r="H399" s="151"/>
      <c r="I399" s="151"/>
      <c r="J399" s="151"/>
      <c r="K399" s="137"/>
    </row>
    <row r="400" ht="75.0" customHeight="1">
      <c r="A400" s="137"/>
      <c r="B400" s="149"/>
      <c r="C400" s="149"/>
      <c r="D400" s="149"/>
      <c r="E400" s="150"/>
      <c r="F400" s="143"/>
      <c r="G400" s="143"/>
      <c r="H400" s="151"/>
      <c r="I400" s="151"/>
      <c r="J400" s="151"/>
      <c r="K400" s="137"/>
    </row>
    <row r="401" ht="75.0" customHeight="1">
      <c r="A401" s="137"/>
      <c r="B401" s="149"/>
      <c r="C401" s="149"/>
      <c r="D401" s="149"/>
      <c r="E401" s="150"/>
      <c r="F401" s="143"/>
      <c r="G401" s="143"/>
      <c r="H401" s="151"/>
      <c r="I401" s="151"/>
      <c r="J401" s="151"/>
      <c r="K401" s="137"/>
    </row>
    <row r="402" ht="75.0" customHeight="1">
      <c r="A402" s="137"/>
      <c r="B402" s="149"/>
      <c r="C402" s="149"/>
      <c r="D402" s="149"/>
      <c r="E402" s="150"/>
      <c r="F402" s="143"/>
      <c r="G402" s="143"/>
      <c r="H402" s="151"/>
      <c r="I402" s="151"/>
      <c r="J402" s="151"/>
      <c r="K402" s="137"/>
    </row>
    <row r="403" ht="75.0" customHeight="1">
      <c r="A403" s="137"/>
      <c r="B403" s="149"/>
      <c r="C403" s="149"/>
      <c r="D403" s="149"/>
      <c r="E403" s="150"/>
      <c r="F403" s="143"/>
      <c r="G403" s="143"/>
      <c r="H403" s="151"/>
      <c r="I403" s="151"/>
      <c r="J403" s="151"/>
      <c r="K403" s="137"/>
    </row>
    <row r="404" ht="75.0" customHeight="1">
      <c r="A404" s="137"/>
      <c r="B404" s="149"/>
      <c r="C404" s="149"/>
      <c r="D404" s="149"/>
      <c r="E404" s="150"/>
      <c r="F404" s="143"/>
      <c r="G404" s="143"/>
      <c r="H404" s="151"/>
      <c r="I404" s="151"/>
      <c r="J404" s="151"/>
      <c r="K404" s="137"/>
    </row>
    <row r="405" ht="75.0" customHeight="1">
      <c r="A405" s="137"/>
      <c r="B405" s="149"/>
      <c r="C405" s="149"/>
      <c r="D405" s="149"/>
      <c r="E405" s="150"/>
      <c r="F405" s="143"/>
      <c r="G405" s="143"/>
      <c r="H405" s="151"/>
      <c r="I405" s="151"/>
      <c r="J405" s="151"/>
      <c r="K405" s="137"/>
    </row>
    <row r="406" ht="75.0" customHeight="1">
      <c r="A406" s="137"/>
      <c r="B406" s="149"/>
      <c r="C406" s="149"/>
      <c r="D406" s="149"/>
      <c r="E406" s="150"/>
      <c r="F406" s="143"/>
      <c r="G406" s="143"/>
      <c r="H406" s="151"/>
      <c r="I406" s="151"/>
      <c r="J406" s="151"/>
      <c r="K406" s="137"/>
    </row>
    <row r="407" ht="75.0" customHeight="1">
      <c r="A407" s="137"/>
      <c r="B407" s="149"/>
      <c r="C407" s="149"/>
      <c r="D407" s="149"/>
      <c r="E407" s="150"/>
      <c r="F407" s="143"/>
      <c r="G407" s="143"/>
      <c r="H407" s="151"/>
      <c r="I407" s="151"/>
      <c r="J407" s="151"/>
      <c r="K407" s="137"/>
    </row>
    <row r="408" ht="75.0" customHeight="1">
      <c r="A408" s="137"/>
      <c r="B408" s="149"/>
      <c r="C408" s="149"/>
      <c r="D408" s="149"/>
      <c r="E408" s="150"/>
      <c r="F408" s="143"/>
      <c r="G408" s="143"/>
      <c r="H408" s="151"/>
      <c r="I408" s="151"/>
      <c r="J408" s="151"/>
      <c r="K408" s="137"/>
    </row>
    <row r="409" ht="75.0" customHeight="1">
      <c r="A409" s="137"/>
      <c r="B409" s="149"/>
      <c r="C409" s="149"/>
      <c r="D409" s="149"/>
      <c r="E409" s="150"/>
      <c r="F409" s="143"/>
      <c r="G409" s="143"/>
      <c r="H409" s="151"/>
      <c r="I409" s="151"/>
      <c r="J409" s="151"/>
      <c r="K409" s="137"/>
    </row>
    <row r="410" ht="75.0" customHeight="1">
      <c r="A410" s="137"/>
      <c r="B410" s="149"/>
      <c r="C410" s="149"/>
      <c r="D410" s="149"/>
      <c r="E410" s="150"/>
      <c r="F410" s="143"/>
      <c r="G410" s="143"/>
      <c r="H410" s="151"/>
      <c r="I410" s="151"/>
      <c r="J410" s="151"/>
      <c r="K410" s="137"/>
    </row>
    <row r="411" ht="75.0" customHeight="1">
      <c r="A411" s="137"/>
      <c r="B411" s="149"/>
      <c r="C411" s="149"/>
      <c r="D411" s="149"/>
      <c r="E411" s="150"/>
      <c r="F411" s="143"/>
      <c r="G411" s="143"/>
      <c r="H411" s="151"/>
      <c r="I411" s="151"/>
      <c r="J411" s="151"/>
      <c r="K411" s="137"/>
    </row>
    <row r="412" ht="75.0" customHeight="1">
      <c r="A412" s="137"/>
      <c r="B412" s="149"/>
      <c r="C412" s="149"/>
      <c r="D412" s="149"/>
      <c r="E412" s="150"/>
      <c r="F412" s="143"/>
      <c r="G412" s="143"/>
      <c r="H412" s="151"/>
      <c r="I412" s="151"/>
      <c r="J412" s="151"/>
      <c r="K412" s="137"/>
    </row>
    <row r="413" ht="75.0" customHeight="1">
      <c r="A413" s="137"/>
      <c r="B413" s="149"/>
      <c r="C413" s="149"/>
      <c r="D413" s="149"/>
      <c r="E413" s="150"/>
      <c r="F413" s="143"/>
      <c r="G413" s="143"/>
      <c r="H413" s="151"/>
      <c r="I413" s="151"/>
      <c r="J413" s="151"/>
      <c r="K413" s="137"/>
    </row>
    <row r="414" ht="75.0" customHeight="1">
      <c r="A414" s="137"/>
      <c r="B414" s="149"/>
      <c r="C414" s="149"/>
      <c r="D414" s="149"/>
      <c r="E414" s="150"/>
      <c r="F414" s="143"/>
      <c r="G414" s="143"/>
      <c r="H414" s="151"/>
      <c r="I414" s="151"/>
      <c r="J414" s="151"/>
      <c r="K414" s="137"/>
    </row>
    <row r="415" ht="75.0" customHeight="1">
      <c r="A415" s="137"/>
      <c r="B415" s="149"/>
      <c r="C415" s="149"/>
      <c r="D415" s="149"/>
      <c r="E415" s="150"/>
      <c r="F415" s="143"/>
      <c r="G415" s="143"/>
      <c r="H415" s="151"/>
      <c r="I415" s="151"/>
      <c r="J415" s="151"/>
      <c r="K415" s="137"/>
    </row>
    <row r="416" ht="75.0" customHeight="1">
      <c r="A416" s="137"/>
      <c r="B416" s="149"/>
      <c r="C416" s="149"/>
      <c r="D416" s="149"/>
      <c r="E416" s="150"/>
      <c r="F416" s="143"/>
      <c r="G416" s="143"/>
      <c r="H416" s="151"/>
      <c r="I416" s="151"/>
      <c r="J416" s="151"/>
      <c r="K416" s="137"/>
    </row>
    <row r="417" ht="75.0" customHeight="1">
      <c r="A417" s="137"/>
      <c r="B417" s="149"/>
      <c r="C417" s="149"/>
      <c r="D417" s="149"/>
      <c r="E417" s="150"/>
      <c r="F417" s="143"/>
      <c r="G417" s="143"/>
      <c r="H417" s="151"/>
      <c r="I417" s="151"/>
      <c r="J417" s="151"/>
      <c r="K417" s="137"/>
    </row>
    <row r="418" ht="75.0" customHeight="1">
      <c r="A418" s="137"/>
      <c r="B418" s="149"/>
      <c r="C418" s="149"/>
      <c r="D418" s="149"/>
      <c r="E418" s="150"/>
      <c r="F418" s="143"/>
      <c r="G418" s="143"/>
      <c r="H418" s="151"/>
      <c r="I418" s="151"/>
      <c r="J418" s="151"/>
      <c r="K418" s="137"/>
    </row>
    <row r="419" ht="75.0" customHeight="1">
      <c r="A419" s="137"/>
      <c r="B419" s="149"/>
      <c r="C419" s="149"/>
      <c r="D419" s="149"/>
      <c r="E419" s="150"/>
      <c r="F419" s="143"/>
      <c r="G419" s="143"/>
      <c r="H419" s="151"/>
      <c r="I419" s="151"/>
      <c r="J419" s="151"/>
      <c r="K419" s="137"/>
    </row>
    <row r="420" ht="75.0" customHeight="1">
      <c r="A420" s="137"/>
      <c r="B420" s="149"/>
      <c r="C420" s="149"/>
      <c r="D420" s="149"/>
      <c r="E420" s="150"/>
      <c r="F420" s="143"/>
      <c r="G420" s="143"/>
      <c r="H420" s="151"/>
      <c r="I420" s="151"/>
      <c r="J420" s="151"/>
      <c r="K420" s="137"/>
    </row>
    <row r="421" ht="75.0" customHeight="1">
      <c r="A421" s="137"/>
      <c r="B421" s="149"/>
      <c r="C421" s="149"/>
      <c r="D421" s="149"/>
      <c r="E421" s="150"/>
      <c r="F421" s="143"/>
      <c r="G421" s="143"/>
      <c r="H421" s="151"/>
      <c r="I421" s="151"/>
      <c r="J421" s="151"/>
      <c r="K421" s="137"/>
    </row>
    <row r="422" ht="75.0" customHeight="1">
      <c r="A422" s="137"/>
      <c r="B422" s="149"/>
      <c r="C422" s="149"/>
      <c r="D422" s="149"/>
      <c r="E422" s="150"/>
      <c r="F422" s="143"/>
      <c r="G422" s="143"/>
      <c r="H422" s="151"/>
      <c r="I422" s="151"/>
      <c r="J422" s="151"/>
      <c r="K422" s="137"/>
    </row>
    <row r="423" ht="75.0" customHeight="1">
      <c r="A423" s="137"/>
      <c r="B423" s="149"/>
      <c r="C423" s="149"/>
      <c r="D423" s="149"/>
      <c r="E423" s="150"/>
      <c r="F423" s="143"/>
      <c r="G423" s="143"/>
      <c r="H423" s="151"/>
      <c r="I423" s="151"/>
      <c r="J423" s="151"/>
      <c r="K423" s="137"/>
    </row>
    <row r="424" ht="75.0" customHeight="1">
      <c r="A424" s="137"/>
      <c r="B424" s="149"/>
      <c r="C424" s="149"/>
      <c r="D424" s="149"/>
      <c r="E424" s="150"/>
      <c r="F424" s="143"/>
      <c r="G424" s="143"/>
      <c r="H424" s="151"/>
      <c r="I424" s="151"/>
      <c r="J424" s="151"/>
      <c r="K424" s="137"/>
    </row>
    <row r="425" ht="75.0" customHeight="1">
      <c r="A425" s="137"/>
      <c r="B425" s="149"/>
      <c r="C425" s="149"/>
      <c r="D425" s="149"/>
      <c r="E425" s="150"/>
      <c r="F425" s="143"/>
      <c r="G425" s="143"/>
      <c r="H425" s="151"/>
      <c r="I425" s="151"/>
      <c r="J425" s="151"/>
      <c r="K425" s="137"/>
    </row>
    <row r="426" ht="75.0" customHeight="1">
      <c r="A426" s="137"/>
      <c r="B426" s="149"/>
      <c r="C426" s="149"/>
      <c r="D426" s="149"/>
      <c r="E426" s="150"/>
      <c r="F426" s="143"/>
      <c r="G426" s="143"/>
      <c r="H426" s="151"/>
      <c r="I426" s="151"/>
      <c r="J426" s="151"/>
      <c r="K426" s="137"/>
    </row>
    <row r="427" ht="75.0" customHeight="1">
      <c r="A427" s="137"/>
      <c r="B427" s="149"/>
      <c r="C427" s="149"/>
      <c r="D427" s="149"/>
      <c r="E427" s="150"/>
      <c r="F427" s="143"/>
      <c r="G427" s="143"/>
      <c r="H427" s="151"/>
      <c r="I427" s="151"/>
      <c r="J427" s="151"/>
      <c r="K427" s="137"/>
    </row>
    <row r="428" ht="75.0" customHeight="1">
      <c r="A428" s="137"/>
      <c r="B428" s="149"/>
      <c r="C428" s="149"/>
      <c r="D428" s="149"/>
      <c r="E428" s="150"/>
      <c r="F428" s="143"/>
      <c r="G428" s="143"/>
      <c r="H428" s="151"/>
      <c r="I428" s="151"/>
      <c r="J428" s="151"/>
      <c r="K428" s="137"/>
    </row>
    <row r="429" ht="75.0" customHeight="1">
      <c r="A429" s="137"/>
      <c r="B429" s="149"/>
      <c r="C429" s="149"/>
      <c r="D429" s="149"/>
      <c r="E429" s="150"/>
      <c r="F429" s="143"/>
      <c r="G429" s="143"/>
      <c r="H429" s="151"/>
      <c r="I429" s="151"/>
      <c r="J429" s="151"/>
      <c r="K429" s="137"/>
    </row>
    <row r="430" ht="75.0" customHeight="1">
      <c r="A430" s="137"/>
      <c r="B430" s="149"/>
      <c r="C430" s="149"/>
      <c r="D430" s="149"/>
      <c r="E430" s="150"/>
      <c r="F430" s="143"/>
      <c r="G430" s="143"/>
      <c r="H430" s="151"/>
      <c r="I430" s="151"/>
      <c r="J430" s="151"/>
      <c r="K430" s="137"/>
    </row>
    <row r="431" ht="75.0" customHeight="1">
      <c r="A431" s="137"/>
      <c r="B431" s="149"/>
      <c r="C431" s="149"/>
      <c r="D431" s="149"/>
      <c r="E431" s="150"/>
      <c r="F431" s="143"/>
      <c r="G431" s="143"/>
      <c r="H431" s="151"/>
      <c r="I431" s="151"/>
      <c r="J431" s="151"/>
      <c r="K431" s="137"/>
    </row>
    <row r="432" ht="75.0" customHeight="1">
      <c r="A432" s="137"/>
      <c r="B432" s="149"/>
      <c r="C432" s="149"/>
      <c r="D432" s="149"/>
      <c r="E432" s="150"/>
      <c r="F432" s="143"/>
      <c r="G432" s="143"/>
      <c r="H432" s="151"/>
      <c r="I432" s="151"/>
      <c r="J432" s="151"/>
      <c r="K432" s="137"/>
    </row>
    <row r="433" ht="75.0" customHeight="1">
      <c r="A433" s="137"/>
      <c r="B433" s="149"/>
      <c r="C433" s="149"/>
      <c r="D433" s="149"/>
      <c r="E433" s="150"/>
      <c r="F433" s="143"/>
      <c r="G433" s="143"/>
      <c r="H433" s="151"/>
      <c r="I433" s="151"/>
      <c r="J433" s="151"/>
      <c r="K433" s="137"/>
    </row>
    <row r="434" ht="75.0" customHeight="1">
      <c r="A434" s="137"/>
      <c r="B434" s="149"/>
      <c r="C434" s="149"/>
      <c r="D434" s="149"/>
      <c r="E434" s="150"/>
      <c r="F434" s="143"/>
      <c r="G434" s="143"/>
      <c r="H434" s="151"/>
      <c r="I434" s="151"/>
      <c r="J434" s="151"/>
      <c r="K434" s="137"/>
    </row>
    <row r="435" ht="75.0" customHeight="1">
      <c r="A435" s="137"/>
      <c r="B435" s="149"/>
      <c r="C435" s="149"/>
      <c r="D435" s="149"/>
      <c r="E435" s="150"/>
      <c r="F435" s="143"/>
      <c r="G435" s="143"/>
      <c r="H435" s="151"/>
      <c r="I435" s="151"/>
      <c r="J435" s="151"/>
      <c r="K435" s="137"/>
    </row>
    <row r="436" ht="75.0" customHeight="1">
      <c r="A436" s="137"/>
      <c r="B436" s="149"/>
      <c r="C436" s="149"/>
      <c r="D436" s="149"/>
      <c r="E436" s="150"/>
      <c r="F436" s="143"/>
      <c r="G436" s="143"/>
      <c r="H436" s="151"/>
      <c r="I436" s="151"/>
      <c r="J436" s="151"/>
      <c r="K436" s="137"/>
    </row>
    <row r="437" ht="75.0" customHeight="1">
      <c r="A437" s="137"/>
      <c r="B437" s="149"/>
      <c r="C437" s="149"/>
      <c r="D437" s="149"/>
      <c r="E437" s="150"/>
      <c r="F437" s="143"/>
      <c r="G437" s="143"/>
      <c r="H437" s="151"/>
      <c r="I437" s="151"/>
      <c r="J437" s="151"/>
      <c r="K437" s="137"/>
    </row>
    <row r="438" ht="75.0" customHeight="1">
      <c r="A438" s="137"/>
      <c r="B438" s="149"/>
      <c r="C438" s="149"/>
      <c r="D438" s="149"/>
      <c r="E438" s="150"/>
      <c r="F438" s="143"/>
      <c r="G438" s="143"/>
      <c r="H438" s="151"/>
      <c r="I438" s="151"/>
      <c r="J438" s="151"/>
      <c r="K438" s="137"/>
    </row>
    <row r="439" ht="75.0" customHeight="1">
      <c r="A439" s="137"/>
      <c r="B439" s="149"/>
      <c r="C439" s="149"/>
      <c r="D439" s="149"/>
      <c r="E439" s="150"/>
      <c r="F439" s="143"/>
      <c r="G439" s="143"/>
      <c r="H439" s="151"/>
      <c r="I439" s="151"/>
      <c r="J439" s="151"/>
      <c r="K439" s="137"/>
    </row>
    <row r="440" ht="75.0" customHeight="1">
      <c r="A440" s="137"/>
      <c r="B440" s="149"/>
      <c r="C440" s="149"/>
      <c r="D440" s="149"/>
      <c r="E440" s="150"/>
      <c r="F440" s="143"/>
      <c r="G440" s="143"/>
      <c r="H440" s="151"/>
      <c r="I440" s="151"/>
      <c r="J440" s="151"/>
      <c r="K440" s="137"/>
    </row>
    <row r="441" ht="75.0" customHeight="1">
      <c r="A441" s="137"/>
      <c r="B441" s="149"/>
      <c r="C441" s="149"/>
      <c r="D441" s="149"/>
      <c r="E441" s="150"/>
      <c r="F441" s="143"/>
      <c r="G441" s="143"/>
      <c r="H441" s="151"/>
      <c r="I441" s="151"/>
      <c r="J441" s="151"/>
      <c r="K441" s="137"/>
    </row>
    <row r="442" ht="75.0" customHeight="1">
      <c r="A442" s="137"/>
      <c r="B442" s="149"/>
      <c r="C442" s="149"/>
      <c r="D442" s="149"/>
      <c r="E442" s="150"/>
      <c r="F442" s="143"/>
      <c r="G442" s="143"/>
      <c r="H442" s="151"/>
      <c r="I442" s="151"/>
      <c r="J442" s="151"/>
      <c r="K442" s="137"/>
    </row>
    <row r="443" ht="75.0" customHeight="1">
      <c r="A443" s="137"/>
      <c r="B443" s="149"/>
      <c r="C443" s="149"/>
      <c r="D443" s="149"/>
      <c r="E443" s="150"/>
      <c r="F443" s="143"/>
      <c r="G443" s="143"/>
      <c r="H443" s="151"/>
      <c r="I443" s="151"/>
      <c r="J443" s="151"/>
      <c r="K443" s="137"/>
    </row>
    <row r="444" ht="75.0" customHeight="1">
      <c r="A444" s="137"/>
      <c r="B444" s="149"/>
      <c r="C444" s="149"/>
      <c r="D444" s="149"/>
      <c r="E444" s="150"/>
      <c r="F444" s="143"/>
      <c r="G444" s="143"/>
      <c r="H444" s="151"/>
      <c r="I444" s="151"/>
      <c r="J444" s="151"/>
      <c r="K444" s="137"/>
    </row>
    <row r="445" ht="75.0" customHeight="1">
      <c r="A445" s="137"/>
      <c r="B445" s="149"/>
      <c r="C445" s="149"/>
      <c r="D445" s="149"/>
      <c r="E445" s="150"/>
      <c r="F445" s="143"/>
      <c r="G445" s="143"/>
      <c r="H445" s="151"/>
      <c r="I445" s="151"/>
      <c r="J445" s="151"/>
      <c r="K445" s="137"/>
    </row>
    <row r="446" ht="75.0" customHeight="1">
      <c r="A446" s="137"/>
      <c r="B446" s="149"/>
      <c r="C446" s="149"/>
      <c r="D446" s="149"/>
      <c r="E446" s="150"/>
      <c r="F446" s="143"/>
      <c r="G446" s="143"/>
      <c r="H446" s="151"/>
      <c r="I446" s="151"/>
      <c r="J446" s="151"/>
      <c r="K446" s="137"/>
    </row>
    <row r="447" ht="75.0" customHeight="1">
      <c r="A447" s="137"/>
      <c r="B447" s="149"/>
      <c r="C447" s="149"/>
      <c r="D447" s="149"/>
      <c r="E447" s="150"/>
      <c r="F447" s="143"/>
      <c r="G447" s="143"/>
      <c r="H447" s="151"/>
      <c r="I447" s="151"/>
      <c r="J447" s="151"/>
      <c r="K447" s="137"/>
    </row>
    <row r="448" ht="75.0" customHeight="1">
      <c r="A448" s="137"/>
      <c r="B448" s="149"/>
      <c r="C448" s="149"/>
      <c r="D448" s="149"/>
      <c r="E448" s="150"/>
      <c r="F448" s="143"/>
      <c r="G448" s="143"/>
      <c r="H448" s="151"/>
      <c r="I448" s="151"/>
      <c r="J448" s="151"/>
      <c r="K448" s="137"/>
    </row>
    <row r="449" ht="75.0" customHeight="1">
      <c r="A449" s="137"/>
      <c r="B449" s="149"/>
      <c r="C449" s="149"/>
      <c r="D449" s="149"/>
      <c r="E449" s="150"/>
      <c r="F449" s="143"/>
      <c r="G449" s="143"/>
      <c r="H449" s="151"/>
      <c r="I449" s="151"/>
      <c r="J449" s="151"/>
      <c r="K449" s="137"/>
    </row>
    <row r="450" ht="75.0" customHeight="1">
      <c r="A450" s="137"/>
      <c r="B450" s="149"/>
      <c r="C450" s="149"/>
      <c r="D450" s="149"/>
      <c r="E450" s="150"/>
      <c r="F450" s="143"/>
      <c r="G450" s="143"/>
      <c r="H450" s="151"/>
      <c r="I450" s="151"/>
      <c r="J450" s="151"/>
      <c r="K450" s="137"/>
    </row>
    <row r="451" ht="75.0" customHeight="1">
      <c r="A451" s="137"/>
      <c r="B451" s="149"/>
      <c r="C451" s="149"/>
      <c r="D451" s="149"/>
      <c r="E451" s="150"/>
      <c r="F451" s="143"/>
      <c r="G451" s="143"/>
      <c r="H451" s="151"/>
      <c r="I451" s="151"/>
      <c r="J451" s="151"/>
      <c r="K451" s="137"/>
    </row>
    <row r="452" ht="75.0" customHeight="1">
      <c r="A452" s="137"/>
      <c r="B452" s="149"/>
      <c r="C452" s="149"/>
      <c r="D452" s="149"/>
      <c r="E452" s="150"/>
      <c r="F452" s="143"/>
      <c r="G452" s="143"/>
      <c r="H452" s="151"/>
      <c r="I452" s="151"/>
      <c r="J452" s="151"/>
      <c r="K452" s="137"/>
    </row>
    <row r="453" ht="75.0" customHeight="1">
      <c r="A453" s="137"/>
      <c r="B453" s="149"/>
      <c r="C453" s="149"/>
      <c r="D453" s="149"/>
      <c r="E453" s="150"/>
      <c r="F453" s="143"/>
      <c r="G453" s="143"/>
      <c r="H453" s="151"/>
      <c r="I453" s="151"/>
      <c r="J453" s="151"/>
      <c r="K453" s="137"/>
    </row>
    <row r="454" ht="75.0" customHeight="1">
      <c r="A454" s="137"/>
      <c r="B454" s="149"/>
      <c r="C454" s="149"/>
      <c r="D454" s="149"/>
      <c r="E454" s="150"/>
      <c r="F454" s="143"/>
      <c r="G454" s="143"/>
      <c r="H454" s="151"/>
      <c r="I454" s="151"/>
      <c r="J454" s="151"/>
      <c r="K454" s="137"/>
    </row>
    <row r="455" ht="75.0" customHeight="1">
      <c r="A455" s="137"/>
      <c r="B455" s="149"/>
      <c r="C455" s="149"/>
      <c r="D455" s="149"/>
      <c r="E455" s="150"/>
      <c r="F455" s="143"/>
      <c r="G455" s="143"/>
      <c r="H455" s="151"/>
      <c r="I455" s="151"/>
      <c r="J455" s="151"/>
      <c r="K455" s="137"/>
    </row>
    <row r="456" ht="75.0" customHeight="1">
      <c r="A456" s="137"/>
      <c r="B456" s="149"/>
      <c r="C456" s="149"/>
      <c r="D456" s="149"/>
      <c r="E456" s="150"/>
      <c r="F456" s="143"/>
      <c r="G456" s="143"/>
      <c r="H456" s="151"/>
      <c r="I456" s="151"/>
      <c r="J456" s="151"/>
      <c r="K456" s="137"/>
    </row>
    <row r="457" ht="75.0" customHeight="1">
      <c r="A457" s="137"/>
      <c r="B457" s="149"/>
      <c r="C457" s="149"/>
      <c r="D457" s="149"/>
      <c r="E457" s="150"/>
      <c r="F457" s="143"/>
      <c r="G457" s="143"/>
      <c r="H457" s="151"/>
      <c r="I457" s="151"/>
      <c r="J457" s="151"/>
      <c r="K457" s="137"/>
    </row>
    <row r="458" ht="75.0" customHeight="1">
      <c r="A458" s="137"/>
      <c r="B458" s="149"/>
      <c r="C458" s="149"/>
      <c r="D458" s="149"/>
      <c r="E458" s="150"/>
      <c r="F458" s="143"/>
      <c r="G458" s="143"/>
      <c r="H458" s="151"/>
      <c r="I458" s="151"/>
      <c r="J458" s="151"/>
      <c r="K458" s="137"/>
    </row>
    <row r="459" ht="75.0" customHeight="1">
      <c r="A459" s="137"/>
      <c r="B459" s="149"/>
      <c r="C459" s="149"/>
      <c r="D459" s="149"/>
      <c r="E459" s="150"/>
      <c r="F459" s="143"/>
      <c r="G459" s="143"/>
      <c r="H459" s="151"/>
      <c r="I459" s="151"/>
      <c r="J459" s="151"/>
      <c r="K459" s="137"/>
    </row>
    <row r="460" ht="75.0" customHeight="1">
      <c r="A460" s="137"/>
      <c r="B460" s="149"/>
      <c r="C460" s="149"/>
      <c r="D460" s="149"/>
      <c r="E460" s="150"/>
      <c r="F460" s="143"/>
      <c r="G460" s="143"/>
      <c r="H460" s="151"/>
      <c r="I460" s="151"/>
      <c r="J460" s="151"/>
      <c r="K460" s="137"/>
    </row>
    <row r="461" ht="75.0" customHeight="1">
      <c r="A461" s="137"/>
      <c r="B461" s="149"/>
      <c r="C461" s="149"/>
      <c r="D461" s="149"/>
      <c r="E461" s="150"/>
      <c r="F461" s="143"/>
      <c r="G461" s="143"/>
      <c r="H461" s="151"/>
      <c r="I461" s="151"/>
      <c r="J461" s="151"/>
      <c r="K461" s="137"/>
    </row>
    <row r="462" ht="75.0" customHeight="1">
      <c r="A462" s="137"/>
      <c r="B462" s="149"/>
      <c r="C462" s="149"/>
      <c r="D462" s="149"/>
      <c r="E462" s="150"/>
      <c r="F462" s="143"/>
      <c r="G462" s="143"/>
      <c r="H462" s="151"/>
      <c r="I462" s="151"/>
      <c r="J462" s="151"/>
      <c r="K462" s="137"/>
    </row>
    <row r="463" ht="75.0" customHeight="1">
      <c r="A463" s="137"/>
      <c r="B463" s="149"/>
      <c r="C463" s="149"/>
      <c r="D463" s="149"/>
      <c r="E463" s="150"/>
      <c r="F463" s="143"/>
      <c r="G463" s="143"/>
      <c r="H463" s="151"/>
      <c r="I463" s="151"/>
      <c r="J463" s="151"/>
      <c r="K463" s="137"/>
    </row>
    <row r="464" ht="75.0" customHeight="1">
      <c r="A464" s="137"/>
      <c r="B464" s="149"/>
      <c r="C464" s="149"/>
      <c r="D464" s="149"/>
      <c r="E464" s="150"/>
      <c r="F464" s="143"/>
      <c r="G464" s="143"/>
      <c r="H464" s="151"/>
      <c r="I464" s="151"/>
      <c r="J464" s="151"/>
      <c r="K464" s="137"/>
    </row>
    <row r="465" ht="75.0" customHeight="1">
      <c r="A465" s="137"/>
      <c r="B465" s="149"/>
      <c r="C465" s="149"/>
      <c r="D465" s="149"/>
      <c r="E465" s="150"/>
      <c r="F465" s="143"/>
      <c r="G465" s="143"/>
      <c r="H465" s="151"/>
      <c r="I465" s="151"/>
      <c r="J465" s="151"/>
      <c r="K465" s="137"/>
    </row>
    <row r="466" ht="75.0" customHeight="1">
      <c r="A466" s="137"/>
      <c r="B466" s="149"/>
      <c r="C466" s="149"/>
      <c r="D466" s="149"/>
      <c r="E466" s="150"/>
      <c r="F466" s="143"/>
      <c r="G466" s="143"/>
      <c r="H466" s="151"/>
      <c r="I466" s="151"/>
      <c r="J466" s="151"/>
      <c r="K466" s="137"/>
    </row>
    <row r="467" ht="75.0" customHeight="1">
      <c r="A467" s="137"/>
      <c r="B467" s="149"/>
      <c r="C467" s="149"/>
      <c r="D467" s="149"/>
      <c r="E467" s="150"/>
      <c r="F467" s="143"/>
      <c r="G467" s="143"/>
      <c r="H467" s="151"/>
      <c r="I467" s="151"/>
      <c r="J467" s="151"/>
      <c r="K467" s="137"/>
    </row>
    <row r="468" ht="75.0" customHeight="1">
      <c r="A468" s="137"/>
      <c r="B468" s="149"/>
      <c r="C468" s="149"/>
      <c r="D468" s="149"/>
      <c r="E468" s="150"/>
      <c r="F468" s="143"/>
      <c r="G468" s="143"/>
      <c r="H468" s="151"/>
      <c r="I468" s="151"/>
      <c r="J468" s="151"/>
      <c r="K468" s="137"/>
    </row>
    <row r="469" ht="75.0" customHeight="1">
      <c r="A469" s="137"/>
      <c r="B469" s="149"/>
      <c r="C469" s="149"/>
      <c r="D469" s="149"/>
      <c r="E469" s="150"/>
      <c r="F469" s="143"/>
      <c r="G469" s="143"/>
      <c r="H469" s="151"/>
      <c r="I469" s="151"/>
      <c r="J469" s="151"/>
      <c r="K469" s="137"/>
    </row>
    <row r="470" ht="75.0" customHeight="1">
      <c r="A470" s="137"/>
      <c r="B470" s="149"/>
      <c r="C470" s="149"/>
      <c r="D470" s="149"/>
      <c r="E470" s="150"/>
      <c r="F470" s="143"/>
      <c r="G470" s="143"/>
      <c r="H470" s="151"/>
      <c r="I470" s="151"/>
      <c r="J470" s="151"/>
      <c r="K470" s="137"/>
    </row>
    <row r="471" ht="75.0" customHeight="1">
      <c r="A471" s="137"/>
      <c r="B471" s="149"/>
      <c r="C471" s="149"/>
      <c r="D471" s="149"/>
      <c r="E471" s="150"/>
      <c r="F471" s="143"/>
      <c r="G471" s="143"/>
      <c r="H471" s="151"/>
      <c r="I471" s="151"/>
      <c r="J471" s="151"/>
      <c r="K471" s="137"/>
    </row>
    <row r="472" ht="75.0" customHeight="1">
      <c r="A472" s="137"/>
      <c r="B472" s="149"/>
      <c r="C472" s="149"/>
      <c r="D472" s="149"/>
      <c r="E472" s="150"/>
      <c r="F472" s="143"/>
      <c r="G472" s="143"/>
      <c r="H472" s="151"/>
      <c r="I472" s="151"/>
      <c r="J472" s="151"/>
      <c r="K472" s="137"/>
    </row>
    <row r="473" ht="75.0" customHeight="1">
      <c r="A473" s="137"/>
      <c r="B473" s="149"/>
      <c r="C473" s="149"/>
      <c r="D473" s="149"/>
      <c r="E473" s="150"/>
      <c r="F473" s="143"/>
      <c r="G473" s="143"/>
      <c r="H473" s="151"/>
      <c r="I473" s="151"/>
      <c r="J473" s="151"/>
      <c r="K473" s="137"/>
    </row>
    <row r="474" ht="75.0" customHeight="1">
      <c r="A474" s="137"/>
      <c r="B474" s="149"/>
      <c r="C474" s="149"/>
      <c r="D474" s="149"/>
      <c r="E474" s="150"/>
      <c r="F474" s="143"/>
      <c r="G474" s="143"/>
      <c r="H474" s="151"/>
      <c r="I474" s="151"/>
      <c r="J474" s="151"/>
      <c r="K474" s="137"/>
    </row>
    <row r="475" ht="75.0" customHeight="1">
      <c r="A475" s="137"/>
      <c r="B475" s="149"/>
      <c r="C475" s="149"/>
      <c r="D475" s="149"/>
      <c r="E475" s="150"/>
      <c r="F475" s="143"/>
      <c r="G475" s="143"/>
      <c r="H475" s="151"/>
      <c r="I475" s="151"/>
      <c r="J475" s="151"/>
      <c r="K475" s="137"/>
    </row>
    <row r="476" ht="75.0" customHeight="1">
      <c r="A476" s="137"/>
      <c r="B476" s="149"/>
      <c r="C476" s="149"/>
      <c r="D476" s="149"/>
      <c r="E476" s="150"/>
      <c r="F476" s="143"/>
      <c r="G476" s="143"/>
      <c r="H476" s="151"/>
      <c r="I476" s="151"/>
      <c r="J476" s="151"/>
      <c r="K476" s="137"/>
    </row>
    <row r="477" ht="75.0" customHeight="1">
      <c r="A477" s="137"/>
      <c r="B477" s="149"/>
      <c r="C477" s="149"/>
      <c r="D477" s="149"/>
      <c r="E477" s="150"/>
      <c r="F477" s="143"/>
      <c r="G477" s="143"/>
      <c r="H477" s="151"/>
      <c r="I477" s="151"/>
      <c r="J477" s="151"/>
      <c r="K477" s="137"/>
    </row>
    <row r="478" ht="75.0" customHeight="1">
      <c r="A478" s="137"/>
      <c r="B478" s="149"/>
      <c r="C478" s="149"/>
      <c r="D478" s="149"/>
      <c r="E478" s="150"/>
      <c r="F478" s="143"/>
      <c r="G478" s="143"/>
      <c r="H478" s="151"/>
      <c r="I478" s="151"/>
      <c r="J478" s="151"/>
      <c r="K478" s="137"/>
    </row>
    <row r="479" ht="75.0" customHeight="1">
      <c r="A479" s="137"/>
      <c r="B479" s="149"/>
      <c r="C479" s="149"/>
      <c r="D479" s="149"/>
      <c r="E479" s="150"/>
      <c r="F479" s="143"/>
      <c r="G479" s="143"/>
      <c r="H479" s="151"/>
      <c r="I479" s="151"/>
      <c r="J479" s="151"/>
      <c r="K479" s="137"/>
    </row>
    <row r="480" ht="75.0" customHeight="1">
      <c r="A480" s="137"/>
      <c r="B480" s="149"/>
      <c r="C480" s="149"/>
      <c r="D480" s="149"/>
      <c r="E480" s="150"/>
      <c r="F480" s="143"/>
      <c r="G480" s="143"/>
      <c r="H480" s="151"/>
      <c r="I480" s="151"/>
      <c r="J480" s="151"/>
      <c r="K480" s="137"/>
    </row>
    <row r="481" ht="75.0" customHeight="1">
      <c r="A481" s="137"/>
      <c r="B481" s="149"/>
      <c r="C481" s="149"/>
      <c r="D481" s="149"/>
      <c r="E481" s="150"/>
      <c r="F481" s="143"/>
      <c r="G481" s="143"/>
      <c r="H481" s="151"/>
      <c r="I481" s="151"/>
      <c r="J481" s="151"/>
      <c r="K481" s="137"/>
    </row>
    <row r="482" ht="75.0" customHeight="1">
      <c r="A482" s="137"/>
      <c r="B482" s="149"/>
      <c r="C482" s="149"/>
      <c r="D482" s="149"/>
      <c r="E482" s="150"/>
      <c r="F482" s="143"/>
      <c r="G482" s="143"/>
      <c r="H482" s="151"/>
      <c r="I482" s="151"/>
      <c r="J482" s="151"/>
      <c r="K482" s="137"/>
    </row>
    <row r="483" ht="75.0" customHeight="1">
      <c r="A483" s="137"/>
      <c r="B483" s="149"/>
      <c r="C483" s="149"/>
      <c r="D483" s="149"/>
      <c r="E483" s="150"/>
      <c r="F483" s="143"/>
      <c r="G483" s="143"/>
      <c r="H483" s="151"/>
      <c r="I483" s="151"/>
      <c r="J483" s="151"/>
      <c r="K483" s="137"/>
    </row>
    <row r="484" ht="75.0" customHeight="1">
      <c r="A484" s="137"/>
      <c r="B484" s="149"/>
      <c r="C484" s="149"/>
      <c r="D484" s="149"/>
      <c r="E484" s="150"/>
      <c r="F484" s="143"/>
      <c r="G484" s="143"/>
      <c r="H484" s="151"/>
      <c r="I484" s="151"/>
      <c r="J484" s="151"/>
      <c r="K484" s="137"/>
    </row>
    <row r="485" ht="75.0" customHeight="1">
      <c r="A485" s="137"/>
      <c r="B485" s="149"/>
      <c r="C485" s="149"/>
      <c r="D485" s="149"/>
      <c r="E485" s="150"/>
      <c r="F485" s="143"/>
      <c r="G485" s="143"/>
      <c r="H485" s="151"/>
      <c r="I485" s="151"/>
      <c r="J485" s="151"/>
      <c r="K485" s="137"/>
    </row>
    <row r="486" ht="75.0" customHeight="1">
      <c r="A486" s="137"/>
      <c r="B486" s="149"/>
      <c r="C486" s="149"/>
      <c r="D486" s="149"/>
      <c r="E486" s="150"/>
      <c r="F486" s="143"/>
      <c r="G486" s="143"/>
      <c r="H486" s="151"/>
      <c r="I486" s="151"/>
      <c r="J486" s="151"/>
      <c r="K486" s="137"/>
    </row>
    <row r="487" ht="75.0" customHeight="1">
      <c r="A487" s="137"/>
      <c r="B487" s="149"/>
      <c r="C487" s="149"/>
      <c r="D487" s="149"/>
      <c r="E487" s="150"/>
      <c r="F487" s="143"/>
      <c r="G487" s="143"/>
      <c r="H487" s="151"/>
      <c r="I487" s="151"/>
      <c r="J487" s="151"/>
      <c r="K487" s="137"/>
    </row>
    <row r="488" ht="75.0" customHeight="1">
      <c r="A488" s="137"/>
      <c r="B488" s="149"/>
      <c r="C488" s="149"/>
      <c r="D488" s="149"/>
      <c r="E488" s="150"/>
      <c r="F488" s="143"/>
      <c r="G488" s="143"/>
      <c r="H488" s="151"/>
      <c r="I488" s="151"/>
      <c r="J488" s="151"/>
      <c r="K488" s="137"/>
    </row>
    <row r="489" ht="75.0" customHeight="1">
      <c r="A489" s="137"/>
      <c r="B489" s="149"/>
      <c r="C489" s="149"/>
      <c r="D489" s="149"/>
      <c r="E489" s="150"/>
      <c r="F489" s="143"/>
      <c r="G489" s="143"/>
      <c r="H489" s="151"/>
      <c r="I489" s="151"/>
      <c r="J489" s="151"/>
      <c r="K489" s="137"/>
    </row>
    <row r="490" ht="75.0" customHeight="1">
      <c r="A490" s="137"/>
      <c r="B490" s="149"/>
      <c r="C490" s="149"/>
      <c r="D490" s="149"/>
      <c r="E490" s="150"/>
      <c r="F490" s="143"/>
      <c r="G490" s="143"/>
      <c r="H490" s="151"/>
      <c r="I490" s="151"/>
      <c r="J490" s="151"/>
      <c r="K490" s="137"/>
    </row>
    <row r="491" ht="75.0" customHeight="1">
      <c r="A491" s="137"/>
      <c r="B491" s="149"/>
      <c r="C491" s="149"/>
      <c r="D491" s="149"/>
      <c r="E491" s="150"/>
      <c r="F491" s="143"/>
      <c r="G491" s="143"/>
      <c r="H491" s="151"/>
      <c r="I491" s="151"/>
      <c r="J491" s="151"/>
      <c r="K491" s="137"/>
    </row>
    <row r="492" ht="75.0" customHeight="1">
      <c r="A492" s="137"/>
      <c r="B492" s="149"/>
      <c r="C492" s="149"/>
      <c r="D492" s="149"/>
      <c r="E492" s="150"/>
      <c r="F492" s="143"/>
      <c r="G492" s="143"/>
      <c r="H492" s="151"/>
      <c r="I492" s="151"/>
      <c r="J492" s="151"/>
      <c r="K492" s="137"/>
    </row>
    <row r="493" ht="75.0" customHeight="1">
      <c r="A493" s="137"/>
      <c r="B493" s="149"/>
      <c r="C493" s="149"/>
      <c r="D493" s="149"/>
      <c r="E493" s="150"/>
      <c r="F493" s="143"/>
      <c r="G493" s="143"/>
      <c r="H493" s="151"/>
      <c r="I493" s="151"/>
      <c r="J493" s="151"/>
      <c r="K493" s="137"/>
    </row>
    <row r="494" ht="75.0" customHeight="1">
      <c r="A494" s="137"/>
      <c r="B494" s="149"/>
      <c r="C494" s="149"/>
      <c r="D494" s="149"/>
      <c r="E494" s="150"/>
      <c r="F494" s="143"/>
      <c r="G494" s="143"/>
      <c r="H494" s="151"/>
      <c r="I494" s="151"/>
      <c r="J494" s="151"/>
      <c r="K494" s="137"/>
    </row>
    <row r="495" ht="75.0" customHeight="1">
      <c r="A495" s="137"/>
      <c r="B495" s="149"/>
      <c r="C495" s="149"/>
      <c r="D495" s="149"/>
      <c r="E495" s="150"/>
      <c r="F495" s="143"/>
      <c r="G495" s="143"/>
      <c r="H495" s="151"/>
      <c r="I495" s="151"/>
      <c r="J495" s="151"/>
      <c r="K495" s="137"/>
    </row>
    <row r="496" ht="75.0" customHeight="1">
      <c r="A496" s="137"/>
      <c r="B496" s="149"/>
      <c r="C496" s="149"/>
      <c r="D496" s="149"/>
      <c r="E496" s="150"/>
      <c r="F496" s="143"/>
      <c r="G496" s="143"/>
      <c r="H496" s="151"/>
      <c r="I496" s="151"/>
      <c r="J496" s="151"/>
      <c r="K496" s="137"/>
    </row>
    <row r="497" ht="75.0" customHeight="1">
      <c r="A497" s="137"/>
      <c r="B497" s="149"/>
      <c r="C497" s="149"/>
      <c r="D497" s="149"/>
      <c r="E497" s="150"/>
      <c r="F497" s="143"/>
      <c r="G497" s="143"/>
      <c r="H497" s="151"/>
      <c r="I497" s="151"/>
      <c r="J497" s="151"/>
      <c r="K497" s="137"/>
    </row>
    <row r="498" ht="75.0" customHeight="1">
      <c r="A498" s="137"/>
      <c r="B498" s="149"/>
      <c r="C498" s="149"/>
      <c r="D498" s="149"/>
      <c r="E498" s="150"/>
      <c r="F498" s="143"/>
      <c r="G498" s="143"/>
      <c r="H498" s="151"/>
      <c r="I498" s="151"/>
      <c r="J498" s="151"/>
      <c r="K498" s="137"/>
    </row>
    <row r="499" ht="75.0" customHeight="1">
      <c r="A499" s="137"/>
      <c r="B499" s="149"/>
      <c r="C499" s="149"/>
      <c r="D499" s="149"/>
      <c r="E499" s="150"/>
      <c r="F499" s="143"/>
      <c r="G499" s="143"/>
      <c r="H499" s="151"/>
      <c r="I499" s="151"/>
      <c r="J499" s="151"/>
      <c r="K499" s="137"/>
    </row>
    <row r="500" ht="75.0" customHeight="1">
      <c r="A500" s="137"/>
      <c r="B500" s="149"/>
      <c r="C500" s="149"/>
      <c r="D500" s="149"/>
      <c r="E500" s="150"/>
      <c r="F500" s="143"/>
      <c r="G500" s="143"/>
      <c r="H500" s="151"/>
      <c r="I500" s="151"/>
      <c r="J500" s="151"/>
      <c r="K500" s="137"/>
    </row>
    <row r="501" ht="75.0" customHeight="1">
      <c r="A501" s="137"/>
      <c r="B501" s="149"/>
      <c r="C501" s="149"/>
      <c r="D501" s="149"/>
      <c r="E501" s="150"/>
      <c r="F501" s="143"/>
      <c r="G501" s="143"/>
      <c r="H501" s="151"/>
      <c r="I501" s="151"/>
      <c r="J501" s="151"/>
      <c r="K501" s="137"/>
    </row>
    <row r="502" ht="75.0" customHeight="1">
      <c r="A502" s="137"/>
      <c r="B502" s="149"/>
      <c r="C502" s="149"/>
      <c r="D502" s="149"/>
      <c r="E502" s="150"/>
      <c r="F502" s="143"/>
      <c r="G502" s="143"/>
      <c r="H502" s="151"/>
      <c r="I502" s="151"/>
      <c r="J502" s="151"/>
      <c r="K502" s="137"/>
    </row>
    <row r="503" ht="75.0" customHeight="1">
      <c r="A503" s="137"/>
      <c r="B503" s="149"/>
      <c r="C503" s="149"/>
      <c r="D503" s="149"/>
      <c r="E503" s="150"/>
      <c r="F503" s="143"/>
      <c r="G503" s="143"/>
      <c r="H503" s="151"/>
      <c r="I503" s="151"/>
      <c r="J503" s="151"/>
      <c r="K503" s="137"/>
    </row>
    <row r="504" ht="75.0" customHeight="1">
      <c r="A504" s="137"/>
      <c r="B504" s="149"/>
      <c r="C504" s="149"/>
      <c r="D504" s="149"/>
      <c r="E504" s="150"/>
      <c r="F504" s="143"/>
      <c r="G504" s="143"/>
      <c r="H504" s="151"/>
      <c r="I504" s="151"/>
      <c r="J504" s="151"/>
      <c r="K504" s="137"/>
    </row>
    <row r="505" ht="75.0" customHeight="1">
      <c r="A505" s="137"/>
      <c r="B505" s="149"/>
      <c r="C505" s="149"/>
      <c r="D505" s="149"/>
      <c r="E505" s="150"/>
      <c r="F505" s="143"/>
      <c r="G505" s="143"/>
      <c r="H505" s="151"/>
      <c r="I505" s="151"/>
      <c r="J505" s="151"/>
      <c r="K505" s="137"/>
    </row>
    <row r="506" ht="75.0" customHeight="1">
      <c r="A506" s="137"/>
      <c r="B506" s="149"/>
      <c r="C506" s="149"/>
      <c r="D506" s="149"/>
      <c r="E506" s="150"/>
      <c r="F506" s="143"/>
      <c r="G506" s="143"/>
      <c r="H506" s="151"/>
      <c r="I506" s="151"/>
      <c r="J506" s="151"/>
      <c r="K506" s="137"/>
    </row>
    <row r="507" ht="75.0" customHeight="1">
      <c r="A507" s="137"/>
      <c r="B507" s="149"/>
      <c r="C507" s="149"/>
      <c r="D507" s="149"/>
      <c r="E507" s="150"/>
      <c r="F507" s="143"/>
      <c r="G507" s="143"/>
      <c r="H507" s="151"/>
      <c r="I507" s="151"/>
      <c r="J507" s="151"/>
      <c r="K507" s="137"/>
    </row>
    <row r="508" ht="75.0" customHeight="1">
      <c r="A508" s="137"/>
      <c r="B508" s="149"/>
      <c r="C508" s="149"/>
      <c r="D508" s="149"/>
      <c r="E508" s="150"/>
      <c r="F508" s="143"/>
      <c r="G508" s="143"/>
      <c r="H508" s="151"/>
      <c r="I508" s="151"/>
      <c r="J508" s="151"/>
      <c r="K508" s="137"/>
    </row>
    <row r="509" ht="75.0" customHeight="1">
      <c r="A509" s="137"/>
      <c r="B509" s="149"/>
      <c r="C509" s="149"/>
      <c r="D509" s="149"/>
      <c r="E509" s="150"/>
      <c r="F509" s="143"/>
      <c r="G509" s="143"/>
      <c r="H509" s="151"/>
      <c r="I509" s="151"/>
      <c r="J509" s="151"/>
      <c r="K509" s="137"/>
    </row>
    <row r="510" ht="75.0" customHeight="1">
      <c r="A510" s="137"/>
      <c r="B510" s="149"/>
      <c r="C510" s="149"/>
      <c r="D510" s="149"/>
      <c r="E510" s="150"/>
      <c r="F510" s="143"/>
      <c r="G510" s="143"/>
      <c r="H510" s="151"/>
      <c r="I510" s="151"/>
      <c r="J510" s="151"/>
      <c r="K510" s="137"/>
    </row>
    <row r="511" ht="75.0" customHeight="1">
      <c r="A511" s="137"/>
      <c r="B511" s="149"/>
      <c r="C511" s="149"/>
      <c r="D511" s="149"/>
      <c r="E511" s="150"/>
      <c r="F511" s="143"/>
      <c r="G511" s="143"/>
      <c r="H511" s="151"/>
      <c r="I511" s="151"/>
      <c r="J511" s="151"/>
      <c r="K511" s="137"/>
    </row>
    <row r="512" ht="75.0" customHeight="1">
      <c r="A512" s="137"/>
      <c r="B512" s="149"/>
      <c r="C512" s="149"/>
      <c r="D512" s="149"/>
      <c r="E512" s="150"/>
      <c r="F512" s="143"/>
      <c r="G512" s="143"/>
      <c r="H512" s="151"/>
      <c r="I512" s="151"/>
      <c r="J512" s="151"/>
      <c r="K512" s="137"/>
    </row>
    <row r="513" ht="75.0" customHeight="1">
      <c r="A513" s="137"/>
      <c r="B513" s="149"/>
      <c r="C513" s="149"/>
      <c r="D513" s="149"/>
      <c r="E513" s="150"/>
      <c r="F513" s="143"/>
      <c r="G513" s="143"/>
      <c r="H513" s="151"/>
      <c r="I513" s="151"/>
      <c r="J513" s="151"/>
      <c r="K513" s="137"/>
    </row>
    <row r="514" ht="75.0" customHeight="1">
      <c r="A514" s="137"/>
      <c r="B514" s="149"/>
      <c r="C514" s="149"/>
      <c r="D514" s="149"/>
      <c r="E514" s="150"/>
      <c r="F514" s="143"/>
      <c r="G514" s="143"/>
      <c r="H514" s="151"/>
      <c r="I514" s="151"/>
      <c r="J514" s="151"/>
      <c r="K514" s="137"/>
    </row>
    <row r="515" ht="75.0" customHeight="1">
      <c r="A515" s="137"/>
      <c r="B515" s="149"/>
      <c r="C515" s="149"/>
      <c r="D515" s="149"/>
      <c r="E515" s="150"/>
      <c r="F515" s="143"/>
      <c r="G515" s="143"/>
      <c r="H515" s="151"/>
      <c r="I515" s="151"/>
      <c r="J515" s="151"/>
      <c r="K515" s="137"/>
    </row>
    <row r="516" ht="75.0" customHeight="1">
      <c r="A516" s="137"/>
      <c r="B516" s="149"/>
      <c r="C516" s="149"/>
      <c r="D516" s="149"/>
      <c r="E516" s="150"/>
      <c r="F516" s="143"/>
      <c r="G516" s="143"/>
      <c r="H516" s="151"/>
      <c r="I516" s="151"/>
      <c r="J516" s="151"/>
      <c r="K516" s="137"/>
    </row>
    <row r="517" ht="75.0" customHeight="1">
      <c r="A517" s="137"/>
      <c r="B517" s="149"/>
      <c r="C517" s="149"/>
      <c r="D517" s="149"/>
      <c r="E517" s="150"/>
      <c r="F517" s="143"/>
      <c r="G517" s="143"/>
      <c r="H517" s="151"/>
      <c r="I517" s="151"/>
      <c r="J517" s="151"/>
      <c r="K517" s="137"/>
    </row>
    <row r="518" ht="75.0" customHeight="1">
      <c r="A518" s="137"/>
      <c r="B518" s="149"/>
      <c r="C518" s="149"/>
      <c r="D518" s="149"/>
      <c r="E518" s="150"/>
      <c r="F518" s="143"/>
      <c r="G518" s="143"/>
      <c r="H518" s="151"/>
      <c r="I518" s="151"/>
      <c r="J518" s="151"/>
      <c r="K518" s="137"/>
    </row>
    <row r="519" ht="75.0" customHeight="1">
      <c r="A519" s="137"/>
      <c r="B519" s="149"/>
      <c r="C519" s="149"/>
      <c r="D519" s="149"/>
      <c r="E519" s="150"/>
      <c r="F519" s="143"/>
      <c r="G519" s="143"/>
      <c r="H519" s="151"/>
      <c r="I519" s="151"/>
      <c r="J519" s="151"/>
      <c r="K519" s="137"/>
    </row>
    <row r="520" ht="75.0" customHeight="1">
      <c r="A520" s="137"/>
      <c r="B520" s="149"/>
      <c r="C520" s="149"/>
      <c r="D520" s="149"/>
      <c r="E520" s="150"/>
      <c r="F520" s="143"/>
      <c r="G520" s="143"/>
      <c r="H520" s="151"/>
      <c r="I520" s="151"/>
      <c r="J520" s="151"/>
      <c r="K520" s="137"/>
    </row>
    <row r="521" ht="75.0" customHeight="1">
      <c r="A521" s="137"/>
      <c r="B521" s="149"/>
      <c r="C521" s="149"/>
      <c r="D521" s="149"/>
      <c r="E521" s="150"/>
      <c r="F521" s="143"/>
      <c r="G521" s="143"/>
      <c r="H521" s="151"/>
      <c r="I521" s="151"/>
      <c r="J521" s="151"/>
      <c r="K521" s="137"/>
    </row>
    <row r="522" ht="75.0" customHeight="1">
      <c r="A522" s="137"/>
      <c r="B522" s="149"/>
      <c r="C522" s="149"/>
      <c r="D522" s="149"/>
      <c r="E522" s="150"/>
      <c r="F522" s="143"/>
      <c r="G522" s="143"/>
      <c r="H522" s="151"/>
      <c r="I522" s="151"/>
      <c r="J522" s="151"/>
      <c r="K522" s="137"/>
    </row>
    <row r="523" ht="75.0" customHeight="1">
      <c r="A523" s="137"/>
      <c r="B523" s="149"/>
      <c r="C523" s="149"/>
      <c r="D523" s="149"/>
      <c r="E523" s="150"/>
      <c r="F523" s="143"/>
      <c r="G523" s="143"/>
      <c r="H523" s="151"/>
      <c r="I523" s="151"/>
      <c r="J523" s="151"/>
      <c r="K523" s="137"/>
    </row>
    <row r="524" ht="75.0" customHeight="1">
      <c r="A524" s="137"/>
      <c r="B524" s="149"/>
      <c r="C524" s="149"/>
      <c r="D524" s="149"/>
      <c r="E524" s="150"/>
      <c r="F524" s="143"/>
      <c r="G524" s="143"/>
      <c r="H524" s="151"/>
      <c r="I524" s="151"/>
      <c r="J524" s="151"/>
      <c r="K524" s="137"/>
    </row>
    <row r="525" ht="75.0" customHeight="1">
      <c r="A525" s="137"/>
      <c r="B525" s="149"/>
      <c r="C525" s="149"/>
      <c r="D525" s="149"/>
      <c r="E525" s="150"/>
      <c r="F525" s="143"/>
      <c r="G525" s="143"/>
      <c r="H525" s="151"/>
      <c r="I525" s="151"/>
      <c r="J525" s="151"/>
      <c r="K525" s="137"/>
    </row>
    <row r="526" ht="75.0" customHeight="1">
      <c r="A526" s="137"/>
      <c r="B526" s="149"/>
      <c r="C526" s="149"/>
      <c r="D526" s="149"/>
      <c r="E526" s="150"/>
      <c r="F526" s="143"/>
      <c r="G526" s="143"/>
      <c r="H526" s="151"/>
      <c r="I526" s="151"/>
      <c r="J526" s="151"/>
      <c r="K526" s="137"/>
    </row>
    <row r="527" ht="75.0" customHeight="1">
      <c r="A527" s="137"/>
      <c r="B527" s="149"/>
      <c r="C527" s="149"/>
      <c r="D527" s="149"/>
      <c r="E527" s="150"/>
      <c r="F527" s="143"/>
      <c r="G527" s="143"/>
      <c r="H527" s="151"/>
      <c r="I527" s="151"/>
      <c r="J527" s="151"/>
      <c r="K527" s="137"/>
    </row>
    <row r="528" ht="75.0" customHeight="1">
      <c r="A528" s="137"/>
      <c r="B528" s="149"/>
      <c r="C528" s="149"/>
      <c r="D528" s="149"/>
      <c r="E528" s="150"/>
      <c r="F528" s="143"/>
      <c r="G528" s="143"/>
      <c r="H528" s="151"/>
      <c r="I528" s="151"/>
      <c r="J528" s="151"/>
      <c r="K528" s="137"/>
    </row>
    <row r="529" ht="75.0" customHeight="1">
      <c r="A529" s="137"/>
      <c r="B529" s="149"/>
      <c r="C529" s="149"/>
      <c r="D529" s="149"/>
      <c r="E529" s="150"/>
      <c r="F529" s="143"/>
      <c r="G529" s="143"/>
      <c r="H529" s="151"/>
      <c r="I529" s="151"/>
      <c r="J529" s="151"/>
      <c r="K529" s="137"/>
    </row>
    <row r="530" ht="75.0" customHeight="1">
      <c r="A530" s="137"/>
      <c r="B530" s="149"/>
      <c r="C530" s="149"/>
      <c r="D530" s="149"/>
      <c r="E530" s="150"/>
      <c r="F530" s="143"/>
      <c r="G530" s="143"/>
      <c r="H530" s="151"/>
      <c r="I530" s="151"/>
      <c r="J530" s="151"/>
      <c r="K530" s="137"/>
    </row>
    <row r="531" ht="75.0" customHeight="1">
      <c r="A531" s="137"/>
      <c r="B531" s="149"/>
      <c r="C531" s="149"/>
      <c r="D531" s="149"/>
      <c r="E531" s="150"/>
      <c r="F531" s="143"/>
      <c r="G531" s="143"/>
      <c r="H531" s="151"/>
      <c r="I531" s="151"/>
      <c r="J531" s="151"/>
      <c r="K531" s="137"/>
    </row>
    <row r="532" ht="75.0" customHeight="1">
      <c r="A532" s="137"/>
      <c r="B532" s="149"/>
      <c r="C532" s="149"/>
      <c r="D532" s="149"/>
      <c r="E532" s="150"/>
      <c r="F532" s="143"/>
      <c r="G532" s="143"/>
      <c r="H532" s="151"/>
      <c r="I532" s="151"/>
      <c r="J532" s="151"/>
      <c r="K532" s="137"/>
    </row>
    <row r="533" ht="75.0" customHeight="1">
      <c r="A533" s="137"/>
      <c r="B533" s="149"/>
      <c r="C533" s="149"/>
      <c r="D533" s="149"/>
      <c r="E533" s="150"/>
      <c r="F533" s="143"/>
      <c r="G533" s="143"/>
      <c r="H533" s="151"/>
      <c r="I533" s="151"/>
      <c r="J533" s="151"/>
      <c r="K533" s="137"/>
    </row>
    <row r="534" ht="75.0" customHeight="1">
      <c r="A534" s="137"/>
      <c r="B534" s="149"/>
      <c r="C534" s="149"/>
      <c r="D534" s="149"/>
      <c r="E534" s="150"/>
      <c r="F534" s="143"/>
      <c r="G534" s="143"/>
      <c r="H534" s="151"/>
      <c r="I534" s="151"/>
      <c r="J534" s="151"/>
      <c r="K534" s="137"/>
    </row>
    <row r="535" ht="75.0" customHeight="1">
      <c r="A535" s="137"/>
      <c r="B535" s="149"/>
      <c r="C535" s="149"/>
      <c r="D535" s="149"/>
      <c r="E535" s="150"/>
      <c r="F535" s="143"/>
      <c r="G535" s="143"/>
      <c r="H535" s="151"/>
      <c r="I535" s="151"/>
      <c r="J535" s="151"/>
      <c r="K535" s="137"/>
    </row>
    <row r="536" ht="75.0" customHeight="1">
      <c r="A536" s="137"/>
      <c r="B536" s="149"/>
      <c r="C536" s="149"/>
      <c r="D536" s="149"/>
      <c r="E536" s="150"/>
      <c r="F536" s="143"/>
      <c r="G536" s="143"/>
      <c r="H536" s="151"/>
      <c r="I536" s="151"/>
      <c r="J536" s="151"/>
      <c r="K536" s="137"/>
    </row>
    <row r="537" ht="75.0" customHeight="1">
      <c r="A537" s="137"/>
      <c r="B537" s="149"/>
      <c r="C537" s="149"/>
      <c r="D537" s="149"/>
      <c r="E537" s="150"/>
      <c r="F537" s="143"/>
      <c r="G537" s="143"/>
      <c r="H537" s="151"/>
      <c r="I537" s="151"/>
      <c r="J537" s="151"/>
      <c r="K537" s="137"/>
    </row>
    <row r="538" ht="75.0" customHeight="1">
      <c r="A538" s="137"/>
      <c r="B538" s="149"/>
      <c r="C538" s="149"/>
      <c r="D538" s="149"/>
      <c r="E538" s="150"/>
      <c r="F538" s="143"/>
      <c r="G538" s="143"/>
      <c r="H538" s="151"/>
      <c r="I538" s="151"/>
      <c r="J538" s="151"/>
      <c r="K538" s="137"/>
    </row>
    <row r="539" ht="75.0" customHeight="1">
      <c r="A539" s="137"/>
      <c r="B539" s="149"/>
      <c r="C539" s="149"/>
      <c r="D539" s="149"/>
      <c r="E539" s="150"/>
      <c r="F539" s="143"/>
      <c r="G539" s="143"/>
      <c r="H539" s="151"/>
      <c r="I539" s="151"/>
      <c r="J539" s="151"/>
      <c r="K539" s="137"/>
    </row>
    <row r="540" ht="75.0" customHeight="1">
      <c r="A540" s="137"/>
      <c r="B540" s="149"/>
      <c r="C540" s="149"/>
      <c r="D540" s="149"/>
      <c r="E540" s="150"/>
      <c r="F540" s="143"/>
      <c r="G540" s="143"/>
      <c r="H540" s="151"/>
      <c r="I540" s="151"/>
      <c r="J540" s="151"/>
      <c r="K540" s="137"/>
    </row>
    <row r="541" ht="75.0" customHeight="1">
      <c r="A541" s="137"/>
      <c r="B541" s="149"/>
      <c r="C541" s="149"/>
      <c r="D541" s="149"/>
      <c r="E541" s="150"/>
      <c r="F541" s="143"/>
      <c r="G541" s="143"/>
      <c r="H541" s="151"/>
      <c r="I541" s="151"/>
      <c r="J541" s="151"/>
      <c r="K541" s="137"/>
    </row>
    <row r="542" ht="75.0" customHeight="1">
      <c r="A542" s="137"/>
      <c r="B542" s="149"/>
      <c r="C542" s="149"/>
      <c r="D542" s="149"/>
      <c r="E542" s="150"/>
      <c r="F542" s="143"/>
      <c r="G542" s="143"/>
      <c r="H542" s="151"/>
      <c r="I542" s="151"/>
      <c r="J542" s="151"/>
      <c r="K542" s="137"/>
    </row>
    <row r="543" ht="75.0" customHeight="1">
      <c r="A543" s="137"/>
      <c r="B543" s="149"/>
      <c r="C543" s="149"/>
      <c r="D543" s="149"/>
      <c r="E543" s="150"/>
      <c r="F543" s="143"/>
      <c r="G543" s="143"/>
      <c r="H543" s="151"/>
      <c r="I543" s="151"/>
      <c r="J543" s="151"/>
      <c r="K543" s="137"/>
    </row>
    <row r="544" ht="75.0" customHeight="1">
      <c r="A544" s="137"/>
      <c r="B544" s="149"/>
      <c r="C544" s="149"/>
      <c r="D544" s="149"/>
      <c r="E544" s="150"/>
      <c r="F544" s="143"/>
      <c r="G544" s="143"/>
      <c r="H544" s="151"/>
      <c r="I544" s="151"/>
      <c r="J544" s="151"/>
      <c r="K544" s="137"/>
    </row>
    <row r="545" ht="75.0" customHeight="1">
      <c r="A545" s="137"/>
      <c r="B545" s="149"/>
      <c r="C545" s="149"/>
      <c r="D545" s="149"/>
      <c r="E545" s="150"/>
      <c r="F545" s="143"/>
      <c r="G545" s="143"/>
      <c r="H545" s="151"/>
      <c r="I545" s="151"/>
      <c r="J545" s="151"/>
      <c r="K545" s="137"/>
    </row>
    <row r="546" ht="75.0" customHeight="1">
      <c r="A546" s="137"/>
      <c r="B546" s="149"/>
      <c r="C546" s="149"/>
      <c r="D546" s="149"/>
      <c r="E546" s="150"/>
      <c r="F546" s="143"/>
      <c r="G546" s="143"/>
      <c r="H546" s="151"/>
      <c r="I546" s="151"/>
      <c r="J546" s="151"/>
      <c r="K546" s="137"/>
    </row>
    <row r="547" ht="75.0" customHeight="1">
      <c r="A547" s="137"/>
      <c r="B547" s="149"/>
      <c r="C547" s="149"/>
      <c r="D547" s="149"/>
      <c r="E547" s="150"/>
      <c r="F547" s="143"/>
      <c r="G547" s="143"/>
      <c r="H547" s="151"/>
      <c r="I547" s="151"/>
      <c r="J547" s="151"/>
      <c r="K547" s="137"/>
    </row>
    <row r="548" ht="75.0" customHeight="1">
      <c r="A548" s="137"/>
      <c r="B548" s="149"/>
      <c r="C548" s="149"/>
      <c r="D548" s="149"/>
      <c r="E548" s="150"/>
      <c r="F548" s="143"/>
      <c r="G548" s="143"/>
      <c r="H548" s="151"/>
      <c r="I548" s="151"/>
      <c r="J548" s="151"/>
      <c r="K548" s="137"/>
    </row>
    <row r="549" ht="75.0" customHeight="1">
      <c r="A549" s="137"/>
      <c r="B549" s="149"/>
      <c r="C549" s="149"/>
      <c r="D549" s="149"/>
      <c r="E549" s="150"/>
      <c r="F549" s="143"/>
      <c r="G549" s="143"/>
      <c r="H549" s="151"/>
      <c r="I549" s="151"/>
      <c r="J549" s="151"/>
      <c r="K549" s="137"/>
    </row>
    <row r="550" ht="75.0" customHeight="1">
      <c r="A550" s="137"/>
      <c r="B550" s="149"/>
      <c r="C550" s="149"/>
      <c r="D550" s="149"/>
      <c r="E550" s="150"/>
      <c r="F550" s="143"/>
      <c r="G550" s="143"/>
      <c r="H550" s="151"/>
      <c r="I550" s="151"/>
      <c r="J550" s="151"/>
      <c r="K550" s="137"/>
    </row>
    <row r="551" ht="75.0" customHeight="1">
      <c r="A551" s="137"/>
      <c r="B551" s="149"/>
      <c r="C551" s="149"/>
      <c r="D551" s="149"/>
      <c r="E551" s="150"/>
      <c r="F551" s="143"/>
      <c r="G551" s="143"/>
      <c r="H551" s="151"/>
      <c r="I551" s="151"/>
      <c r="J551" s="151"/>
      <c r="K551" s="137"/>
    </row>
    <row r="552" ht="75.0" customHeight="1">
      <c r="A552" s="137"/>
      <c r="B552" s="149"/>
      <c r="C552" s="149"/>
      <c r="D552" s="149"/>
      <c r="E552" s="150"/>
      <c r="F552" s="143"/>
      <c r="G552" s="143"/>
      <c r="H552" s="151"/>
      <c r="I552" s="151"/>
      <c r="J552" s="151"/>
      <c r="K552" s="137"/>
    </row>
    <row r="553" ht="75.0" customHeight="1">
      <c r="A553" s="137"/>
      <c r="B553" s="149"/>
      <c r="C553" s="149"/>
      <c r="D553" s="149"/>
      <c r="E553" s="150"/>
      <c r="F553" s="143"/>
      <c r="G553" s="143"/>
      <c r="H553" s="151"/>
      <c r="I553" s="151"/>
      <c r="J553" s="151"/>
      <c r="K553" s="137"/>
    </row>
    <row r="554" ht="75.0" customHeight="1">
      <c r="A554" s="137"/>
      <c r="B554" s="149"/>
      <c r="C554" s="149"/>
      <c r="D554" s="149"/>
      <c r="E554" s="150"/>
      <c r="F554" s="143"/>
      <c r="G554" s="143"/>
      <c r="H554" s="151"/>
      <c r="I554" s="151"/>
      <c r="J554" s="151"/>
      <c r="K554" s="137"/>
    </row>
    <row r="555" ht="75.0" customHeight="1">
      <c r="A555" s="137"/>
      <c r="B555" s="149"/>
      <c r="C555" s="149"/>
      <c r="D555" s="149"/>
      <c r="E555" s="150"/>
      <c r="F555" s="143"/>
      <c r="G555" s="143"/>
      <c r="H555" s="151"/>
      <c r="I555" s="151"/>
      <c r="J555" s="151"/>
      <c r="K555" s="137"/>
    </row>
    <row r="556" ht="75.0" customHeight="1">
      <c r="A556" s="137"/>
      <c r="B556" s="149"/>
      <c r="C556" s="149"/>
      <c r="D556" s="149"/>
      <c r="E556" s="150"/>
      <c r="F556" s="143"/>
      <c r="G556" s="143"/>
      <c r="H556" s="151"/>
      <c r="I556" s="151"/>
      <c r="J556" s="151"/>
      <c r="K556" s="137"/>
    </row>
    <row r="557" ht="75.0" customHeight="1">
      <c r="A557" s="137"/>
      <c r="B557" s="149"/>
      <c r="C557" s="149"/>
      <c r="D557" s="149"/>
      <c r="E557" s="150"/>
      <c r="F557" s="143"/>
      <c r="G557" s="143"/>
      <c r="H557" s="151"/>
      <c r="I557" s="151"/>
      <c r="J557" s="151"/>
      <c r="K557" s="137"/>
    </row>
    <row r="558" ht="75.0" customHeight="1">
      <c r="A558" s="137"/>
      <c r="B558" s="149"/>
      <c r="C558" s="149"/>
      <c r="D558" s="149"/>
      <c r="E558" s="150"/>
      <c r="F558" s="143"/>
      <c r="G558" s="143"/>
      <c r="H558" s="151"/>
      <c r="I558" s="151"/>
      <c r="J558" s="151"/>
      <c r="K558" s="137"/>
    </row>
    <row r="559" ht="75.0" customHeight="1">
      <c r="A559" s="137"/>
      <c r="B559" s="149"/>
      <c r="C559" s="149"/>
      <c r="D559" s="149"/>
      <c r="E559" s="150"/>
      <c r="F559" s="143"/>
      <c r="G559" s="143"/>
      <c r="H559" s="151"/>
      <c r="I559" s="151"/>
      <c r="J559" s="151"/>
      <c r="K559" s="137"/>
    </row>
    <row r="560" ht="75.0" customHeight="1">
      <c r="A560" s="137"/>
      <c r="B560" s="149"/>
      <c r="C560" s="149"/>
      <c r="D560" s="149"/>
      <c r="E560" s="150"/>
      <c r="F560" s="143"/>
      <c r="G560" s="143"/>
      <c r="H560" s="151"/>
      <c r="I560" s="151"/>
      <c r="J560" s="151"/>
      <c r="K560" s="137"/>
    </row>
    <row r="561" ht="75.0" customHeight="1">
      <c r="A561" s="137"/>
      <c r="B561" s="149"/>
      <c r="C561" s="149"/>
      <c r="D561" s="149"/>
      <c r="E561" s="150"/>
      <c r="F561" s="143"/>
      <c r="G561" s="143"/>
      <c r="H561" s="151"/>
      <c r="I561" s="151"/>
      <c r="J561" s="151"/>
      <c r="K561" s="137"/>
    </row>
    <row r="562" ht="75.0" customHeight="1">
      <c r="A562" s="137"/>
      <c r="B562" s="149"/>
      <c r="C562" s="149"/>
      <c r="D562" s="149"/>
      <c r="E562" s="150"/>
      <c r="F562" s="143"/>
      <c r="G562" s="143"/>
      <c r="H562" s="151"/>
      <c r="I562" s="151"/>
      <c r="J562" s="151"/>
      <c r="K562" s="137"/>
    </row>
    <row r="563" ht="75.0" customHeight="1">
      <c r="A563" s="137"/>
      <c r="B563" s="149"/>
      <c r="C563" s="149"/>
      <c r="D563" s="149"/>
      <c r="E563" s="150"/>
      <c r="F563" s="143"/>
      <c r="G563" s="143"/>
      <c r="H563" s="151"/>
      <c r="I563" s="151"/>
      <c r="J563" s="151"/>
      <c r="K563" s="137"/>
    </row>
    <row r="564" ht="75.0" customHeight="1">
      <c r="A564" s="137"/>
      <c r="B564" s="149"/>
      <c r="C564" s="149"/>
      <c r="D564" s="149"/>
      <c r="E564" s="150"/>
      <c r="F564" s="143"/>
      <c r="G564" s="143"/>
      <c r="H564" s="151"/>
      <c r="I564" s="151"/>
      <c r="J564" s="151"/>
      <c r="K564" s="137"/>
    </row>
    <row r="565" ht="75.0" customHeight="1">
      <c r="A565" s="137"/>
      <c r="B565" s="149"/>
      <c r="C565" s="149"/>
      <c r="D565" s="149"/>
      <c r="E565" s="150"/>
      <c r="F565" s="143"/>
      <c r="G565" s="143"/>
      <c r="H565" s="151"/>
      <c r="I565" s="151"/>
      <c r="J565" s="151"/>
      <c r="K565" s="137"/>
    </row>
    <row r="566" ht="75.0" customHeight="1">
      <c r="A566" s="137"/>
      <c r="B566" s="149"/>
      <c r="C566" s="149"/>
      <c r="D566" s="149"/>
      <c r="E566" s="150"/>
      <c r="F566" s="143"/>
      <c r="G566" s="143"/>
      <c r="H566" s="151"/>
      <c r="I566" s="151"/>
      <c r="J566" s="151"/>
      <c r="K566" s="137"/>
    </row>
    <row r="567" ht="75.0" customHeight="1">
      <c r="A567" s="137"/>
      <c r="B567" s="149"/>
      <c r="C567" s="149"/>
      <c r="D567" s="149"/>
      <c r="E567" s="150"/>
      <c r="F567" s="143"/>
      <c r="G567" s="143"/>
      <c r="H567" s="151"/>
      <c r="I567" s="151"/>
      <c r="J567" s="151"/>
      <c r="K567" s="137"/>
    </row>
    <row r="568" ht="75.0" customHeight="1">
      <c r="A568" s="137"/>
      <c r="B568" s="149"/>
      <c r="C568" s="149"/>
      <c r="D568" s="149"/>
      <c r="E568" s="150"/>
      <c r="F568" s="143"/>
      <c r="G568" s="143"/>
      <c r="H568" s="151"/>
      <c r="I568" s="151"/>
      <c r="J568" s="151"/>
      <c r="K568" s="137"/>
    </row>
    <row r="569" ht="75.0" customHeight="1">
      <c r="A569" s="137"/>
      <c r="B569" s="149"/>
      <c r="C569" s="149"/>
      <c r="D569" s="149"/>
      <c r="E569" s="150"/>
      <c r="F569" s="143"/>
      <c r="G569" s="143"/>
      <c r="H569" s="151"/>
      <c r="I569" s="151"/>
      <c r="J569" s="151"/>
      <c r="K569" s="137"/>
    </row>
    <row r="570" ht="75.0" customHeight="1">
      <c r="A570" s="137"/>
      <c r="B570" s="149"/>
      <c r="C570" s="149"/>
      <c r="D570" s="149"/>
      <c r="E570" s="150"/>
      <c r="F570" s="143"/>
      <c r="G570" s="143"/>
      <c r="H570" s="151"/>
      <c r="I570" s="151"/>
      <c r="J570" s="151"/>
      <c r="K570" s="137"/>
    </row>
    <row r="571" ht="75.0" customHeight="1">
      <c r="A571" s="137"/>
      <c r="B571" s="149"/>
      <c r="C571" s="149"/>
      <c r="D571" s="149"/>
      <c r="E571" s="150"/>
      <c r="F571" s="143"/>
      <c r="G571" s="143"/>
      <c r="H571" s="151"/>
      <c r="I571" s="151"/>
      <c r="J571" s="151"/>
      <c r="K571" s="137"/>
    </row>
    <row r="572" ht="75.0" customHeight="1">
      <c r="A572" s="137"/>
      <c r="B572" s="149"/>
      <c r="C572" s="149"/>
      <c r="D572" s="149"/>
      <c r="E572" s="150"/>
      <c r="F572" s="143"/>
      <c r="G572" s="143"/>
      <c r="H572" s="151"/>
      <c r="I572" s="151"/>
      <c r="J572" s="151"/>
      <c r="K572" s="137"/>
    </row>
    <row r="573" ht="75.0" customHeight="1">
      <c r="A573" s="137"/>
      <c r="B573" s="149"/>
      <c r="C573" s="149"/>
      <c r="D573" s="149"/>
      <c r="E573" s="150"/>
      <c r="F573" s="143"/>
      <c r="G573" s="143"/>
      <c r="H573" s="151"/>
      <c r="I573" s="151"/>
      <c r="J573" s="151"/>
      <c r="K573" s="137"/>
    </row>
    <row r="574" ht="75.0" customHeight="1">
      <c r="A574" s="137"/>
      <c r="B574" s="149"/>
      <c r="C574" s="149"/>
      <c r="D574" s="149"/>
      <c r="E574" s="150"/>
      <c r="F574" s="143"/>
      <c r="G574" s="143"/>
      <c r="H574" s="151"/>
      <c r="I574" s="151"/>
      <c r="J574" s="151"/>
      <c r="K574" s="137"/>
    </row>
    <row r="575" ht="75.0" customHeight="1">
      <c r="A575" s="137"/>
      <c r="B575" s="149"/>
      <c r="C575" s="149"/>
      <c r="D575" s="149"/>
      <c r="E575" s="150"/>
      <c r="F575" s="143"/>
      <c r="G575" s="143"/>
      <c r="H575" s="151"/>
      <c r="I575" s="151"/>
      <c r="J575" s="151"/>
      <c r="K575" s="137"/>
    </row>
    <row r="576" ht="75.0" customHeight="1">
      <c r="A576" s="137"/>
      <c r="B576" s="149"/>
      <c r="C576" s="149"/>
      <c r="D576" s="149"/>
      <c r="E576" s="150"/>
      <c r="F576" s="143"/>
      <c r="G576" s="143"/>
      <c r="H576" s="151"/>
      <c r="I576" s="151"/>
      <c r="J576" s="151"/>
      <c r="K576" s="137"/>
    </row>
    <row r="577" ht="75.0" customHeight="1">
      <c r="A577" s="137"/>
      <c r="B577" s="149"/>
      <c r="C577" s="149"/>
      <c r="D577" s="149"/>
      <c r="E577" s="150"/>
      <c r="F577" s="143"/>
      <c r="G577" s="143"/>
      <c r="H577" s="151"/>
      <c r="I577" s="151"/>
      <c r="J577" s="151"/>
      <c r="K577" s="137"/>
    </row>
    <row r="578" ht="75.0" customHeight="1">
      <c r="A578" s="137"/>
      <c r="B578" s="149"/>
      <c r="C578" s="149"/>
      <c r="D578" s="149"/>
      <c r="E578" s="150"/>
      <c r="F578" s="143"/>
      <c r="G578" s="143"/>
      <c r="H578" s="151"/>
      <c r="I578" s="151"/>
      <c r="J578" s="151"/>
      <c r="K578" s="137"/>
    </row>
    <row r="579" ht="75.0" customHeight="1">
      <c r="A579" s="137"/>
      <c r="B579" s="149"/>
      <c r="C579" s="149"/>
      <c r="D579" s="149"/>
      <c r="E579" s="150"/>
      <c r="F579" s="143"/>
      <c r="G579" s="143"/>
      <c r="H579" s="151"/>
      <c r="I579" s="151"/>
      <c r="J579" s="151"/>
      <c r="K579" s="137"/>
    </row>
    <row r="580" ht="75.0" customHeight="1">
      <c r="A580" s="137"/>
      <c r="B580" s="149"/>
      <c r="C580" s="149"/>
      <c r="D580" s="149"/>
      <c r="E580" s="150"/>
      <c r="F580" s="143"/>
      <c r="G580" s="143"/>
      <c r="H580" s="151"/>
      <c r="I580" s="151"/>
      <c r="J580" s="151"/>
      <c r="K580" s="137"/>
    </row>
    <row r="581" ht="75.0" customHeight="1">
      <c r="A581" s="137"/>
      <c r="B581" s="149"/>
      <c r="C581" s="149"/>
      <c r="D581" s="149"/>
      <c r="E581" s="150"/>
      <c r="F581" s="143"/>
      <c r="G581" s="143"/>
      <c r="H581" s="151"/>
      <c r="I581" s="151"/>
      <c r="J581" s="151"/>
      <c r="K581" s="137"/>
    </row>
    <row r="582" ht="75.0" customHeight="1">
      <c r="A582" s="137"/>
      <c r="B582" s="149"/>
      <c r="C582" s="149"/>
      <c r="D582" s="149"/>
      <c r="E582" s="150"/>
      <c r="F582" s="143"/>
      <c r="G582" s="143"/>
      <c r="H582" s="151"/>
      <c r="I582" s="151"/>
      <c r="J582" s="151"/>
      <c r="K582" s="137"/>
    </row>
    <row r="583" ht="75.0" customHeight="1">
      <c r="A583" s="137"/>
      <c r="B583" s="149"/>
      <c r="C583" s="149"/>
      <c r="D583" s="149"/>
      <c r="E583" s="150"/>
      <c r="F583" s="143"/>
      <c r="G583" s="143"/>
      <c r="H583" s="151"/>
      <c r="I583" s="151"/>
      <c r="J583" s="151"/>
      <c r="K583" s="137"/>
    </row>
    <row r="584" ht="75.0" customHeight="1">
      <c r="A584" s="137"/>
      <c r="B584" s="149"/>
      <c r="C584" s="149"/>
      <c r="D584" s="149"/>
      <c r="E584" s="150"/>
      <c r="F584" s="143"/>
      <c r="G584" s="143"/>
      <c r="H584" s="151"/>
      <c r="I584" s="151"/>
      <c r="J584" s="151"/>
      <c r="K584" s="137"/>
    </row>
    <row r="585" ht="75.0" customHeight="1">
      <c r="A585" s="137"/>
      <c r="B585" s="149"/>
      <c r="C585" s="149"/>
      <c r="D585" s="149"/>
      <c r="E585" s="150"/>
      <c r="F585" s="143"/>
      <c r="G585" s="143"/>
      <c r="H585" s="151"/>
      <c r="I585" s="151"/>
      <c r="J585" s="151"/>
      <c r="K585" s="137"/>
    </row>
    <row r="586" ht="75.0" customHeight="1">
      <c r="A586" s="137"/>
      <c r="B586" s="149"/>
      <c r="C586" s="149"/>
      <c r="D586" s="149"/>
      <c r="E586" s="150"/>
      <c r="F586" s="143"/>
      <c r="G586" s="143"/>
      <c r="H586" s="151"/>
      <c r="I586" s="151"/>
      <c r="J586" s="151"/>
      <c r="K586" s="137"/>
    </row>
    <row r="587" ht="75.0" customHeight="1">
      <c r="A587" s="137"/>
      <c r="B587" s="149"/>
      <c r="C587" s="149"/>
      <c r="D587" s="149"/>
      <c r="E587" s="150"/>
      <c r="F587" s="143"/>
      <c r="G587" s="143"/>
      <c r="H587" s="151"/>
      <c r="I587" s="151"/>
      <c r="J587" s="151"/>
      <c r="K587" s="137"/>
    </row>
    <row r="588" ht="75.0" customHeight="1">
      <c r="A588" s="137"/>
      <c r="B588" s="149"/>
      <c r="C588" s="149"/>
      <c r="D588" s="149"/>
      <c r="E588" s="150"/>
      <c r="F588" s="143"/>
      <c r="G588" s="143"/>
      <c r="H588" s="151"/>
      <c r="I588" s="151"/>
      <c r="J588" s="151"/>
      <c r="K588" s="137"/>
    </row>
    <row r="589" ht="75.0" customHeight="1">
      <c r="A589" s="137"/>
      <c r="B589" s="149"/>
      <c r="C589" s="149"/>
      <c r="D589" s="149"/>
      <c r="E589" s="150"/>
      <c r="F589" s="143"/>
      <c r="G589" s="143"/>
      <c r="H589" s="151"/>
      <c r="I589" s="151"/>
      <c r="J589" s="151"/>
      <c r="K589" s="137"/>
    </row>
    <row r="590" ht="75.0" customHeight="1">
      <c r="A590" s="137"/>
      <c r="B590" s="149"/>
      <c r="C590" s="149"/>
      <c r="D590" s="149"/>
      <c r="E590" s="150"/>
      <c r="F590" s="143"/>
      <c r="G590" s="143"/>
      <c r="H590" s="151"/>
      <c r="I590" s="151"/>
      <c r="J590" s="151"/>
      <c r="K590" s="137"/>
    </row>
    <row r="591" ht="75.0" customHeight="1">
      <c r="A591" s="137"/>
      <c r="B591" s="149"/>
      <c r="C591" s="149"/>
      <c r="D591" s="149"/>
      <c r="E591" s="150"/>
      <c r="F591" s="143"/>
      <c r="G591" s="143"/>
      <c r="H591" s="151"/>
      <c r="I591" s="151"/>
      <c r="J591" s="151"/>
      <c r="K591" s="137"/>
    </row>
    <row r="592" ht="75.0" customHeight="1">
      <c r="A592" s="137"/>
      <c r="B592" s="149"/>
      <c r="C592" s="149"/>
      <c r="D592" s="149"/>
      <c r="E592" s="150"/>
      <c r="F592" s="143"/>
      <c r="G592" s="143"/>
      <c r="H592" s="151"/>
      <c r="I592" s="151"/>
      <c r="J592" s="151"/>
      <c r="K592" s="137"/>
    </row>
    <row r="593" ht="75.0" customHeight="1">
      <c r="A593" s="137"/>
      <c r="B593" s="149"/>
      <c r="C593" s="149"/>
      <c r="D593" s="149"/>
      <c r="E593" s="150"/>
      <c r="F593" s="143"/>
      <c r="G593" s="143"/>
      <c r="H593" s="151"/>
      <c r="I593" s="151"/>
      <c r="J593" s="151"/>
      <c r="K593" s="137"/>
    </row>
    <row r="594" ht="75.0" customHeight="1">
      <c r="A594" s="137"/>
      <c r="B594" s="149"/>
      <c r="C594" s="149"/>
      <c r="D594" s="149"/>
      <c r="E594" s="150"/>
      <c r="F594" s="143"/>
      <c r="G594" s="143"/>
      <c r="H594" s="151"/>
      <c r="I594" s="151"/>
      <c r="J594" s="151"/>
      <c r="K594" s="137"/>
    </row>
    <row r="595" ht="75.0" customHeight="1">
      <c r="A595" s="137"/>
      <c r="B595" s="149"/>
      <c r="C595" s="149"/>
      <c r="D595" s="149"/>
      <c r="E595" s="150"/>
      <c r="F595" s="143"/>
      <c r="G595" s="143"/>
      <c r="H595" s="151"/>
      <c r="I595" s="151"/>
      <c r="J595" s="151"/>
      <c r="K595" s="137"/>
    </row>
    <row r="596" ht="75.0" customHeight="1">
      <c r="A596" s="137"/>
      <c r="B596" s="149"/>
      <c r="C596" s="149"/>
      <c r="D596" s="149"/>
      <c r="E596" s="150"/>
      <c r="F596" s="143"/>
      <c r="G596" s="143"/>
      <c r="H596" s="151"/>
      <c r="I596" s="151"/>
      <c r="J596" s="151"/>
      <c r="K596" s="137"/>
    </row>
    <row r="597" ht="75.0" customHeight="1">
      <c r="A597" s="137"/>
      <c r="B597" s="149"/>
      <c r="C597" s="149"/>
      <c r="D597" s="149"/>
      <c r="E597" s="150"/>
      <c r="F597" s="143"/>
      <c r="G597" s="143"/>
      <c r="H597" s="151"/>
      <c r="I597" s="151"/>
      <c r="J597" s="151"/>
      <c r="K597" s="137"/>
    </row>
    <row r="598" ht="75.0" customHeight="1">
      <c r="A598" s="137"/>
      <c r="B598" s="149"/>
      <c r="C598" s="149"/>
      <c r="D598" s="149"/>
      <c r="E598" s="150"/>
      <c r="F598" s="143"/>
      <c r="G598" s="143"/>
      <c r="H598" s="151"/>
      <c r="I598" s="151"/>
      <c r="J598" s="151"/>
      <c r="K598" s="137"/>
    </row>
    <row r="599" ht="75.0" customHeight="1">
      <c r="A599" s="137"/>
      <c r="B599" s="149"/>
      <c r="C599" s="149"/>
      <c r="D599" s="149"/>
      <c r="E599" s="150"/>
      <c r="F599" s="143"/>
      <c r="G599" s="143"/>
      <c r="H599" s="151"/>
      <c r="I599" s="151"/>
      <c r="J599" s="151"/>
      <c r="K599" s="137"/>
    </row>
    <row r="600" ht="75.0" customHeight="1">
      <c r="A600" s="137"/>
      <c r="B600" s="149"/>
      <c r="C600" s="149"/>
      <c r="D600" s="149"/>
      <c r="E600" s="150"/>
      <c r="F600" s="143"/>
      <c r="G600" s="143"/>
      <c r="H600" s="151"/>
      <c r="I600" s="151"/>
      <c r="J600" s="151"/>
      <c r="K600" s="137"/>
    </row>
    <row r="601" ht="75.0" customHeight="1">
      <c r="A601" s="137"/>
      <c r="B601" s="149"/>
      <c r="C601" s="149"/>
      <c r="D601" s="149"/>
      <c r="E601" s="150"/>
      <c r="F601" s="143"/>
      <c r="G601" s="143"/>
      <c r="H601" s="151"/>
      <c r="I601" s="151"/>
      <c r="J601" s="151"/>
      <c r="K601" s="137"/>
    </row>
    <row r="602" ht="75.0" customHeight="1">
      <c r="A602" s="137"/>
      <c r="B602" s="149"/>
      <c r="C602" s="149"/>
      <c r="D602" s="149"/>
      <c r="E602" s="150"/>
      <c r="F602" s="143"/>
      <c r="G602" s="143"/>
      <c r="H602" s="151"/>
      <c r="I602" s="151"/>
      <c r="J602" s="151"/>
      <c r="K602" s="137"/>
    </row>
    <row r="603" ht="75.0" customHeight="1">
      <c r="A603" s="137"/>
      <c r="B603" s="149"/>
      <c r="C603" s="149"/>
      <c r="D603" s="149"/>
      <c r="E603" s="150"/>
      <c r="F603" s="143"/>
      <c r="G603" s="143"/>
      <c r="H603" s="151"/>
      <c r="I603" s="151"/>
      <c r="J603" s="151"/>
      <c r="K603" s="137"/>
    </row>
    <row r="604" ht="75.0" customHeight="1">
      <c r="A604" s="137"/>
      <c r="B604" s="149"/>
      <c r="C604" s="149"/>
      <c r="D604" s="149"/>
      <c r="E604" s="150"/>
      <c r="F604" s="143"/>
      <c r="G604" s="143"/>
      <c r="H604" s="151"/>
      <c r="I604" s="151"/>
      <c r="J604" s="151"/>
      <c r="K604" s="137"/>
    </row>
    <row r="605" ht="75.0" customHeight="1">
      <c r="A605" s="137"/>
      <c r="B605" s="149"/>
      <c r="C605" s="149"/>
      <c r="D605" s="149"/>
      <c r="E605" s="150"/>
      <c r="F605" s="143"/>
      <c r="G605" s="143"/>
      <c r="H605" s="151"/>
      <c r="I605" s="151"/>
      <c r="J605" s="151"/>
      <c r="K605" s="137"/>
    </row>
    <row r="606" ht="75.0" customHeight="1">
      <c r="A606" s="137"/>
      <c r="B606" s="149"/>
      <c r="C606" s="149"/>
      <c r="D606" s="149"/>
      <c r="E606" s="150"/>
      <c r="F606" s="143"/>
      <c r="G606" s="143"/>
      <c r="H606" s="151"/>
      <c r="I606" s="151"/>
      <c r="J606" s="151"/>
      <c r="K606" s="137"/>
    </row>
    <row r="607" ht="75.0" customHeight="1">
      <c r="A607" s="137"/>
      <c r="B607" s="149"/>
      <c r="C607" s="149"/>
      <c r="D607" s="149"/>
      <c r="E607" s="150"/>
      <c r="F607" s="143"/>
      <c r="G607" s="143"/>
      <c r="H607" s="151"/>
      <c r="I607" s="151"/>
      <c r="J607" s="151"/>
      <c r="K607" s="137"/>
    </row>
    <row r="608" ht="75.0" customHeight="1">
      <c r="A608" s="137"/>
      <c r="B608" s="149"/>
      <c r="C608" s="149"/>
      <c r="D608" s="149"/>
      <c r="E608" s="150"/>
      <c r="F608" s="143"/>
      <c r="G608" s="143"/>
      <c r="H608" s="151"/>
      <c r="I608" s="151"/>
      <c r="J608" s="151"/>
      <c r="K608" s="137"/>
    </row>
    <row r="609" ht="75.0" customHeight="1">
      <c r="A609" s="137"/>
      <c r="B609" s="149"/>
      <c r="C609" s="149"/>
      <c r="D609" s="149"/>
      <c r="E609" s="150"/>
      <c r="F609" s="143"/>
      <c r="G609" s="143"/>
      <c r="H609" s="151"/>
      <c r="I609" s="151"/>
      <c r="J609" s="151"/>
      <c r="K609" s="137"/>
    </row>
    <row r="610" ht="75.0" customHeight="1">
      <c r="A610" s="137"/>
      <c r="B610" s="149"/>
      <c r="C610" s="149"/>
      <c r="D610" s="149"/>
      <c r="E610" s="150"/>
      <c r="F610" s="143"/>
      <c r="G610" s="143"/>
      <c r="H610" s="151"/>
      <c r="I610" s="151"/>
      <c r="J610" s="151"/>
      <c r="K610" s="137"/>
    </row>
    <row r="611" ht="75.0" customHeight="1">
      <c r="A611" s="137"/>
      <c r="B611" s="149"/>
      <c r="C611" s="149"/>
      <c r="D611" s="149"/>
      <c r="E611" s="150"/>
      <c r="F611" s="143"/>
      <c r="G611" s="143"/>
      <c r="H611" s="151"/>
      <c r="I611" s="151"/>
      <c r="J611" s="151"/>
      <c r="K611" s="137"/>
    </row>
    <row r="612" ht="75.0" customHeight="1">
      <c r="A612" s="137"/>
      <c r="B612" s="149"/>
      <c r="C612" s="149"/>
      <c r="D612" s="149"/>
      <c r="E612" s="150"/>
      <c r="F612" s="143"/>
      <c r="G612" s="143"/>
      <c r="H612" s="151"/>
      <c r="I612" s="151"/>
      <c r="J612" s="151"/>
      <c r="K612" s="137"/>
    </row>
    <row r="613" ht="75.0" customHeight="1">
      <c r="A613" s="137"/>
      <c r="B613" s="149"/>
      <c r="C613" s="149"/>
      <c r="D613" s="149"/>
      <c r="E613" s="150"/>
      <c r="F613" s="143"/>
      <c r="G613" s="143"/>
      <c r="H613" s="151"/>
      <c r="I613" s="151"/>
      <c r="J613" s="151"/>
      <c r="K613" s="137"/>
    </row>
    <row r="614" ht="75.0" customHeight="1">
      <c r="A614" s="137"/>
      <c r="B614" s="149"/>
      <c r="C614" s="149"/>
      <c r="D614" s="149"/>
      <c r="E614" s="150"/>
      <c r="F614" s="143"/>
      <c r="G614" s="143"/>
      <c r="H614" s="151"/>
      <c r="I614" s="151"/>
      <c r="J614" s="151"/>
      <c r="K614" s="137"/>
    </row>
    <row r="615" ht="75.0" customHeight="1">
      <c r="A615" s="137"/>
      <c r="B615" s="149"/>
      <c r="C615" s="149"/>
      <c r="D615" s="149"/>
      <c r="E615" s="150"/>
      <c r="F615" s="143"/>
      <c r="G615" s="143"/>
      <c r="H615" s="151"/>
      <c r="I615" s="151"/>
      <c r="J615" s="151"/>
      <c r="K615" s="137"/>
    </row>
    <row r="616" ht="75.0" customHeight="1">
      <c r="A616" s="137"/>
      <c r="B616" s="149"/>
      <c r="C616" s="149"/>
      <c r="D616" s="149"/>
      <c r="E616" s="150"/>
      <c r="F616" s="143"/>
      <c r="G616" s="143"/>
      <c r="H616" s="151"/>
      <c r="I616" s="151"/>
      <c r="J616" s="151"/>
      <c r="K616" s="137"/>
    </row>
    <row r="617" ht="75.0" customHeight="1">
      <c r="A617" s="137"/>
      <c r="B617" s="149"/>
      <c r="C617" s="149"/>
      <c r="D617" s="149"/>
      <c r="E617" s="150"/>
      <c r="F617" s="143"/>
      <c r="G617" s="143"/>
      <c r="H617" s="151"/>
      <c r="I617" s="151"/>
      <c r="J617" s="151"/>
      <c r="K617" s="137"/>
    </row>
    <row r="618" ht="75.0" customHeight="1">
      <c r="A618" s="137"/>
      <c r="B618" s="149"/>
      <c r="C618" s="149"/>
      <c r="D618" s="149"/>
      <c r="E618" s="150"/>
      <c r="F618" s="143"/>
      <c r="G618" s="143"/>
      <c r="H618" s="151"/>
      <c r="I618" s="151"/>
      <c r="J618" s="151"/>
      <c r="K618" s="137"/>
    </row>
    <row r="619" ht="75.0" customHeight="1">
      <c r="A619" s="137"/>
      <c r="B619" s="149"/>
      <c r="C619" s="149"/>
      <c r="D619" s="149"/>
      <c r="E619" s="150"/>
      <c r="F619" s="143"/>
      <c r="G619" s="143"/>
      <c r="H619" s="151"/>
      <c r="I619" s="151"/>
      <c r="J619" s="151"/>
      <c r="K619" s="137"/>
    </row>
    <row r="620" ht="75.0" customHeight="1">
      <c r="A620" s="137"/>
      <c r="B620" s="149"/>
      <c r="C620" s="149"/>
      <c r="D620" s="149"/>
      <c r="E620" s="150"/>
      <c r="F620" s="143"/>
      <c r="G620" s="143"/>
      <c r="H620" s="151"/>
      <c r="I620" s="151"/>
      <c r="J620" s="151"/>
      <c r="K620" s="137"/>
    </row>
    <row r="621" ht="75.0" customHeight="1">
      <c r="A621" s="137"/>
      <c r="B621" s="149"/>
      <c r="C621" s="149"/>
      <c r="D621" s="149"/>
      <c r="E621" s="150"/>
      <c r="F621" s="143"/>
      <c r="G621" s="143"/>
      <c r="H621" s="151"/>
      <c r="I621" s="151"/>
      <c r="J621" s="151"/>
      <c r="K621" s="137"/>
    </row>
    <row r="622" ht="75.0" customHeight="1">
      <c r="A622" s="137"/>
      <c r="B622" s="149"/>
      <c r="C622" s="149"/>
      <c r="D622" s="149"/>
      <c r="E622" s="150"/>
      <c r="F622" s="143"/>
      <c r="G622" s="143"/>
      <c r="H622" s="151"/>
      <c r="I622" s="151"/>
      <c r="J622" s="151"/>
      <c r="K622" s="137"/>
    </row>
    <row r="623" ht="75.0" customHeight="1">
      <c r="A623" s="137"/>
      <c r="B623" s="149"/>
      <c r="C623" s="149"/>
      <c r="D623" s="149"/>
      <c r="E623" s="150"/>
      <c r="F623" s="143"/>
      <c r="G623" s="143"/>
      <c r="H623" s="151"/>
      <c r="I623" s="151"/>
      <c r="J623" s="151"/>
      <c r="K623" s="137"/>
    </row>
    <row r="624" ht="75.0" customHeight="1">
      <c r="A624" s="137"/>
      <c r="B624" s="149"/>
      <c r="C624" s="149"/>
      <c r="D624" s="149"/>
      <c r="E624" s="150"/>
      <c r="F624" s="143"/>
      <c r="G624" s="143"/>
      <c r="H624" s="151"/>
      <c r="I624" s="151"/>
      <c r="J624" s="151"/>
      <c r="K624" s="137"/>
    </row>
    <row r="625" ht="75.0" customHeight="1">
      <c r="A625" s="137"/>
      <c r="B625" s="149"/>
      <c r="C625" s="149"/>
      <c r="D625" s="149"/>
      <c r="E625" s="150"/>
      <c r="F625" s="143"/>
      <c r="G625" s="143"/>
      <c r="H625" s="151"/>
      <c r="I625" s="151"/>
      <c r="J625" s="151"/>
      <c r="K625" s="137"/>
    </row>
    <row r="626" ht="75.0" customHeight="1">
      <c r="A626" s="137"/>
      <c r="B626" s="149"/>
      <c r="C626" s="149"/>
      <c r="D626" s="149"/>
      <c r="E626" s="150"/>
      <c r="F626" s="143"/>
      <c r="G626" s="143"/>
      <c r="H626" s="151"/>
      <c r="I626" s="151"/>
      <c r="J626" s="151"/>
      <c r="K626" s="137"/>
    </row>
    <row r="627" ht="75.0" customHeight="1">
      <c r="A627" s="137"/>
      <c r="B627" s="149"/>
      <c r="C627" s="149"/>
      <c r="D627" s="149"/>
      <c r="E627" s="150"/>
      <c r="F627" s="143"/>
      <c r="G627" s="143"/>
      <c r="H627" s="151"/>
      <c r="I627" s="151"/>
      <c r="J627" s="151"/>
      <c r="K627" s="137"/>
    </row>
    <row r="628" ht="75.0" customHeight="1">
      <c r="A628" s="137"/>
      <c r="B628" s="149"/>
      <c r="C628" s="149"/>
      <c r="D628" s="149"/>
      <c r="E628" s="150"/>
      <c r="F628" s="143"/>
      <c r="G628" s="143"/>
      <c r="H628" s="151"/>
      <c r="I628" s="151"/>
      <c r="J628" s="151"/>
      <c r="K628" s="137"/>
    </row>
    <row r="629" ht="75.0" customHeight="1">
      <c r="A629" s="137"/>
      <c r="B629" s="149"/>
      <c r="C629" s="149"/>
      <c r="D629" s="149"/>
      <c r="E629" s="150"/>
      <c r="F629" s="143"/>
      <c r="G629" s="143"/>
      <c r="H629" s="151"/>
      <c r="I629" s="151"/>
      <c r="J629" s="151"/>
      <c r="K629" s="137"/>
    </row>
    <row r="630" ht="75.0" customHeight="1">
      <c r="A630" s="137"/>
      <c r="B630" s="149"/>
      <c r="C630" s="149"/>
      <c r="D630" s="149"/>
      <c r="E630" s="150"/>
      <c r="F630" s="143"/>
      <c r="G630" s="143"/>
      <c r="H630" s="151"/>
      <c r="I630" s="151"/>
      <c r="J630" s="151"/>
      <c r="K630" s="137"/>
    </row>
    <row r="631" ht="75.0" customHeight="1">
      <c r="A631" s="137"/>
      <c r="B631" s="149"/>
      <c r="C631" s="149"/>
      <c r="D631" s="149"/>
      <c r="E631" s="150"/>
      <c r="F631" s="143"/>
      <c r="G631" s="143"/>
      <c r="H631" s="151"/>
      <c r="I631" s="151"/>
      <c r="J631" s="151"/>
      <c r="K631" s="137"/>
    </row>
    <row r="632" ht="75.0" customHeight="1">
      <c r="A632" s="137"/>
      <c r="B632" s="149"/>
      <c r="C632" s="149"/>
      <c r="D632" s="149"/>
      <c r="E632" s="150"/>
      <c r="F632" s="143"/>
      <c r="G632" s="143"/>
      <c r="H632" s="151"/>
      <c r="I632" s="151"/>
      <c r="J632" s="151"/>
      <c r="K632" s="137"/>
    </row>
    <row r="633" ht="75.0" customHeight="1">
      <c r="A633" s="137"/>
      <c r="B633" s="149"/>
      <c r="C633" s="149"/>
      <c r="D633" s="149"/>
      <c r="E633" s="150"/>
      <c r="F633" s="143"/>
      <c r="G633" s="143"/>
      <c r="H633" s="151"/>
      <c r="I633" s="151"/>
      <c r="J633" s="151"/>
      <c r="K633" s="137"/>
    </row>
    <row r="634" ht="75.0" customHeight="1">
      <c r="A634" s="137"/>
      <c r="B634" s="149"/>
      <c r="C634" s="149"/>
      <c r="D634" s="149"/>
      <c r="E634" s="150"/>
      <c r="F634" s="143"/>
      <c r="G634" s="143"/>
      <c r="H634" s="151"/>
      <c r="I634" s="151"/>
      <c r="J634" s="151"/>
      <c r="K634" s="137"/>
    </row>
    <row r="635" ht="75.0" customHeight="1">
      <c r="A635" s="137"/>
      <c r="B635" s="149"/>
      <c r="C635" s="149"/>
      <c r="D635" s="149"/>
      <c r="E635" s="150"/>
      <c r="F635" s="143"/>
      <c r="G635" s="143"/>
      <c r="H635" s="151"/>
      <c r="I635" s="151"/>
      <c r="J635" s="151"/>
      <c r="K635" s="137"/>
    </row>
    <row r="636" ht="75.0" customHeight="1">
      <c r="A636" s="137"/>
      <c r="B636" s="149"/>
      <c r="C636" s="149"/>
      <c r="D636" s="149"/>
      <c r="E636" s="150"/>
      <c r="F636" s="143"/>
      <c r="G636" s="143"/>
      <c r="H636" s="151"/>
      <c r="I636" s="151"/>
      <c r="J636" s="151"/>
      <c r="K636" s="137"/>
    </row>
    <row r="637" ht="75.0" customHeight="1">
      <c r="A637" s="137"/>
      <c r="B637" s="149"/>
      <c r="C637" s="149"/>
      <c r="D637" s="149"/>
      <c r="E637" s="150"/>
      <c r="F637" s="143"/>
      <c r="G637" s="143"/>
      <c r="H637" s="151"/>
      <c r="I637" s="151"/>
      <c r="J637" s="151"/>
      <c r="K637" s="137"/>
    </row>
    <row r="638" ht="75.0" customHeight="1">
      <c r="A638" s="137"/>
      <c r="B638" s="149"/>
      <c r="C638" s="149"/>
      <c r="D638" s="149"/>
      <c r="E638" s="150"/>
      <c r="F638" s="143"/>
      <c r="G638" s="143"/>
      <c r="H638" s="151"/>
      <c r="I638" s="151"/>
      <c r="J638" s="151"/>
      <c r="K638" s="137"/>
    </row>
    <row r="639" ht="75.0" customHeight="1">
      <c r="A639" s="137"/>
      <c r="B639" s="149"/>
      <c r="C639" s="149"/>
      <c r="D639" s="149"/>
      <c r="E639" s="150"/>
      <c r="F639" s="143"/>
      <c r="G639" s="143"/>
      <c r="H639" s="151"/>
      <c r="I639" s="151"/>
      <c r="J639" s="151"/>
      <c r="K639" s="137"/>
    </row>
    <row r="640" ht="75.0" customHeight="1">
      <c r="A640" s="137"/>
      <c r="B640" s="149"/>
      <c r="C640" s="149"/>
      <c r="D640" s="149"/>
      <c r="E640" s="150"/>
      <c r="F640" s="143"/>
      <c r="G640" s="143"/>
      <c r="H640" s="151"/>
      <c r="I640" s="151"/>
      <c r="J640" s="151"/>
      <c r="K640" s="137"/>
    </row>
    <row r="641" ht="75.0" customHeight="1">
      <c r="A641" s="137"/>
      <c r="B641" s="149"/>
      <c r="C641" s="149"/>
      <c r="D641" s="149"/>
      <c r="E641" s="150"/>
      <c r="F641" s="143"/>
      <c r="G641" s="143"/>
      <c r="H641" s="151"/>
      <c r="I641" s="151"/>
      <c r="J641" s="151"/>
      <c r="K641" s="137"/>
    </row>
    <row r="642" ht="75.0" customHeight="1">
      <c r="A642" s="137"/>
      <c r="B642" s="149"/>
      <c r="C642" s="149"/>
      <c r="D642" s="149"/>
      <c r="E642" s="150"/>
      <c r="F642" s="143"/>
      <c r="G642" s="143"/>
      <c r="H642" s="151"/>
      <c r="I642" s="151"/>
      <c r="J642" s="151"/>
      <c r="K642" s="137"/>
    </row>
    <row r="643" ht="75.0" customHeight="1">
      <c r="A643" s="137"/>
      <c r="B643" s="149"/>
      <c r="C643" s="149"/>
      <c r="D643" s="149"/>
      <c r="E643" s="150"/>
      <c r="F643" s="143"/>
      <c r="G643" s="143"/>
      <c r="H643" s="151"/>
      <c r="I643" s="151"/>
      <c r="J643" s="151"/>
      <c r="K643" s="137"/>
    </row>
    <row r="644" ht="75.0" customHeight="1">
      <c r="A644" s="137"/>
      <c r="B644" s="149"/>
      <c r="C644" s="149"/>
      <c r="D644" s="149"/>
      <c r="E644" s="150"/>
      <c r="F644" s="143"/>
      <c r="G644" s="143"/>
      <c r="H644" s="151"/>
      <c r="I644" s="151"/>
      <c r="J644" s="151"/>
      <c r="K644" s="137"/>
    </row>
    <row r="645" ht="75.0" customHeight="1">
      <c r="A645" s="137"/>
      <c r="B645" s="149"/>
      <c r="C645" s="149"/>
      <c r="D645" s="149"/>
      <c r="E645" s="150"/>
      <c r="F645" s="143"/>
      <c r="G645" s="143"/>
      <c r="H645" s="151"/>
      <c r="I645" s="151"/>
      <c r="J645" s="151"/>
      <c r="K645" s="137"/>
    </row>
    <row r="646" ht="75.0" customHeight="1">
      <c r="A646" s="137"/>
      <c r="B646" s="149"/>
      <c r="C646" s="149"/>
      <c r="D646" s="149"/>
      <c r="E646" s="150"/>
      <c r="F646" s="143"/>
      <c r="G646" s="143"/>
      <c r="H646" s="151"/>
      <c r="I646" s="151"/>
      <c r="J646" s="151"/>
      <c r="K646" s="137"/>
    </row>
    <row r="647" ht="75.0" customHeight="1">
      <c r="A647" s="137"/>
      <c r="B647" s="149"/>
      <c r="C647" s="149"/>
      <c r="D647" s="149"/>
      <c r="E647" s="150"/>
      <c r="F647" s="143"/>
      <c r="G647" s="143"/>
      <c r="H647" s="151"/>
      <c r="I647" s="151"/>
      <c r="J647" s="151"/>
      <c r="K647" s="137"/>
    </row>
    <row r="648" ht="75.0" customHeight="1">
      <c r="A648" s="137"/>
      <c r="B648" s="149"/>
      <c r="C648" s="149"/>
      <c r="D648" s="149"/>
      <c r="E648" s="150"/>
      <c r="F648" s="143"/>
      <c r="G648" s="143"/>
      <c r="H648" s="151"/>
      <c r="I648" s="151"/>
      <c r="J648" s="151"/>
      <c r="K648" s="137"/>
    </row>
    <row r="649" ht="75.0" customHeight="1">
      <c r="A649" s="137"/>
      <c r="B649" s="149"/>
      <c r="C649" s="149"/>
      <c r="D649" s="149"/>
      <c r="E649" s="150"/>
      <c r="F649" s="143"/>
      <c r="G649" s="143"/>
      <c r="H649" s="151"/>
      <c r="I649" s="151"/>
      <c r="J649" s="151"/>
      <c r="K649" s="137"/>
    </row>
    <row r="650" ht="75.0" customHeight="1">
      <c r="A650" s="137"/>
      <c r="B650" s="149"/>
      <c r="C650" s="149"/>
      <c r="D650" s="149"/>
      <c r="E650" s="150"/>
      <c r="F650" s="143"/>
      <c r="G650" s="143"/>
      <c r="H650" s="151"/>
      <c r="I650" s="151"/>
      <c r="J650" s="151"/>
      <c r="K650" s="137"/>
    </row>
    <row r="651" ht="75.0" customHeight="1">
      <c r="A651" s="137"/>
      <c r="B651" s="149"/>
      <c r="C651" s="149"/>
      <c r="D651" s="149"/>
      <c r="E651" s="150"/>
      <c r="F651" s="143"/>
      <c r="G651" s="143"/>
      <c r="H651" s="151"/>
      <c r="I651" s="151"/>
      <c r="J651" s="151"/>
      <c r="K651" s="137"/>
    </row>
    <row r="652" ht="75.0" customHeight="1">
      <c r="A652" s="137"/>
      <c r="B652" s="149"/>
      <c r="C652" s="149"/>
      <c r="D652" s="149"/>
      <c r="E652" s="150"/>
      <c r="F652" s="143"/>
      <c r="G652" s="143"/>
      <c r="H652" s="151"/>
      <c r="I652" s="151"/>
      <c r="J652" s="151"/>
      <c r="K652" s="137"/>
    </row>
    <row r="653" ht="75.0" customHeight="1">
      <c r="A653" s="137"/>
      <c r="B653" s="149"/>
      <c r="C653" s="149"/>
      <c r="D653" s="149"/>
      <c r="E653" s="150"/>
      <c r="F653" s="143"/>
      <c r="G653" s="143"/>
      <c r="H653" s="151"/>
      <c r="I653" s="151"/>
      <c r="J653" s="151"/>
      <c r="K653" s="137"/>
    </row>
    <row r="654" ht="75.0" customHeight="1">
      <c r="A654" s="137"/>
      <c r="B654" s="149"/>
      <c r="C654" s="149"/>
      <c r="D654" s="149"/>
      <c r="E654" s="150"/>
      <c r="F654" s="143"/>
      <c r="G654" s="143"/>
      <c r="H654" s="151"/>
      <c r="I654" s="151"/>
      <c r="J654" s="151"/>
      <c r="K654" s="137"/>
    </row>
    <row r="655" ht="75.0" customHeight="1">
      <c r="A655" s="137"/>
      <c r="B655" s="149"/>
      <c r="C655" s="149"/>
      <c r="D655" s="149"/>
      <c r="E655" s="150"/>
      <c r="F655" s="143"/>
      <c r="G655" s="143"/>
      <c r="H655" s="151"/>
      <c r="I655" s="151"/>
      <c r="J655" s="151"/>
      <c r="K655" s="137"/>
    </row>
    <row r="656" ht="75.0" customHeight="1">
      <c r="A656" s="137"/>
      <c r="B656" s="149"/>
      <c r="C656" s="149"/>
      <c r="D656" s="149"/>
      <c r="E656" s="150"/>
      <c r="F656" s="143"/>
      <c r="G656" s="143"/>
      <c r="H656" s="151"/>
      <c r="I656" s="151"/>
      <c r="J656" s="151"/>
      <c r="K656" s="137"/>
    </row>
    <row r="657" ht="75.0" customHeight="1">
      <c r="A657" s="137"/>
      <c r="B657" s="149"/>
      <c r="C657" s="149"/>
      <c r="D657" s="149"/>
      <c r="E657" s="150"/>
      <c r="F657" s="143"/>
      <c r="G657" s="143"/>
      <c r="H657" s="151"/>
      <c r="I657" s="151"/>
      <c r="J657" s="151"/>
      <c r="K657" s="137"/>
    </row>
    <row r="658" ht="75.0" customHeight="1">
      <c r="A658" s="137"/>
      <c r="B658" s="149"/>
      <c r="C658" s="149"/>
      <c r="D658" s="149"/>
      <c r="E658" s="150"/>
      <c r="F658" s="143"/>
      <c r="G658" s="143"/>
      <c r="H658" s="151"/>
      <c r="I658" s="151"/>
      <c r="J658" s="151"/>
      <c r="K658" s="137"/>
    </row>
    <row r="659" ht="75.0" customHeight="1">
      <c r="A659" s="137"/>
      <c r="B659" s="149"/>
      <c r="C659" s="149"/>
      <c r="D659" s="149"/>
      <c r="E659" s="150"/>
      <c r="F659" s="143"/>
      <c r="G659" s="143"/>
      <c r="H659" s="151"/>
      <c r="I659" s="151"/>
      <c r="J659" s="151"/>
      <c r="K659" s="137"/>
    </row>
    <row r="660" ht="75.0" customHeight="1">
      <c r="A660" s="137"/>
      <c r="B660" s="149"/>
      <c r="C660" s="149"/>
      <c r="D660" s="149"/>
      <c r="E660" s="150"/>
      <c r="F660" s="143"/>
      <c r="G660" s="143"/>
      <c r="H660" s="151"/>
      <c r="I660" s="151"/>
      <c r="J660" s="151"/>
      <c r="K660" s="137"/>
    </row>
    <row r="661" ht="75.0" customHeight="1">
      <c r="A661" s="137"/>
      <c r="B661" s="149"/>
      <c r="C661" s="149"/>
      <c r="D661" s="149"/>
      <c r="E661" s="150"/>
      <c r="F661" s="143"/>
      <c r="G661" s="143"/>
      <c r="H661" s="151"/>
      <c r="I661" s="151"/>
      <c r="J661" s="151"/>
      <c r="K661" s="137"/>
    </row>
    <row r="662" ht="75.0" customHeight="1">
      <c r="A662" s="137"/>
      <c r="B662" s="149"/>
      <c r="C662" s="149"/>
      <c r="D662" s="149"/>
      <c r="E662" s="150"/>
      <c r="F662" s="143"/>
      <c r="G662" s="143"/>
      <c r="H662" s="151"/>
      <c r="I662" s="151"/>
      <c r="J662" s="151"/>
      <c r="K662" s="137"/>
    </row>
    <row r="663" ht="75.0" customHeight="1">
      <c r="A663" s="137"/>
      <c r="B663" s="149"/>
      <c r="C663" s="149"/>
      <c r="D663" s="149"/>
      <c r="E663" s="150"/>
      <c r="F663" s="143"/>
      <c r="G663" s="143"/>
      <c r="H663" s="151"/>
      <c r="I663" s="151"/>
      <c r="J663" s="151"/>
      <c r="K663" s="137"/>
    </row>
    <row r="664" ht="75.0" customHeight="1">
      <c r="A664" s="137"/>
      <c r="B664" s="149"/>
      <c r="C664" s="149"/>
      <c r="D664" s="149"/>
      <c r="E664" s="150"/>
      <c r="F664" s="143"/>
      <c r="G664" s="143"/>
      <c r="H664" s="151"/>
      <c r="I664" s="151"/>
      <c r="J664" s="151"/>
      <c r="K664" s="137"/>
    </row>
    <row r="665" ht="75.0" customHeight="1">
      <c r="A665" s="137"/>
      <c r="B665" s="149"/>
      <c r="C665" s="149"/>
      <c r="D665" s="149"/>
      <c r="E665" s="150"/>
      <c r="F665" s="143"/>
      <c r="G665" s="143"/>
      <c r="H665" s="151"/>
      <c r="I665" s="151"/>
      <c r="J665" s="151"/>
      <c r="K665" s="137"/>
    </row>
    <row r="666" ht="75.0" customHeight="1">
      <c r="A666" s="137"/>
      <c r="B666" s="149"/>
      <c r="C666" s="149"/>
      <c r="D666" s="149"/>
      <c r="E666" s="150"/>
      <c r="F666" s="143"/>
      <c r="G666" s="143"/>
      <c r="H666" s="151"/>
      <c r="I666" s="151"/>
      <c r="J666" s="151"/>
      <c r="K666" s="137"/>
    </row>
    <row r="667" ht="75.0" customHeight="1">
      <c r="A667" s="137"/>
      <c r="B667" s="149"/>
      <c r="C667" s="149"/>
      <c r="D667" s="149"/>
      <c r="E667" s="150"/>
      <c r="F667" s="143"/>
      <c r="G667" s="143"/>
      <c r="H667" s="151"/>
      <c r="I667" s="151"/>
      <c r="J667" s="151"/>
      <c r="K667" s="137"/>
    </row>
    <row r="668" ht="75.0" customHeight="1">
      <c r="A668" s="137"/>
      <c r="B668" s="149"/>
      <c r="C668" s="149"/>
      <c r="D668" s="149"/>
      <c r="E668" s="150"/>
      <c r="F668" s="143"/>
      <c r="G668" s="143"/>
      <c r="H668" s="151"/>
      <c r="I668" s="151"/>
      <c r="J668" s="151"/>
      <c r="K668" s="137"/>
    </row>
    <row r="669" ht="75.0" customHeight="1">
      <c r="A669" s="137"/>
      <c r="B669" s="149"/>
      <c r="C669" s="149"/>
      <c r="D669" s="149"/>
      <c r="E669" s="150"/>
      <c r="F669" s="143"/>
      <c r="G669" s="143"/>
      <c r="H669" s="151"/>
      <c r="I669" s="151"/>
      <c r="J669" s="151"/>
      <c r="K669" s="137"/>
    </row>
    <row r="670" ht="75.0" customHeight="1">
      <c r="A670" s="137"/>
      <c r="B670" s="149"/>
      <c r="C670" s="149"/>
      <c r="D670" s="149"/>
      <c r="E670" s="150"/>
      <c r="F670" s="143"/>
      <c r="G670" s="143"/>
      <c r="H670" s="151"/>
      <c r="I670" s="151"/>
      <c r="J670" s="151"/>
      <c r="K670" s="137"/>
    </row>
    <row r="671" ht="75.0" customHeight="1">
      <c r="A671" s="137"/>
      <c r="B671" s="149"/>
      <c r="C671" s="149"/>
      <c r="D671" s="149"/>
      <c r="E671" s="150"/>
      <c r="F671" s="143"/>
      <c r="G671" s="143"/>
      <c r="H671" s="151"/>
      <c r="I671" s="151"/>
      <c r="J671" s="151"/>
      <c r="K671" s="137"/>
    </row>
    <row r="672" ht="75.0" customHeight="1">
      <c r="A672" s="137"/>
      <c r="B672" s="149"/>
      <c r="C672" s="149"/>
      <c r="D672" s="149"/>
      <c r="E672" s="150"/>
      <c r="F672" s="143"/>
      <c r="G672" s="143"/>
      <c r="H672" s="151"/>
      <c r="I672" s="151"/>
      <c r="J672" s="151"/>
      <c r="K672" s="137"/>
    </row>
    <row r="673" ht="75.0" customHeight="1">
      <c r="A673" s="137"/>
      <c r="B673" s="149"/>
      <c r="C673" s="149"/>
      <c r="D673" s="149"/>
      <c r="E673" s="150"/>
      <c r="F673" s="143"/>
      <c r="G673" s="143"/>
      <c r="H673" s="151"/>
      <c r="I673" s="151"/>
      <c r="J673" s="151"/>
      <c r="K673" s="137"/>
    </row>
    <row r="674" ht="75.0" customHeight="1">
      <c r="A674" s="137"/>
      <c r="B674" s="149"/>
      <c r="C674" s="149"/>
      <c r="D674" s="149"/>
      <c r="E674" s="150"/>
      <c r="F674" s="143"/>
      <c r="G674" s="143"/>
      <c r="H674" s="151"/>
      <c r="I674" s="151"/>
      <c r="J674" s="151"/>
      <c r="K674" s="137"/>
    </row>
    <row r="675" ht="75.0" customHeight="1">
      <c r="A675" s="137"/>
      <c r="B675" s="149"/>
      <c r="C675" s="149"/>
      <c r="D675" s="149"/>
      <c r="E675" s="150"/>
      <c r="F675" s="143"/>
      <c r="G675" s="143"/>
      <c r="H675" s="151"/>
      <c r="I675" s="151"/>
      <c r="J675" s="151"/>
      <c r="K675" s="137"/>
    </row>
    <row r="676" ht="75.0" customHeight="1">
      <c r="A676" s="137"/>
      <c r="B676" s="149"/>
      <c r="C676" s="149"/>
      <c r="D676" s="149"/>
      <c r="E676" s="150"/>
      <c r="F676" s="143"/>
      <c r="G676" s="143"/>
      <c r="H676" s="151"/>
      <c r="I676" s="151"/>
      <c r="J676" s="151"/>
      <c r="K676" s="137"/>
    </row>
    <row r="677" ht="75.0" customHeight="1">
      <c r="A677" s="137"/>
      <c r="B677" s="149"/>
      <c r="C677" s="149"/>
      <c r="D677" s="149"/>
      <c r="E677" s="150"/>
      <c r="F677" s="143"/>
      <c r="G677" s="143"/>
      <c r="H677" s="151"/>
      <c r="I677" s="151"/>
      <c r="J677" s="151"/>
      <c r="K677" s="137"/>
    </row>
    <row r="678" ht="75.0" customHeight="1">
      <c r="A678" s="137"/>
      <c r="B678" s="149"/>
      <c r="C678" s="149"/>
      <c r="D678" s="149"/>
      <c r="E678" s="150"/>
      <c r="F678" s="143"/>
      <c r="G678" s="143"/>
      <c r="H678" s="151"/>
      <c r="I678" s="151"/>
      <c r="J678" s="151"/>
      <c r="K678" s="137"/>
    </row>
    <row r="679" ht="75.0" customHeight="1">
      <c r="A679" s="137"/>
      <c r="B679" s="149"/>
      <c r="C679" s="149"/>
      <c r="D679" s="149"/>
      <c r="E679" s="150"/>
      <c r="F679" s="143"/>
      <c r="G679" s="143"/>
      <c r="H679" s="151"/>
      <c r="I679" s="151"/>
      <c r="J679" s="151"/>
      <c r="K679" s="137"/>
    </row>
    <row r="680" ht="75.0" customHeight="1">
      <c r="A680" s="137"/>
      <c r="B680" s="149"/>
      <c r="C680" s="149"/>
      <c r="D680" s="149"/>
      <c r="E680" s="150"/>
      <c r="F680" s="143"/>
      <c r="G680" s="143"/>
      <c r="H680" s="151"/>
      <c r="I680" s="151"/>
      <c r="J680" s="151"/>
      <c r="K680" s="137"/>
    </row>
    <row r="681" ht="75.0" customHeight="1">
      <c r="A681" s="137"/>
      <c r="B681" s="149"/>
      <c r="C681" s="149"/>
      <c r="D681" s="149"/>
      <c r="E681" s="150"/>
      <c r="F681" s="143"/>
      <c r="G681" s="143"/>
      <c r="H681" s="151"/>
      <c r="I681" s="151"/>
      <c r="J681" s="151"/>
      <c r="K681" s="137"/>
    </row>
    <row r="682" ht="75.0" customHeight="1">
      <c r="A682" s="137"/>
      <c r="B682" s="149"/>
      <c r="C682" s="149"/>
      <c r="D682" s="149"/>
      <c r="E682" s="150"/>
      <c r="F682" s="143"/>
      <c r="G682" s="143"/>
      <c r="H682" s="151"/>
      <c r="I682" s="151"/>
      <c r="J682" s="151"/>
      <c r="K682" s="137"/>
    </row>
    <row r="683" ht="75.0" customHeight="1">
      <c r="A683" s="137"/>
      <c r="B683" s="149"/>
      <c r="C683" s="149"/>
      <c r="D683" s="149"/>
      <c r="E683" s="150"/>
      <c r="F683" s="143"/>
      <c r="G683" s="143"/>
      <c r="H683" s="151"/>
      <c r="I683" s="151"/>
      <c r="J683" s="151"/>
      <c r="K683" s="137"/>
    </row>
    <row r="684" ht="75.0" customHeight="1">
      <c r="A684" s="137"/>
      <c r="B684" s="149"/>
      <c r="C684" s="149"/>
      <c r="D684" s="149"/>
      <c r="E684" s="150"/>
      <c r="F684" s="143"/>
      <c r="G684" s="143"/>
      <c r="H684" s="151"/>
      <c r="I684" s="151"/>
      <c r="J684" s="151"/>
      <c r="K684" s="137"/>
    </row>
    <row r="685" ht="75.0" customHeight="1">
      <c r="A685" s="137"/>
      <c r="B685" s="149"/>
      <c r="C685" s="149"/>
      <c r="D685" s="149"/>
      <c r="E685" s="150"/>
      <c r="F685" s="143"/>
      <c r="G685" s="143"/>
      <c r="H685" s="151"/>
      <c r="I685" s="151"/>
      <c r="J685" s="151"/>
      <c r="K685" s="137"/>
    </row>
    <row r="686" ht="75.0" customHeight="1">
      <c r="A686" s="137"/>
      <c r="B686" s="149"/>
      <c r="C686" s="149"/>
      <c r="D686" s="149"/>
      <c r="E686" s="150"/>
      <c r="F686" s="143"/>
      <c r="G686" s="143"/>
      <c r="H686" s="151"/>
      <c r="I686" s="151"/>
      <c r="J686" s="151"/>
      <c r="K686" s="137"/>
    </row>
    <row r="687" ht="75.0" customHeight="1">
      <c r="A687" s="137"/>
      <c r="B687" s="149"/>
      <c r="C687" s="149"/>
      <c r="D687" s="149"/>
      <c r="E687" s="150"/>
      <c r="F687" s="143"/>
      <c r="G687" s="143"/>
      <c r="H687" s="151"/>
      <c r="I687" s="151"/>
      <c r="J687" s="151"/>
      <c r="K687" s="137"/>
    </row>
    <row r="688" ht="75.0" customHeight="1">
      <c r="A688" s="137"/>
      <c r="B688" s="149"/>
      <c r="C688" s="149"/>
      <c r="D688" s="149"/>
      <c r="E688" s="150"/>
      <c r="F688" s="143"/>
      <c r="G688" s="143"/>
      <c r="H688" s="151"/>
      <c r="I688" s="151"/>
      <c r="J688" s="151"/>
      <c r="K688" s="137"/>
    </row>
    <row r="689" ht="75.0" customHeight="1">
      <c r="A689" s="137"/>
      <c r="B689" s="149"/>
      <c r="C689" s="149"/>
      <c r="D689" s="149"/>
      <c r="E689" s="150"/>
      <c r="F689" s="143"/>
      <c r="G689" s="143"/>
      <c r="H689" s="151"/>
      <c r="I689" s="151"/>
      <c r="J689" s="151"/>
      <c r="K689" s="137"/>
    </row>
    <row r="690" ht="75.0" customHeight="1">
      <c r="A690" s="137"/>
      <c r="B690" s="149"/>
      <c r="C690" s="149"/>
      <c r="D690" s="149"/>
      <c r="E690" s="150"/>
      <c r="F690" s="143"/>
      <c r="G690" s="143"/>
      <c r="H690" s="151"/>
      <c r="I690" s="151"/>
      <c r="J690" s="151"/>
      <c r="K690" s="137"/>
    </row>
    <row r="691" ht="75.0" customHeight="1">
      <c r="A691" s="137"/>
      <c r="B691" s="149"/>
      <c r="C691" s="149"/>
      <c r="D691" s="149"/>
      <c r="E691" s="150"/>
      <c r="F691" s="143"/>
      <c r="G691" s="143"/>
      <c r="H691" s="151"/>
      <c r="I691" s="151"/>
      <c r="J691" s="151"/>
      <c r="K691" s="137"/>
    </row>
    <row r="692" ht="75.0" customHeight="1">
      <c r="A692" s="137"/>
      <c r="B692" s="149"/>
      <c r="C692" s="149"/>
      <c r="D692" s="149"/>
      <c r="E692" s="150"/>
      <c r="F692" s="143"/>
      <c r="G692" s="143"/>
      <c r="H692" s="151"/>
      <c r="I692" s="151"/>
      <c r="J692" s="151"/>
      <c r="K692" s="137"/>
    </row>
    <row r="693" ht="75.0" customHeight="1">
      <c r="A693" s="137"/>
      <c r="B693" s="149"/>
      <c r="C693" s="149"/>
      <c r="D693" s="149"/>
      <c r="E693" s="150"/>
      <c r="F693" s="143"/>
      <c r="G693" s="143"/>
      <c r="H693" s="151"/>
      <c r="I693" s="151"/>
      <c r="J693" s="151"/>
      <c r="K693" s="137"/>
    </row>
    <row r="694" ht="75.0" customHeight="1">
      <c r="A694" s="137"/>
      <c r="B694" s="149"/>
      <c r="C694" s="149"/>
      <c r="D694" s="149"/>
      <c r="E694" s="150"/>
      <c r="F694" s="143"/>
      <c r="G694" s="143"/>
      <c r="H694" s="151"/>
      <c r="I694" s="151"/>
      <c r="J694" s="151"/>
      <c r="K694" s="137"/>
    </row>
    <row r="695" ht="75.0" customHeight="1">
      <c r="A695" s="137"/>
      <c r="B695" s="149"/>
      <c r="C695" s="149"/>
      <c r="D695" s="149"/>
      <c r="E695" s="150"/>
      <c r="F695" s="143"/>
      <c r="G695" s="143"/>
      <c r="H695" s="151"/>
      <c r="I695" s="151"/>
      <c r="J695" s="151"/>
      <c r="K695" s="137"/>
    </row>
    <row r="696" ht="75.0" customHeight="1">
      <c r="A696" s="137"/>
      <c r="B696" s="149"/>
      <c r="C696" s="149"/>
      <c r="D696" s="149"/>
      <c r="E696" s="150"/>
      <c r="F696" s="143"/>
      <c r="G696" s="143"/>
      <c r="H696" s="151"/>
      <c r="I696" s="151"/>
      <c r="J696" s="151"/>
      <c r="K696" s="137"/>
    </row>
    <row r="697" ht="75.0" customHeight="1">
      <c r="A697" s="137"/>
      <c r="B697" s="149"/>
      <c r="C697" s="149"/>
      <c r="D697" s="149"/>
      <c r="E697" s="150"/>
      <c r="F697" s="143"/>
      <c r="G697" s="143"/>
      <c r="H697" s="151"/>
      <c r="I697" s="151"/>
      <c r="J697" s="151"/>
      <c r="K697" s="137"/>
    </row>
    <row r="698" ht="75.0" customHeight="1">
      <c r="A698" s="137"/>
      <c r="B698" s="149"/>
      <c r="C698" s="149"/>
      <c r="D698" s="149"/>
      <c r="E698" s="150"/>
      <c r="F698" s="143"/>
      <c r="G698" s="143"/>
      <c r="H698" s="151"/>
      <c r="I698" s="151"/>
      <c r="J698" s="151"/>
      <c r="K698" s="137"/>
    </row>
    <row r="699" ht="75.0" customHeight="1">
      <c r="A699" s="137"/>
      <c r="B699" s="149"/>
      <c r="C699" s="149"/>
      <c r="D699" s="149"/>
      <c r="E699" s="150"/>
      <c r="F699" s="143"/>
      <c r="G699" s="143"/>
      <c r="H699" s="151"/>
      <c r="I699" s="151"/>
      <c r="J699" s="151"/>
      <c r="K699" s="137"/>
    </row>
    <row r="700" ht="75.0" customHeight="1">
      <c r="A700" s="137"/>
      <c r="B700" s="149"/>
      <c r="C700" s="149"/>
      <c r="D700" s="149"/>
      <c r="E700" s="150"/>
      <c r="F700" s="143"/>
      <c r="G700" s="143"/>
      <c r="H700" s="151"/>
      <c r="I700" s="151"/>
      <c r="J700" s="151"/>
      <c r="K700" s="137"/>
    </row>
    <row r="701" ht="75.0" customHeight="1">
      <c r="A701" s="137"/>
      <c r="B701" s="149"/>
      <c r="C701" s="149"/>
      <c r="D701" s="149"/>
      <c r="E701" s="150"/>
      <c r="F701" s="143"/>
      <c r="G701" s="143"/>
      <c r="H701" s="151"/>
      <c r="I701" s="151"/>
      <c r="J701" s="151"/>
      <c r="K701" s="137"/>
    </row>
    <row r="702" ht="75.0" customHeight="1">
      <c r="A702" s="137"/>
      <c r="B702" s="149"/>
      <c r="C702" s="149"/>
      <c r="D702" s="149"/>
      <c r="E702" s="150"/>
      <c r="F702" s="143"/>
      <c r="G702" s="143"/>
      <c r="H702" s="151"/>
      <c r="I702" s="151"/>
      <c r="J702" s="151"/>
      <c r="K702" s="137"/>
    </row>
    <row r="703" ht="75.0" customHeight="1">
      <c r="A703" s="137"/>
      <c r="B703" s="149"/>
      <c r="C703" s="149"/>
      <c r="D703" s="149"/>
      <c r="E703" s="150"/>
      <c r="F703" s="143"/>
      <c r="G703" s="143"/>
      <c r="H703" s="151"/>
      <c r="I703" s="151"/>
      <c r="J703" s="151"/>
      <c r="K703" s="137"/>
    </row>
    <row r="704" ht="75.0" customHeight="1">
      <c r="A704" s="137"/>
      <c r="B704" s="149"/>
      <c r="C704" s="149"/>
      <c r="D704" s="149"/>
      <c r="E704" s="150"/>
      <c r="F704" s="143"/>
      <c r="G704" s="143"/>
      <c r="H704" s="151"/>
      <c r="I704" s="151"/>
      <c r="J704" s="151"/>
      <c r="K704" s="137"/>
    </row>
    <row r="705" ht="75.0" customHeight="1">
      <c r="A705" s="137"/>
      <c r="B705" s="149"/>
      <c r="C705" s="149"/>
      <c r="D705" s="149"/>
      <c r="E705" s="150"/>
      <c r="F705" s="143"/>
      <c r="G705" s="143"/>
      <c r="H705" s="151"/>
      <c r="I705" s="151"/>
      <c r="J705" s="151"/>
      <c r="K705" s="137"/>
    </row>
    <row r="706" ht="75.0" customHeight="1">
      <c r="A706" s="137"/>
      <c r="B706" s="149"/>
      <c r="C706" s="149"/>
      <c r="D706" s="149"/>
      <c r="E706" s="150"/>
      <c r="F706" s="143"/>
      <c r="G706" s="143"/>
      <c r="H706" s="151"/>
      <c r="I706" s="151"/>
      <c r="J706" s="151"/>
      <c r="K706" s="137"/>
    </row>
    <row r="707" ht="75.0" customHeight="1">
      <c r="A707" s="137"/>
      <c r="B707" s="149"/>
      <c r="C707" s="149"/>
      <c r="D707" s="149"/>
      <c r="E707" s="150"/>
      <c r="F707" s="143"/>
      <c r="G707" s="143"/>
      <c r="H707" s="151"/>
      <c r="I707" s="151"/>
      <c r="J707" s="151"/>
      <c r="K707" s="137"/>
    </row>
    <row r="708" ht="75.0" customHeight="1">
      <c r="A708" s="137"/>
      <c r="B708" s="149"/>
      <c r="C708" s="149"/>
      <c r="D708" s="149"/>
      <c r="E708" s="150"/>
      <c r="F708" s="143"/>
      <c r="G708" s="143"/>
      <c r="H708" s="151"/>
      <c r="I708" s="151"/>
      <c r="J708" s="151"/>
      <c r="K708" s="137"/>
    </row>
    <row r="709" ht="75.0" customHeight="1">
      <c r="A709" s="137"/>
      <c r="B709" s="149"/>
      <c r="C709" s="149"/>
      <c r="D709" s="149"/>
      <c r="E709" s="150"/>
      <c r="F709" s="143"/>
      <c r="G709" s="143"/>
      <c r="H709" s="151"/>
      <c r="I709" s="151"/>
      <c r="J709" s="151"/>
      <c r="K709" s="137"/>
    </row>
    <row r="710" ht="75.0" customHeight="1">
      <c r="A710" s="137"/>
      <c r="B710" s="149"/>
      <c r="C710" s="149"/>
      <c r="D710" s="149"/>
      <c r="E710" s="150"/>
      <c r="F710" s="143"/>
      <c r="G710" s="143"/>
      <c r="H710" s="151"/>
      <c r="I710" s="151"/>
      <c r="J710" s="151"/>
      <c r="K710" s="137"/>
    </row>
    <row r="711" ht="75.0" customHeight="1">
      <c r="A711" s="137"/>
      <c r="B711" s="149"/>
      <c r="C711" s="149"/>
      <c r="D711" s="149"/>
      <c r="E711" s="150"/>
      <c r="F711" s="143"/>
      <c r="G711" s="143"/>
      <c r="H711" s="151"/>
      <c r="I711" s="151"/>
      <c r="J711" s="151"/>
      <c r="K711" s="137"/>
    </row>
    <row r="712" ht="75.0" customHeight="1">
      <c r="A712" s="137"/>
      <c r="B712" s="149"/>
      <c r="C712" s="149"/>
      <c r="D712" s="149"/>
      <c r="E712" s="150"/>
      <c r="F712" s="143"/>
      <c r="G712" s="143"/>
      <c r="H712" s="151"/>
      <c r="I712" s="151"/>
      <c r="J712" s="151"/>
      <c r="K712" s="137"/>
    </row>
    <row r="713" ht="75.0" customHeight="1">
      <c r="A713" s="137"/>
      <c r="B713" s="149"/>
      <c r="C713" s="149"/>
      <c r="D713" s="149"/>
      <c r="E713" s="150"/>
      <c r="F713" s="143"/>
      <c r="G713" s="143"/>
      <c r="H713" s="151"/>
      <c r="I713" s="151"/>
      <c r="J713" s="151"/>
      <c r="K713" s="137"/>
    </row>
    <row r="714" ht="75.0" customHeight="1">
      <c r="A714" s="137"/>
      <c r="B714" s="149"/>
      <c r="C714" s="149"/>
      <c r="D714" s="149"/>
      <c r="E714" s="150"/>
      <c r="F714" s="143"/>
      <c r="G714" s="143"/>
      <c r="H714" s="151"/>
      <c r="I714" s="151"/>
      <c r="J714" s="151"/>
      <c r="K714" s="137"/>
    </row>
    <row r="715" ht="75.0" customHeight="1">
      <c r="A715" s="137"/>
      <c r="B715" s="149"/>
      <c r="C715" s="149"/>
      <c r="D715" s="149"/>
      <c r="E715" s="150"/>
      <c r="F715" s="143"/>
      <c r="G715" s="143"/>
      <c r="H715" s="151"/>
      <c r="I715" s="151"/>
      <c r="J715" s="151"/>
      <c r="K715" s="137"/>
    </row>
    <row r="716" ht="75.0" customHeight="1">
      <c r="A716" s="137"/>
      <c r="B716" s="149"/>
      <c r="C716" s="149"/>
      <c r="D716" s="149"/>
      <c r="E716" s="150"/>
      <c r="F716" s="143"/>
      <c r="G716" s="143"/>
      <c r="H716" s="151"/>
      <c r="I716" s="151"/>
      <c r="J716" s="151"/>
      <c r="K716" s="137"/>
    </row>
    <row r="717" ht="75.0" customHeight="1">
      <c r="A717" s="137"/>
      <c r="B717" s="149"/>
      <c r="C717" s="149"/>
      <c r="D717" s="149"/>
      <c r="E717" s="150"/>
      <c r="F717" s="143"/>
      <c r="G717" s="143"/>
      <c r="H717" s="151"/>
      <c r="I717" s="151"/>
      <c r="J717" s="151"/>
      <c r="K717" s="137"/>
    </row>
    <row r="718" ht="75.0" customHeight="1">
      <c r="A718" s="137"/>
      <c r="B718" s="149"/>
      <c r="C718" s="149"/>
      <c r="D718" s="149"/>
      <c r="E718" s="150"/>
      <c r="F718" s="143"/>
      <c r="G718" s="143"/>
      <c r="H718" s="151"/>
      <c r="I718" s="151"/>
      <c r="J718" s="151"/>
      <c r="K718" s="137"/>
    </row>
    <row r="719" ht="75.0" customHeight="1">
      <c r="A719" s="137"/>
      <c r="B719" s="149"/>
      <c r="C719" s="149"/>
      <c r="D719" s="149"/>
      <c r="E719" s="150"/>
      <c r="F719" s="143"/>
      <c r="G719" s="143"/>
      <c r="H719" s="151"/>
      <c r="I719" s="151"/>
      <c r="J719" s="151"/>
      <c r="K719" s="137"/>
    </row>
    <row r="720" ht="75.0" customHeight="1">
      <c r="A720" s="137"/>
      <c r="B720" s="149"/>
      <c r="C720" s="149"/>
      <c r="D720" s="149"/>
      <c r="E720" s="150"/>
      <c r="F720" s="143"/>
      <c r="G720" s="143"/>
      <c r="H720" s="151"/>
      <c r="I720" s="151"/>
      <c r="J720" s="151"/>
      <c r="K720" s="137"/>
    </row>
    <row r="721" ht="75.0" customHeight="1">
      <c r="A721" s="137"/>
      <c r="B721" s="149"/>
      <c r="C721" s="149"/>
      <c r="D721" s="149"/>
      <c r="E721" s="150"/>
      <c r="F721" s="143"/>
      <c r="G721" s="143"/>
      <c r="H721" s="151"/>
      <c r="I721" s="151"/>
      <c r="J721" s="151"/>
      <c r="K721" s="137"/>
    </row>
    <row r="722" ht="75.0" customHeight="1">
      <c r="A722" s="137"/>
      <c r="B722" s="149"/>
      <c r="C722" s="149"/>
      <c r="D722" s="149"/>
      <c r="E722" s="150"/>
      <c r="F722" s="143"/>
      <c r="G722" s="143"/>
      <c r="H722" s="151"/>
      <c r="I722" s="151"/>
      <c r="J722" s="151"/>
      <c r="K722" s="137"/>
    </row>
    <row r="723" ht="75.0" customHeight="1">
      <c r="A723" s="137"/>
      <c r="B723" s="149"/>
      <c r="C723" s="149"/>
      <c r="D723" s="149"/>
      <c r="E723" s="150"/>
      <c r="F723" s="143"/>
      <c r="G723" s="143"/>
      <c r="H723" s="151"/>
      <c r="I723" s="151"/>
      <c r="J723" s="151"/>
      <c r="K723" s="137"/>
    </row>
    <row r="724" ht="75.0" customHeight="1">
      <c r="A724" s="137"/>
      <c r="B724" s="149"/>
      <c r="C724" s="149"/>
      <c r="D724" s="149"/>
      <c r="E724" s="150"/>
      <c r="F724" s="143"/>
      <c r="G724" s="143"/>
      <c r="H724" s="151"/>
      <c r="I724" s="151"/>
      <c r="J724" s="151"/>
      <c r="K724" s="137"/>
    </row>
    <row r="725" ht="75.0" customHeight="1">
      <c r="A725" s="137"/>
      <c r="B725" s="149"/>
      <c r="C725" s="149"/>
      <c r="D725" s="149"/>
      <c r="E725" s="150"/>
      <c r="F725" s="143"/>
      <c r="G725" s="143"/>
      <c r="H725" s="151"/>
      <c r="I725" s="151"/>
      <c r="J725" s="151"/>
      <c r="K725" s="137"/>
    </row>
    <row r="726" ht="75.0" customHeight="1">
      <c r="A726" s="137"/>
      <c r="B726" s="149"/>
      <c r="C726" s="149"/>
      <c r="D726" s="149"/>
      <c r="E726" s="150"/>
      <c r="F726" s="143"/>
      <c r="G726" s="143"/>
      <c r="H726" s="151"/>
      <c r="I726" s="151"/>
      <c r="J726" s="151"/>
      <c r="K726" s="137"/>
    </row>
    <row r="727" ht="75.0" customHeight="1">
      <c r="A727" s="137"/>
      <c r="B727" s="149"/>
      <c r="C727" s="149"/>
      <c r="D727" s="149"/>
      <c r="E727" s="150"/>
      <c r="F727" s="143"/>
      <c r="G727" s="143"/>
      <c r="H727" s="151"/>
      <c r="I727" s="151"/>
      <c r="J727" s="151"/>
      <c r="K727" s="137"/>
    </row>
    <row r="728" ht="75.0" customHeight="1">
      <c r="A728" s="137"/>
      <c r="B728" s="149"/>
      <c r="C728" s="149"/>
      <c r="D728" s="149"/>
      <c r="E728" s="150"/>
      <c r="F728" s="143"/>
      <c r="G728" s="143"/>
      <c r="H728" s="151"/>
      <c r="I728" s="151"/>
      <c r="J728" s="151"/>
      <c r="K728" s="137"/>
    </row>
    <row r="729" ht="75.0" customHeight="1">
      <c r="A729" s="137"/>
      <c r="B729" s="149"/>
      <c r="C729" s="149"/>
      <c r="D729" s="149"/>
      <c r="E729" s="150"/>
      <c r="F729" s="143"/>
      <c r="G729" s="143"/>
      <c r="H729" s="151"/>
      <c r="I729" s="151"/>
      <c r="J729" s="151"/>
      <c r="K729" s="137"/>
    </row>
    <row r="730" ht="75.0" customHeight="1">
      <c r="A730" s="137"/>
      <c r="B730" s="149"/>
      <c r="C730" s="149"/>
      <c r="D730" s="149"/>
      <c r="E730" s="150"/>
      <c r="F730" s="143"/>
      <c r="G730" s="143"/>
      <c r="H730" s="151"/>
      <c r="I730" s="151"/>
      <c r="J730" s="151"/>
      <c r="K730" s="137"/>
    </row>
    <row r="731" ht="75.0" customHeight="1">
      <c r="A731" s="137"/>
      <c r="B731" s="149"/>
      <c r="C731" s="149"/>
      <c r="D731" s="149"/>
      <c r="E731" s="150"/>
      <c r="F731" s="143"/>
      <c r="G731" s="143"/>
      <c r="H731" s="151"/>
      <c r="I731" s="151"/>
      <c r="J731" s="151"/>
      <c r="K731" s="137"/>
    </row>
    <row r="732" ht="75.0" customHeight="1">
      <c r="A732" s="137"/>
      <c r="B732" s="149"/>
      <c r="C732" s="149"/>
      <c r="D732" s="149"/>
      <c r="E732" s="150"/>
      <c r="F732" s="143"/>
      <c r="G732" s="143"/>
      <c r="H732" s="151"/>
      <c r="I732" s="151"/>
      <c r="J732" s="151"/>
      <c r="K732" s="137"/>
    </row>
    <row r="733" ht="75.0" customHeight="1">
      <c r="A733" s="137"/>
      <c r="B733" s="149"/>
      <c r="C733" s="149"/>
      <c r="D733" s="149"/>
      <c r="E733" s="150"/>
      <c r="F733" s="143"/>
      <c r="G733" s="143"/>
      <c r="H733" s="151"/>
      <c r="I733" s="151"/>
      <c r="J733" s="151"/>
      <c r="K733" s="137"/>
    </row>
    <row r="734" ht="75.0" customHeight="1">
      <c r="A734" s="137"/>
      <c r="B734" s="149"/>
      <c r="C734" s="149"/>
      <c r="D734" s="149"/>
      <c r="E734" s="150"/>
      <c r="F734" s="143"/>
      <c r="G734" s="143"/>
      <c r="H734" s="151"/>
      <c r="I734" s="151"/>
      <c r="J734" s="151"/>
      <c r="K734" s="137"/>
    </row>
    <row r="735" ht="75.0" customHeight="1">
      <c r="A735" s="137"/>
      <c r="B735" s="149"/>
      <c r="C735" s="149"/>
      <c r="D735" s="149"/>
      <c r="E735" s="150"/>
      <c r="F735" s="143"/>
      <c r="G735" s="143"/>
      <c r="H735" s="151"/>
      <c r="I735" s="151"/>
      <c r="J735" s="151"/>
      <c r="K735" s="137"/>
    </row>
    <row r="736" ht="75.0" customHeight="1">
      <c r="A736" s="137"/>
      <c r="B736" s="149"/>
      <c r="C736" s="149"/>
      <c r="D736" s="149"/>
      <c r="E736" s="150"/>
      <c r="F736" s="143"/>
      <c r="G736" s="143"/>
      <c r="H736" s="151"/>
      <c r="I736" s="151"/>
      <c r="J736" s="151"/>
      <c r="K736" s="137"/>
    </row>
    <row r="737" ht="75.0" customHeight="1">
      <c r="A737" s="137"/>
      <c r="B737" s="149"/>
      <c r="C737" s="149"/>
      <c r="D737" s="149"/>
      <c r="E737" s="150"/>
      <c r="F737" s="143"/>
      <c r="G737" s="143"/>
      <c r="H737" s="151"/>
      <c r="I737" s="151"/>
      <c r="J737" s="151"/>
      <c r="K737" s="137"/>
    </row>
    <row r="738" ht="75.0" customHeight="1">
      <c r="A738" s="137"/>
      <c r="B738" s="149"/>
      <c r="C738" s="149"/>
      <c r="D738" s="149"/>
      <c r="E738" s="150"/>
      <c r="F738" s="143"/>
      <c r="G738" s="143"/>
      <c r="H738" s="151"/>
      <c r="I738" s="151"/>
      <c r="J738" s="151"/>
      <c r="K738" s="137"/>
    </row>
    <row r="739" ht="75.0" customHeight="1">
      <c r="A739" s="137"/>
      <c r="B739" s="149"/>
      <c r="C739" s="149"/>
      <c r="D739" s="149"/>
      <c r="E739" s="150"/>
      <c r="F739" s="143"/>
      <c r="G739" s="143"/>
      <c r="H739" s="151"/>
      <c r="I739" s="151"/>
      <c r="J739" s="151"/>
      <c r="K739" s="137"/>
    </row>
    <row r="740" ht="75.0" customHeight="1">
      <c r="A740" s="137"/>
      <c r="B740" s="149"/>
      <c r="C740" s="149"/>
      <c r="D740" s="149"/>
      <c r="E740" s="150"/>
      <c r="F740" s="143"/>
      <c r="G740" s="143"/>
      <c r="H740" s="151"/>
      <c r="I740" s="151"/>
      <c r="J740" s="151"/>
      <c r="K740" s="137"/>
    </row>
    <row r="741" ht="75.0" customHeight="1">
      <c r="A741" s="137"/>
      <c r="B741" s="149"/>
      <c r="C741" s="149"/>
      <c r="D741" s="149"/>
      <c r="E741" s="150"/>
      <c r="F741" s="143"/>
      <c r="G741" s="143"/>
      <c r="H741" s="151"/>
      <c r="I741" s="151"/>
      <c r="J741" s="151"/>
      <c r="K741" s="137"/>
    </row>
    <row r="742" ht="75.0" customHeight="1">
      <c r="A742" s="137"/>
      <c r="B742" s="149"/>
      <c r="C742" s="149"/>
      <c r="D742" s="149"/>
      <c r="E742" s="150"/>
      <c r="F742" s="143"/>
      <c r="G742" s="143"/>
      <c r="H742" s="151"/>
      <c r="I742" s="151"/>
      <c r="J742" s="151"/>
      <c r="K742" s="137"/>
    </row>
    <row r="743" ht="75.0" customHeight="1">
      <c r="A743" s="137"/>
      <c r="B743" s="149"/>
      <c r="C743" s="149"/>
      <c r="D743" s="149"/>
      <c r="E743" s="150"/>
      <c r="F743" s="143"/>
      <c r="G743" s="143"/>
      <c r="H743" s="151"/>
      <c r="I743" s="151"/>
      <c r="J743" s="151"/>
      <c r="K743" s="137"/>
    </row>
    <row r="744" ht="75.0" customHeight="1">
      <c r="A744" s="137"/>
      <c r="B744" s="149"/>
      <c r="C744" s="149"/>
      <c r="D744" s="149"/>
      <c r="E744" s="150"/>
      <c r="F744" s="143"/>
      <c r="G744" s="143"/>
      <c r="H744" s="151"/>
      <c r="I744" s="151"/>
      <c r="J744" s="151"/>
      <c r="K744" s="137"/>
    </row>
    <row r="745" ht="75.0" customHeight="1">
      <c r="A745" s="137"/>
      <c r="B745" s="149"/>
      <c r="C745" s="149"/>
      <c r="D745" s="149"/>
      <c r="E745" s="150"/>
      <c r="F745" s="143"/>
      <c r="G745" s="143"/>
      <c r="H745" s="151"/>
      <c r="I745" s="151"/>
      <c r="J745" s="151"/>
      <c r="K745" s="137"/>
    </row>
    <row r="746" ht="75.0" customHeight="1">
      <c r="A746" s="137"/>
      <c r="B746" s="149"/>
      <c r="C746" s="149"/>
      <c r="D746" s="149"/>
      <c r="E746" s="150"/>
      <c r="F746" s="143"/>
      <c r="G746" s="143"/>
      <c r="H746" s="151"/>
      <c r="I746" s="151"/>
      <c r="J746" s="151"/>
      <c r="K746" s="137"/>
    </row>
    <row r="747" ht="75.0" customHeight="1">
      <c r="A747" s="137"/>
      <c r="B747" s="149"/>
      <c r="C747" s="149"/>
      <c r="D747" s="149"/>
      <c r="E747" s="150"/>
      <c r="F747" s="143"/>
      <c r="G747" s="143"/>
      <c r="H747" s="151"/>
      <c r="I747" s="151"/>
      <c r="J747" s="151"/>
      <c r="K747" s="137"/>
    </row>
    <row r="748" ht="75.0" customHeight="1">
      <c r="A748" s="137"/>
      <c r="B748" s="149"/>
      <c r="C748" s="149"/>
      <c r="D748" s="149"/>
      <c r="E748" s="150"/>
      <c r="F748" s="143"/>
      <c r="G748" s="143"/>
      <c r="H748" s="151"/>
      <c r="I748" s="151"/>
      <c r="J748" s="151"/>
      <c r="K748" s="137"/>
    </row>
    <row r="749" ht="75.0" customHeight="1">
      <c r="A749" s="137"/>
      <c r="B749" s="149"/>
      <c r="C749" s="149"/>
      <c r="D749" s="149"/>
      <c r="E749" s="150"/>
      <c r="F749" s="143"/>
      <c r="G749" s="143"/>
      <c r="H749" s="151"/>
      <c r="I749" s="151"/>
      <c r="J749" s="151"/>
      <c r="K749" s="137"/>
    </row>
    <row r="750" ht="75.0" customHeight="1">
      <c r="A750" s="137"/>
      <c r="B750" s="149"/>
      <c r="C750" s="149"/>
      <c r="D750" s="149"/>
      <c r="E750" s="150"/>
      <c r="F750" s="143"/>
      <c r="G750" s="143"/>
      <c r="H750" s="151"/>
      <c r="I750" s="151"/>
      <c r="J750" s="151"/>
      <c r="K750" s="137"/>
    </row>
    <row r="751" ht="75.0" customHeight="1">
      <c r="A751" s="137"/>
      <c r="B751" s="149"/>
      <c r="C751" s="149"/>
      <c r="D751" s="149"/>
      <c r="E751" s="150"/>
      <c r="F751" s="143"/>
      <c r="G751" s="143"/>
      <c r="H751" s="151"/>
      <c r="I751" s="151"/>
      <c r="J751" s="151"/>
      <c r="K751" s="137"/>
    </row>
    <row r="752" ht="75.0" customHeight="1">
      <c r="A752" s="137"/>
      <c r="B752" s="149"/>
      <c r="C752" s="149"/>
      <c r="D752" s="149"/>
      <c r="E752" s="150"/>
      <c r="F752" s="143"/>
      <c r="G752" s="143"/>
      <c r="H752" s="151"/>
      <c r="I752" s="151"/>
      <c r="J752" s="151"/>
      <c r="K752" s="137"/>
    </row>
    <row r="753" ht="75.0" customHeight="1">
      <c r="A753" s="137"/>
      <c r="B753" s="149"/>
      <c r="C753" s="149"/>
      <c r="D753" s="149"/>
      <c r="E753" s="150"/>
      <c r="F753" s="143"/>
      <c r="G753" s="143"/>
      <c r="H753" s="151"/>
      <c r="I753" s="151"/>
      <c r="J753" s="151"/>
      <c r="K753" s="137"/>
    </row>
    <row r="754" ht="75.0" customHeight="1">
      <c r="A754" s="137"/>
      <c r="B754" s="149"/>
      <c r="C754" s="149"/>
      <c r="D754" s="149"/>
      <c r="E754" s="150"/>
      <c r="F754" s="143"/>
      <c r="G754" s="143"/>
      <c r="H754" s="151"/>
      <c r="I754" s="151"/>
      <c r="J754" s="151"/>
      <c r="K754" s="137"/>
    </row>
    <row r="755" ht="75.0" customHeight="1">
      <c r="A755" s="137"/>
      <c r="B755" s="149"/>
      <c r="C755" s="149"/>
      <c r="D755" s="149"/>
      <c r="E755" s="150"/>
      <c r="F755" s="143"/>
      <c r="G755" s="143"/>
      <c r="H755" s="151"/>
      <c r="I755" s="151"/>
      <c r="J755" s="151"/>
      <c r="K755" s="137"/>
    </row>
    <row r="756" ht="75.0" customHeight="1">
      <c r="A756" s="137"/>
      <c r="B756" s="149"/>
      <c r="C756" s="149"/>
      <c r="D756" s="149"/>
      <c r="E756" s="150"/>
      <c r="F756" s="143"/>
      <c r="G756" s="143"/>
      <c r="H756" s="151"/>
      <c r="I756" s="151"/>
      <c r="J756" s="151"/>
      <c r="K756" s="137"/>
    </row>
    <row r="757" ht="75.0" customHeight="1">
      <c r="A757" s="137"/>
      <c r="B757" s="149"/>
      <c r="C757" s="149"/>
      <c r="D757" s="149"/>
      <c r="E757" s="150"/>
      <c r="F757" s="143"/>
      <c r="G757" s="143"/>
      <c r="H757" s="151"/>
      <c r="I757" s="151"/>
      <c r="J757" s="151"/>
      <c r="K757" s="137"/>
    </row>
    <row r="758" ht="75.0" customHeight="1">
      <c r="A758" s="137"/>
      <c r="B758" s="149"/>
      <c r="C758" s="149"/>
      <c r="D758" s="149"/>
      <c r="E758" s="150"/>
      <c r="F758" s="143"/>
      <c r="G758" s="143"/>
      <c r="H758" s="151"/>
      <c r="I758" s="151"/>
      <c r="J758" s="151"/>
      <c r="K758" s="137"/>
    </row>
    <row r="759" ht="75.0" customHeight="1">
      <c r="A759" s="137"/>
      <c r="B759" s="149"/>
      <c r="C759" s="149"/>
      <c r="D759" s="149"/>
      <c r="E759" s="150"/>
      <c r="F759" s="143"/>
      <c r="G759" s="143"/>
      <c r="H759" s="151"/>
      <c r="I759" s="151"/>
      <c r="J759" s="151"/>
      <c r="K759" s="137"/>
    </row>
    <row r="760" ht="75.0" customHeight="1">
      <c r="A760" s="137"/>
      <c r="B760" s="149"/>
      <c r="C760" s="149"/>
      <c r="D760" s="149"/>
      <c r="E760" s="150"/>
      <c r="F760" s="143"/>
      <c r="G760" s="143"/>
      <c r="H760" s="151"/>
      <c r="I760" s="151"/>
      <c r="J760" s="151"/>
      <c r="K760" s="137"/>
    </row>
    <row r="761" ht="75.0" customHeight="1">
      <c r="A761" s="137"/>
      <c r="B761" s="149"/>
      <c r="C761" s="149"/>
      <c r="D761" s="149"/>
      <c r="E761" s="150"/>
      <c r="F761" s="143"/>
      <c r="G761" s="143"/>
      <c r="H761" s="151"/>
      <c r="I761" s="151"/>
      <c r="J761" s="151"/>
      <c r="K761" s="137"/>
    </row>
    <row r="762" ht="75.0" customHeight="1">
      <c r="A762" s="137"/>
      <c r="B762" s="149"/>
      <c r="C762" s="149"/>
      <c r="D762" s="149"/>
      <c r="E762" s="150"/>
      <c r="F762" s="143"/>
      <c r="G762" s="143"/>
      <c r="H762" s="151"/>
      <c r="I762" s="151"/>
      <c r="J762" s="151"/>
      <c r="K762" s="137"/>
    </row>
    <row r="763" ht="75.0" customHeight="1">
      <c r="A763" s="137"/>
      <c r="B763" s="149"/>
      <c r="C763" s="149"/>
      <c r="D763" s="149"/>
      <c r="E763" s="150"/>
      <c r="F763" s="143"/>
      <c r="G763" s="143"/>
      <c r="H763" s="151"/>
      <c r="I763" s="151"/>
      <c r="J763" s="151"/>
      <c r="K763" s="137"/>
    </row>
    <row r="764" ht="75.0" customHeight="1">
      <c r="A764" s="137"/>
      <c r="B764" s="149"/>
      <c r="C764" s="149"/>
      <c r="D764" s="149"/>
      <c r="E764" s="150"/>
      <c r="F764" s="143"/>
      <c r="G764" s="143"/>
      <c r="H764" s="151"/>
      <c r="I764" s="151"/>
      <c r="J764" s="151"/>
      <c r="K764" s="137"/>
    </row>
    <row r="765" ht="75.0" customHeight="1">
      <c r="A765" s="137"/>
      <c r="B765" s="149"/>
      <c r="C765" s="149"/>
      <c r="D765" s="149"/>
      <c r="E765" s="150"/>
      <c r="F765" s="143"/>
      <c r="G765" s="143"/>
      <c r="H765" s="151"/>
      <c r="I765" s="151"/>
      <c r="J765" s="151"/>
      <c r="K765" s="137"/>
    </row>
    <row r="766" ht="75.0" customHeight="1">
      <c r="A766" s="137"/>
      <c r="B766" s="149"/>
      <c r="C766" s="149"/>
      <c r="D766" s="149"/>
      <c r="E766" s="150"/>
      <c r="F766" s="143"/>
      <c r="G766" s="143"/>
      <c r="H766" s="151"/>
      <c r="I766" s="151"/>
      <c r="J766" s="151"/>
      <c r="K766" s="137"/>
    </row>
    <row r="767" ht="75.0" customHeight="1">
      <c r="A767" s="137"/>
      <c r="B767" s="149"/>
      <c r="C767" s="149"/>
      <c r="D767" s="149"/>
      <c r="E767" s="150"/>
      <c r="F767" s="143"/>
      <c r="G767" s="143"/>
      <c r="H767" s="151"/>
      <c r="I767" s="151"/>
      <c r="J767" s="151"/>
      <c r="K767" s="137"/>
    </row>
    <row r="768" ht="75.0" customHeight="1">
      <c r="A768" s="137"/>
      <c r="B768" s="149"/>
      <c r="C768" s="149"/>
      <c r="D768" s="149"/>
      <c r="E768" s="150"/>
      <c r="F768" s="143"/>
      <c r="G768" s="143"/>
      <c r="H768" s="151"/>
      <c r="I768" s="151"/>
      <c r="J768" s="151"/>
      <c r="K768" s="137"/>
    </row>
    <row r="769" ht="75.0" customHeight="1">
      <c r="A769" s="137"/>
      <c r="B769" s="149"/>
      <c r="C769" s="149"/>
      <c r="D769" s="149"/>
      <c r="E769" s="150"/>
      <c r="F769" s="143"/>
      <c r="G769" s="143"/>
      <c r="H769" s="151"/>
      <c r="I769" s="151"/>
      <c r="J769" s="151"/>
      <c r="K769" s="137"/>
    </row>
    <row r="770" ht="75.0" customHeight="1">
      <c r="A770" s="137"/>
      <c r="B770" s="149"/>
      <c r="C770" s="149"/>
      <c r="D770" s="149"/>
      <c r="E770" s="150"/>
      <c r="F770" s="143"/>
      <c r="G770" s="143"/>
      <c r="H770" s="151"/>
      <c r="I770" s="151"/>
      <c r="J770" s="151"/>
      <c r="K770" s="137"/>
    </row>
    <row r="771" ht="75.0" customHeight="1">
      <c r="A771" s="137"/>
      <c r="B771" s="149"/>
      <c r="C771" s="149"/>
      <c r="D771" s="149"/>
      <c r="E771" s="150"/>
      <c r="F771" s="143"/>
      <c r="G771" s="143"/>
      <c r="H771" s="151"/>
      <c r="I771" s="151"/>
      <c r="J771" s="151"/>
      <c r="K771" s="137"/>
    </row>
    <row r="772" ht="75.0" customHeight="1">
      <c r="A772" s="137"/>
      <c r="B772" s="149"/>
      <c r="C772" s="149"/>
      <c r="D772" s="149"/>
      <c r="E772" s="150"/>
      <c r="F772" s="143"/>
      <c r="G772" s="143"/>
      <c r="H772" s="151"/>
      <c r="I772" s="151"/>
      <c r="J772" s="151"/>
      <c r="K772" s="137"/>
    </row>
    <row r="773" ht="75.0" customHeight="1">
      <c r="A773" s="137"/>
      <c r="B773" s="149"/>
      <c r="C773" s="149"/>
      <c r="D773" s="149"/>
      <c r="E773" s="150"/>
      <c r="F773" s="143"/>
      <c r="G773" s="143"/>
      <c r="H773" s="151"/>
      <c r="I773" s="151"/>
      <c r="J773" s="151"/>
      <c r="K773" s="137"/>
    </row>
    <row r="774" ht="75.0" customHeight="1">
      <c r="A774" s="137"/>
      <c r="B774" s="149"/>
      <c r="C774" s="149"/>
      <c r="D774" s="149"/>
      <c r="E774" s="150"/>
      <c r="F774" s="143"/>
      <c r="G774" s="143"/>
      <c r="H774" s="151"/>
      <c r="I774" s="151"/>
      <c r="J774" s="151"/>
      <c r="K774" s="137"/>
    </row>
    <row r="775" ht="75.0" customHeight="1">
      <c r="A775" s="137"/>
      <c r="B775" s="149"/>
      <c r="C775" s="149"/>
      <c r="D775" s="149"/>
      <c r="E775" s="150"/>
      <c r="F775" s="143"/>
      <c r="G775" s="143"/>
      <c r="H775" s="151"/>
      <c r="I775" s="151"/>
      <c r="J775" s="151"/>
      <c r="K775" s="137"/>
    </row>
    <row r="776" ht="75.0" customHeight="1">
      <c r="A776" s="137"/>
      <c r="B776" s="149"/>
      <c r="C776" s="149"/>
      <c r="D776" s="149"/>
      <c r="E776" s="150"/>
      <c r="F776" s="143"/>
      <c r="G776" s="143"/>
      <c r="H776" s="151"/>
      <c r="I776" s="151"/>
      <c r="J776" s="151"/>
      <c r="K776" s="137"/>
    </row>
    <row r="777" ht="75.0" customHeight="1">
      <c r="A777" s="137"/>
      <c r="B777" s="149"/>
      <c r="C777" s="149"/>
      <c r="D777" s="149"/>
      <c r="E777" s="150"/>
      <c r="F777" s="143"/>
      <c r="G777" s="143"/>
      <c r="H777" s="151"/>
      <c r="I777" s="151"/>
      <c r="J777" s="151"/>
      <c r="K777" s="137"/>
    </row>
    <row r="778" ht="75.0" customHeight="1">
      <c r="A778" s="137"/>
      <c r="B778" s="149"/>
      <c r="C778" s="149"/>
      <c r="D778" s="149"/>
      <c r="E778" s="150"/>
      <c r="F778" s="143"/>
      <c r="G778" s="143"/>
      <c r="H778" s="151"/>
      <c r="I778" s="151"/>
      <c r="J778" s="151"/>
      <c r="K778" s="137"/>
    </row>
    <row r="779" ht="75.0" customHeight="1">
      <c r="A779" s="137"/>
      <c r="B779" s="149"/>
      <c r="C779" s="149"/>
      <c r="D779" s="149"/>
      <c r="E779" s="150"/>
      <c r="F779" s="143"/>
      <c r="G779" s="143"/>
      <c r="H779" s="151"/>
      <c r="I779" s="151"/>
      <c r="J779" s="151"/>
      <c r="K779" s="137"/>
    </row>
    <row r="780" ht="75.0" customHeight="1">
      <c r="A780" s="137"/>
      <c r="B780" s="149"/>
      <c r="C780" s="149"/>
      <c r="D780" s="149"/>
      <c r="E780" s="150"/>
      <c r="F780" s="143"/>
      <c r="G780" s="143"/>
      <c r="H780" s="151"/>
      <c r="I780" s="151"/>
      <c r="J780" s="151"/>
      <c r="K780" s="137"/>
    </row>
    <row r="781" ht="75.0" customHeight="1">
      <c r="A781" s="137"/>
      <c r="B781" s="149"/>
      <c r="C781" s="149"/>
      <c r="D781" s="149"/>
      <c r="E781" s="150"/>
      <c r="F781" s="143"/>
      <c r="G781" s="143"/>
      <c r="H781" s="151"/>
      <c r="I781" s="151"/>
      <c r="J781" s="151"/>
      <c r="K781" s="137"/>
    </row>
    <row r="782" ht="75.0" customHeight="1">
      <c r="A782" s="137"/>
      <c r="B782" s="149"/>
      <c r="C782" s="149"/>
      <c r="D782" s="149"/>
      <c r="E782" s="150"/>
      <c r="F782" s="143"/>
      <c r="G782" s="143"/>
      <c r="H782" s="151"/>
      <c r="I782" s="151"/>
      <c r="J782" s="151"/>
      <c r="K782" s="137"/>
    </row>
    <row r="783" ht="75.0" customHeight="1">
      <c r="A783" s="137"/>
      <c r="B783" s="149"/>
      <c r="C783" s="149"/>
      <c r="D783" s="149"/>
      <c r="E783" s="150"/>
      <c r="F783" s="143"/>
      <c r="G783" s="143"/>
      <c r="H783" s="151"/>
      <c r="I783" s="151"/>
      <c r="J783" s="151"/>
      <c r="K783" s="137"/>
    </row>
    <row r="784" ht="75.0" customHeight="1">
      <c r="A784" s="137"/>
      <c r="B784" s="149"/>
      <c r="C784" s="149"/>
      <c r="D784" s="149"/>
      <c r="E784" s="150"/>
      <c r="F784" s="143"/>
      <c r="G784" s="143"/>
      <c r="H784" s="151"/>
      <c r="I784" s="151"/>
      <c r="J784" s="151"/>
      <c r="K784" s="137"/>
    </row>
    <row r="785" ht="75.0" customHeight="1">
      <c r="A785" s="137"/>
      <c r="B785" s="149"/>
      <c r="C785" s="149"/>
      <c r="D785" s="149"/>
      <c r="E785" s="150"/>
      <c r="F785" s="143"/>
      <c r="G785" s="143"/>
      <c r="H785" s="151"/>
      <c r="I785" s="151"/>
      <c r="J785" s="151"/>
      <c r="K785" s="137"/>
    </row>
    <row r="786" ht="75.0" customHeight="1">
      <c r="A786" s="137"/>
      <c r="B786" s="149"/>
      <c r="C786" s="149"/>
      <c r="D786" s="149"/>
      <c r="E786" s="150"/>
      <c r="F786" s="143"/>
      <c r="G786" s="143"/>
      <c r="H786" s="151"/>
      <c r="I786" s="151"/>
      <c r="J786" s="151"/>
      <c r="K786" s="137"/>
    </row>
    <row r="787" ht="75.0" customHeight="1">
      <c r="A787" s="137"/>
      <c r="B787" s="149"/>
      <c r="C787" s="149"/>
      <c r="D787" s="149"/>
      <c r="E787" s="150"/>
      <c r="F787" s="143"/>
      <c r="G787" s="143"/>
      <c r="H787" s="151"/>
      <c r="I787" s="151"/>
      <c r="J787" s="151"/>
      <c r="K787" s="137"/>
    </row>
    <row r="788" ht="75.0" customHeight="1">
      <c r="A788" s="137"/>
      <c r="B788" s="149"/>
      <c r="C788" s="149"/>
      <c r="D788" s="149"/>
      <c r="E788" s="150"/>
      <c r="F788" s="143"/>
      <c r="G788" s="143"/>
      <c r="H788" s="151"/>
      <c r="I788" s="151"/>
      <c r="J788" s="151"/>
      <c r="K788" s="137"/>
    </row>
    <row r="789" ht="75.0" customHeight="1">
      <c r="A789" s="137"/>
      <c r="B789" s="149"/>
      <c r="C789" s="149"/>
      <c r="D789" s="149"/>
      <c r="E789" s="150"/>
      <c r="F789" s="143"/>
      <c r="G789" s="143"/>
      <c r="H789" s="151"/>
      <c r="I789" s="151"/>
      <c r="J789" s="151"/>
      <c r="K789" s="137"/>
    </row>
    <row r="790" ht="75.0" customHeight="1">
      <c r="A790" s="137"/>
      <c r="B790" s="149"/>
      <c r="C790" s="149"/>
      <c r="D790" s="149"/>
      <c r="E790" s="150"/>
      <c r="F790" s="143"/>
      <c r="G790" s="143"/>
      <c r="H790" s="151"/>
      <c r="I790" s="151"/>
      <c r="J790" s="151"/>
      <c r="K790" s="137"/>
    </row>
    <row r="791" ht="75.0" customHeight="1">
      <c r="A791" s="137"/>
      <c r="B791" s="149"/>
      <c r="C791" s="149"/>
      <c r="D791" s="149"/>
      <c r="E791" s="150"/>
      <c r="F791" s="143"/>
      <c r="G791" s="143"/>
      <c r="H791" s="151"/>
      <c r="I791" s="151"/>
      <c r="J791" s="151"/>
      <c r="K791" s="137"/>
    </row>
    <row r="792" ht="75.0" customHeight="1">
      <c r="A792" s="137"/>
      <c r="B792" s="149"/>
      <c r="C792" s="149"/>
      <c r="D792" s="149"/>
      <c r="E792" s="150"/>
      <c r="F792" s="143"/>
      <c r="G792" s="143"/>
      <c r="H792" s="151"/>
      <c r="I792" s="151"/>
      <c r="J792" s="151"/>
      <c r="K792" s="137"/>
    </row>
    <row r="793" ht="75.0" customHeight="1">
      <c r="A793" s="137"/>
      <c r="B793" s="149"/>
      <c r="C793" s="149"/>
      <c r="D793" s="149"/>
      <c r="E793" s="150"/>
      <c r="F793" s="143"/>
      <c r="G793" s="143"/>
      <c r="H793" s="151"/>
      <c r="I793" s="151"/>
      <c r="J793" s="151"/>
      <c r="K793" s="137"/>
    </row>
    <row r="794" ht="75.0" customHeight="1">
      <c r="A794" s="137"/>
      <c r="B794" s="149"/>
      <c r="C794" s="149"/>
      <c r="D794" s="149"/>
      <c r="E794" s="150"/>
      <c r="F794" s="143"/>
      <c r="G794" s="143"/>
      <c r="H794" s="151"/>
      <c r="I794" s="151"/>
      <c r="J794" s="151"/>
      <c r="K794" s="137"/>
    </row>
    <row r="795" ht="75.0" customHeight="1">
      <c r="A795" s="137"/>
      <c r="B795" s="149"/>
      <c r="C795" s="149"/>
      <c r="D795" s="149"/>
      <c r="E795" s="150"/>
      <c r="F795" s="143"/>
      <c r="G795" s="143"/>
      <c r="H795" s="151"/>
      <c r="I795" s="151"/>
      <c r="J795" s="151"/>
      <c r="K795" s="137"/>
    </row>
    <row r="796" ht="75.0" customHeight="1">
      <c r="A796" s="137"/>
      <c r="B796" s="149"/>
      <c r="C796" s="149"/>
      <c r="D796" s="149"/>
      <c r="E796" s="150"/>
      <c r="F796" s="143"/>
      <c r="G796" s="143"/>
      <c r="H796" s="151"/>
      <c r="I796" s="151"/>
      <c r="J796" s="151"/>
      <c r="K796" s="137"/>
    </row>
    <row r="797" ht="75.0" customHeight="1">
      <c r="A797" s="137"/>
      <c r="B797" s="149"/>
      <c r="C797" s="149"/>
      <c r="D797" s="149"/>
      <c r="E797" s="150"/>
      <c r="F797" s="143"/>
      <c r="G797" s="143"/>
      <c r="H797" s="151"/>
      <c r="I797" s="151"/>
      <c r="J797" s="151"/>
      <c r="K797" s="137"/>
    </row>
    <row r="798" ht="75.0" customHeight="1">
      <c r="A798" s="137"/>
      <c r="B798" s="149"/>
      <c r="C798" s="149"/>
      <c r="D798" s="149"/>
      <c r="E798" s="150"/>
      <c r="F798" s="143"/>
      <c r="G798" s="143"/>
      <c r="H798" s="151"/>
      <c r="I798" s="151"/>
      <c r="J798" s="151"/>
      <c r="K798" s="137"/>
    </row>
    <row r="799" ht="75.0" customHeight="1">
      <c r="A799" s="137"/>
      <c r="B799" s="149"/>
      <c r="C799" s="149"/>
      <c r="D799" s="149"/>
      <c r="E799" s="150"/>
      <c r="F799" s="143"/>
      <c r="G799" s="143"/>
      <c r="H799" s="151"/>
      <c r="I799" s="151"/>
      <c r="J799" s="151"/>
      <c r="K799" s="137"/>
    </row>
    <row r="800" ht="75.0" customHeight="1">
      <c r="A800" s="137"/>
      <c r="B800" s="149"/>
      <c r="C800" s="149"/>
      <c r="D800" s="149"/>
      <c r="E800" s="150"/>
      <c r="F800" s="143"/>
      <c r="G800" s="143"/>
      <c r="H800" s="151"/>
      <c r="I800" s="151"/>
      <c r="J800" s="151"/>
      <c r="K800" s="137"/>
    </row>
    <row r="801" ht="75.0" customHeight="1">
      <c r="A801" s="137"/>
      <c r="B801" s="149"/>
      <c r="C801" s="149"/>
      <c r="D801" s="149"/>
      <c r="E801" s="150"/>
      <c r="F801" s="143"/>
      <c r="G801" s="143"/>
      <c r="H801" s="151"/>
      <c r="I801" s="151"/>
      <c r="J801" s="151"/>
      <c r="K801" s="137"/>
    </row>
    <row r="802" ht="75.0" customHeight="1">
      <c r="A802" s="137"/>
      <c r="B802" s="149"/>
      <c r="C802" s="149"/>
      <c r="D802" s="149"/>
      <c r="E802" s="150"/>
      <c r="F802" s="143"/>
      <c r="G802" s="143"/>
      <c r="H802" s="151"/>
      <c r="I802" s="151"/>
      <c r="J802" s="151"/>
      <c r="K802" s="137"/>
    </row>
    <row r="803" ht="75.0" customHeight="1">
      <c r="A803" s="137"/>
      <c r="B803" s="149"/>
      <c r="C803" s="149"/>
      <c r="D803" s="149"/>
      <c r="E803" s="150"/>
      <c r="F803" s="143"/>
      <c r="G803" s="143"/>
      <c r="H803" s="151"/>
      <c r="I803" s="151"/>
      <c r="J803" s="151"/>
      <c r="K803" s="137"/>
    </row>
    <row r="804" ht="75.0" customHeight="1">
      <c r="A804" s="137"/>
      <c r="B804" s="149"/>
      <c r="C804" s="149"/>
      <c r="D804" s="149"/>
      <c r="E804" s="150"/>
      <c r="F804" s="143"/>
      <c r="G804" s="143"/>
      <c r="H804" s="151"/>
      <c r="I804" s="151"/>
      <c r="J804" s="151"/>
      <c r="K804" s="137"/>
    </row>
    <row r="805" ht="75.0" customHeight="1">
      <c r="A805" s="137"/>
      <c r="B805" s="149"/>
      <c r="C805" s="149"/>
      <c r="D805" s="149"/>
      <c r="E805" s="150"/>
      <c r="F805" s="143"/>
      <c r="G805" s="143"/>
      <c r="H805" s="151"/>
      <c r="I805" s="151"/>
      <c r="J805" s="151"/>
      <c r="K805" s="137"/>
    </row>
    <row r="806" ht="75.0" customHeight="1">
      <c r="A806" s="137"/>
      <c r="B806" s="149"/>
      <c r="C806" s="149"/>
      <c r="D806" s="149"/>
      <c r="E806" s="150"/>
      <c r="F806" s="143"/>
      <c r="G806" s="143"/>
      <c r="H806" s="151"/>
      <c r="I806" s="151"/>
      <c r="J806" s="151"/>
      <c r="K806" s="137"/>
    </row>
    <row r="807" ht="75.0" customHeight="1">
      <c r="A807" s="137"/>
      <c r="B807" s="149"/>
      <c r="C807" s="149"/>
      <c r="D807" s="149"/>
      <c r="E807" s="150"/>
      <c r="F807" s="143"/>
      <c r="G807" s="143"/>
      <c r="H807" s="151"/>
      <c r="I807" s="151"/>
      <c r="J807" s="151"/>
      <c r="K807" s="137"/>
    </row>
    <row r="808" ht="75.0" customHeight="1">
      <c r="A808" s="137"/>
      <c r="B808" s="149"/>
      <c r="C808" s="149"/>
      <c r="D808" s="149"/>
      <c r="E808" s="150"/>
      <c r="F808" s="143"/>
      <c r="G808" s="143"/>
      <c r="H808" s="151"/>
      <c r="I808" s="151"/>
      <c r="J808" s="151"/>
      <c r="K808" s="137"/>
    </row>
    <row r="809" ht="75.0" customHeight="1">
      <c r="A809" s="137"/>
      <c r="B809" s="149"/>
      <c r="C809" s="149"/>
      <c r="D809" s="149"/>
      <c r="E809" s="150"/>
      <c r="F809" s="143"/>
      <c r="G809" s="143"/>
      <c r="H809" s="151"/>
      <c r="I809" s="151"/>
      <c r="J809" s="151"/>
      <c r="K809" s="137"/>
    </row>
    <row r="810" ht="75.0" customHeight="1">
      <c r="A810" s="137"/>
      <c r="B810" s="149"/>
      <c r="C810" s="149"/>
      <c r="D810" s="149"/>
      <c r="E810" s="150"/>
      <c r="F810" s="143"/>
      <c r="G810" s="143"/>
      <c r="H810" s="151"/>
      <c r="I810" s="151"/>
      <c r="J810" s="151"/>
      <c r="K810" s="137"/>
    </row>
    <row r="811" ht="75.0" customHeight="1">
      <c r="A811" s="137"/>
      <c r="B811" s="149"/>
      <c r="C811" s="149"/>
      <c r="D811" s="149"/>
      <c r="E811" s="150"/>
      <c r="F811" s="143"/>
      <c r="G811" s="143"/>
      <c r="H811" s="151"/>
      <c r="I811" s="151"/>
      <c r="J811" s="151"/>
      <c r="K811" s="137"/>
    </row>
    <row r="812" ht="75.0" customHeight="1">
      <c r="A812" s="137"/>
      <c r="B812" s="149"/>
      <c r="C812" s="149"/>
      <c r="D812" s="149"/>
      <c r="E812" s="150"/>
      <c r="F812" s="143"/>
      <c r="G812" s="143"/>
      <c r="H812" s="151"/>
      <c r="I812" s="151"/>
      <c r="J812" s="151"/>
      <c r="K812" s="137"/>
    </row>
    <row r="813" ht="75.0" customHeight="1">
      <c r="A813" s="137"/>
      <c r="B813" s="149"/>
      <c r="C813" s="149"/>
      <c r="D813" s="149"/>
      <c r="E813" s="150"/>
      <c r="F813" s="143"/>
      <c r="G813" s="143"/>
      <c r="H813" s="151"/>
      <c r="I813" s="151"/>
      <c r="J813" s="151"/>
      <c r="K813" s="137"/>
    </row>
    <row r="814" ht="75.0" customHeight="1">
      <c r="A814" s="137"/>
      <c r="B814" s="149"/>
      <c r="C814" s="149"/>
      <c r="D814" s="149"/>
      <c r="E814" s="150"/>
      <c r="F814" s="143"/>
      <c r="G814" s="143"/>
      <c r="H814" s="151"/>
      <c r="I814" s="151"/>
      <c r="J814" s="151"/>
      <c r="K814" s="137"/>
    </row>
    <row r="815" ht="75.0" customHeight="1">
      <c r="A815" s="137"/>
      <c r="B815" s="149"/>
      <c r="C815" s="149"/>
      <c r="D815" s="149"/>
      <c r="E815" s="150"/>
      <c r="F815" s="143"/>
      <c r="G815" s="143"/>
      <c r="H815" s="151"/>
      <c r="I815" s="151"/>
      <c r="J815" s="151"/>
      <c r="K815" s="137"/>
    </row>
    <row r="816" ht="75.0" customHeight="1">
      <c r="A816" s="137"/>
      <c r="B816" s="149"/>
      <c r="C816" s="149"/>
      <c r="D816" s="149"/>
      <c r="E816" s="150"/>
      <c r="F816" s="143"/>
      <c r="G816" s="143"/>
      <c r="H816" s="151"/>
      <c r="I816" s="151"/>
      <c r="J816" s="151"/>
      <c r="K816" s="137"/>
    </row>
    <row r="817" ht="75.0" customHeight="1">
      <c r="A817" s="137"/>
      <c r="B817" s="149"/>
      <c r="C817" s="149"/>
      <c r="D817" s="149"/>
      <c r="E817" s="150"/>
      <c r="F817" s="143"/>
      <c r="G817" s="143"/>
      <c r="H817" s="151"/>
      <c r="I817" s="151"/>
      <c r="J817" s="151"/>
      <c r="K817" s="137"/>
    </row>
    <row r="818" ht="75.0" customHeight="1">
      <c r="A818" s="137"/>
      <c r="B818" s="149"/>
      <c r="C818" s="149"/>
      <c r="D818" s="149"/>
      <c r="E818" s="150"/>
      <c r="F818" s="143"/>
      <c r="G818" s="143"/>
      <c r="H818" s="151"/>
      <c r="I818" s="151"/>
      <c r="J818" s="151"/>
      <c r="K818" s="137"/>
    </row>
    <row r="819" ht="75.0" customHeight="1">
      <c r="A819" s="137"/>
      <c r="B819" s="149"/>
      <c r="C819" s="149"/>
      <c r="D819" s="149"/>
      <c r="E819" s="150"/>
      <c r="F819" s="143"/>
      <c r="G819" s="143"/>
      <c r="H819" s="151"/>
      <c r="I819" s="151"/>
      <c r="J819" s="151"/>
      <c r="K819" s="137"/>
    </row>
    <row r="820" ht="75.0" customHeight="1">
      <c r="A820" s="137"/>
      <c r="B820" s="149"/>
      <c r="C820" s="149"/>
      <c r="D820" s="149"/>
      <c r="E820" s="150"/>
      <c r="F820" s="143"/>
      <c r="G820" s="143"/>
      <c r="H820" s="151"/>
      <c r="I820" s="151"/>
      <c r="J820" s="151"/>
      <c r="K820" s="137"/>
    </row>
    <row r="821" ht="75.0" customHeight="1">
      <c r="A821" s="137"/>
      <c r="B821" s="149"/>
      <c r="C821" s="149"/>
      <c r="D821" s="149"/>
      <c r="E821" s="150"/>
      <c r="F821" s="143"/>
      <c r="G821" s="143"/>
      <c r="H821" s="151"/>
      <c r="I821" s="151"/>
      <c r="J821" s="151"/>
      <c r="K821" s="137"/>
    </row>
    <row r="822" ht="75.0" customHeight="1">
      <c r="A822" s="137"/>
      <c r="B822" s="149"/>
      <c r="C822" s="149"/>
      <c r="D822" s="149"/>
      <c r="E822" s="150"/>
      <c r="F822" s="143"/>
      <c r="G822" s="143"/>
      <c r="H822" s="151"/>
      <c r="I822" s="151"/>
      <c r="J822" s="151"/>
      <c r="K822" s="137"/>
    </row>
    <row r="823" ht="75.0" customHeight="1">
      <c r="A823" s="137"/>
      <c r="B823" s="149"/>
      <c r="C823" s="149"/>
      <c r="D823" s="149"/>
      <c r="E823" s="150"/>
      <c r="F823" s="143"/>
      <c r="G823" s="143"/>
      <c r="H823" s="151"/>
      <c r="I823" s="151"/>
      <c r="J823" s="151"/>
      <c r="K823" s="137"/>
    </row>
    <row r="824" ht="75.0" customHeight="1">
      <c r="A824" s="137"/>
      <c r="B824" s="149"/>
      <c r="C824" s="149"/>
      <c r="D824" s="149"/>
      <c r="E824" s="150"/>
      <c r="F824" s="143"/>
      <c r="G824" s="143"/>
      <c r="H824" s="151"/>
      <c r="I824" s="151"/>
      <c r="J824" s="151"/>
      <c r="K824" s="137"/>
    </row>
    <row r="825" ht="75.0" customHeight="1">
      <c r="A825" s="137"/>
      <c r="B825" s="149"/>
      <c r="C825" s="149"/>
      <c r="D825" s="149"/>
      <c r="E825" s="150"/>
      <c r="F825" s="143"/>
      <c r="G825" s="143"/>
      <c r="H825" s="151"/>
      <c r="I825" s="151"/>
      <c r="J825" s="151"/>
      <c r="K825" s="137"/>
    </row>
    <row r="826" ht="75.0" customHeight="1">
      <c r="A826" s="137"/>
      <c r="B826" s="149"/>
      <c r="C826" s="149"/>
      <c r="D826" s="149"/>
      <c r="E826" s="150"/>
      <c r="F826" s="143"/>
      <c r="G826" s="143"/>
      <c r="H826" s="151"/>
      <c r="I826" s="151"/>
      <c r="J826" s="151"/>
      <c r="K826" s="137"/>
    </row>
    <row r="827" ht="75.0" customHeight="1">
      <c r="A827" s="137"/>
      <c r="B827" s="149"/>
      <c r="C827" s="149"/>
      <c r="D827" s="149"/>
      <c r="E827" s="150"/>
      <c r="F827" s="143"/>
      <c r="G827" s="143"/>
      <c r="H827" s="151"/>
      <c r="I827" s="151"/>
      <c r="J827" s="151"/>
      <c r="K827" s="137"/>
    </row>
    <row r="828" ht="75.0" customHeight="1">
      <c r="A828" s="137"/>
      <c r="B828" s="149"/>
      <c r="C828" s="149"/>
      <c r="D828" s="149"/>
      <c r="E828" s="150"/>
      <c r="F828" s="143"/>
      <c r="G828" s="143"/>
      <c r="H828" s="151"/>
      <c r="I828" s="151"/>
      <c r="J828" s="151"/>
      <c r="K828" s="137"/>
    </row>
    <row r="829" ht="75.0" customHeight="1">
      <c r="A829" s="137"/>
      <c r="B829" s="149"/>
      <c r="C829" s="149"/>
      <c r="D829" s="149"/>
      <c r="E829" s="150"/>
      <c r="F829" s="143"/>
      <c r="G829" s="143"/>
      <c r="H829" s="151"/>
      <c r="I829" s="151"/>
      <c r="J829" s="151"/>
      <c r="K829" s="137"/>
    </row>
    <row r="830" ht="75.0" customHeight="1">
      <c r="A830" s="137"/>
      <c r="B830" s="149"/>
      <c r="C830" s="149"/>
      <c r="D830" s="149"/>
      <c r="E830" s="150"/>
      <c r="F830" s="143"/>
      <c r="G830" s="143"/>
      <c r="H830" s="151"/>
      <c r="I830" s="151"/>
      <c r="J830" s="151"/>
      <c r="K830" s="137"/>
    </row>
    <row r="831" ht="75.0" customHeight="1">
      <c r="A831" s="137"/>
      <c r="B831" s="149"/>
      <c r="C831" s="149"/>
      <c r="D831" s="149"/>
      <c r="E831" s="150"/>
      <c r="F831" s="143"/>
      <c r="G831" s="143"/>
      <c r="H831" s="151"/>
      <c r="I831" s="151"/>
      <c r="J831" s="151"/>
      <c r="K831" s="137"/>
    </row>
    <row r="832" ht="75.0" customHeight="1">
      <c r="A832" s="137"/>
      <c r="B832" s="149"/>
      <c r="C832" s="149"/>
      <c r="D832" s="149"/>
      <c r="E832" s="150"/>
      <c r="F832" s="143"/>
      <c r="G832" s="143"/>
      <c r="H832" s="151"/>
      <c r="I832" s="151"/>
      <c r="J832" s="151"/>
      <c r="K832" s="137"/>
    </row>
    <row r="833" ht="75.0" customHeight="1">
      <c r="A833" s="137"/>
      <c r="B833" s="149"/>
      <c r="C833" s="149"/>
      <c r="D833" s="149"/>
      <c r="E833" s="150"/>
      <c r="F833" s="143"/>
      <c r="G833" s="143"/>
      <c r="H833" s="151"/>
      <c r="I833" s="151"/>
      <c r="J833" s="151"/>
      <c r="K833" s="137"/>
    </row>
    <row r="834" ht="75.0" customHeight="1">
      <c r="A834" s="137"/>
      <c r="B834" s="149"/>
      <c r="C834" s="149"/>
      <c r="D834" s="149"/>
      <c r="E834" s="150"/>
      <c r="F834" s="143"/>
      <c r="G834" s="143"/>
      <c r="H834" s="151"/>
      <c r="I834" s="151"/>
      <c r="J834" s="151"/>
      <c r="K834" s="137"/>
    </row>
    <row r="835" ht="75.0" customHeight="1">
      <c r="A835" s="137"/>
      <c r="B835" s="149"/>
      <c r="C835" s="149"/>
      <c r="D835" s="149"/>
      <c r="E835" s="150"/>
      <c r="F835" s="143"/>
      <c r="G835" s="143"/>
      <c r="H835" s="151"/>
      <c r="I835" s="151"/>
      <c r="J835" s="151"/>
      <c r="K835" s="137"/>
    </row>
    <row r="836" ht="75.0" customHeight="1">
      <c r="A836" s="137"/>
      <c r="B836" s="149"/>
      <c r="C836" s="149"/>
      <c r="D836" s="149"/>
      <c r="E836" s="150"/>
      <c r="F836" s="143"/>
      <c r="G836" s="143"/>
      <c r="H836" s="151"/>
      <c r="I836" s="151"/>
      <c r="J836" s="151"/>
      <c r="K836" s="137"/>
    </row>
    <row r="837" ht="75.0" customHeight="1">
      <c r="A837" s="137"/>
      <c r="B837" s="149"/>
      <c r="C837" s="149"/>
      <c r="D837" s="149"/>
      <c r="E837" s="150"/>
      <c r="F837" s="143"/>
      <c r="G837" s="143"/>
      <c r="H837" s="151"/>
      <c r="I837" s="151"/>
      <c r="J837" s="151"/>
      <c r="K837" s="137"/>
    </row>
    <row r="838" ht="75.0" customHeight="1">
      <c r="A838" s="137"/>
      <c r="B838" s="149"/>
      <c r="C838" s="149"/>
      <c r="D838" s="149"/>
      <c r="E838" s="150"/>
      <c r="F838" s="143"/>
      <c r="G838" s="143"/>
      <c r="H838" s="151"/>
      <c r="I838" s="151"/>
      <c r="J838" s="151"/>
      <c r="K838" s="137"/>
    </row>
    <row r="839" ht="75.0" customHeight="1">
      <c r="A839" s="137"/>
      <c r="B839" s="149"/>
      <c r="C839" s="149"/>
      <c r="D839" s="149"/>
      <c r="E839" s="150"/>
      <c r="F839" s="143"/>
      <c r="G839" s="143"/>
      <c r="H839" s="151"/>
      <c r="I839" s="151"/>
      <c r="J839" s="151"/>
      <c r="K839" s="137"/>
    </row>
    <row r="840" ht="75.0" customHeight="1">
      <c r="A840" s="137"/>
      <c r="B840" s="149"/>
      <c r="C840" s="149"/>
      <c r="D840" s="149"/>
      <c r="E840" s="150"/>
      <c r="F840" s="143"/>
      <c r="G840" s="143"/>
      <c r="H840" s="151"/>
      <c r="I840" s="151"/>
      <c r="J840" s="151"/>
      <c r="K840" s="137"/>
    </row>
    <row r="841" ht="75.0" customHeight="1">
      <c r="A841" s="137"/>
      <c r="B841" s="149"/>
      <c r="C841" s="149"/>
      <c r="D841" s="149"/>
      <c r="E841" s="150"/>
      <c r="F841" s="143"/>
      <c r="G841" s="143"/>
      <c r="H841" s="151"/>
      <c r="I841" s="151"/>
      <c r="J841" s="151"/>
      <c r="K841" s="137"/>
    </row>
    <row r="842" ht="75.0" customHeight="1">
      <c r="A842" s="137"/>
      <c r="B842" s="149"/>
      <c r="C842" s="149"/>
      <c r="D842" s="149"/>
      <c r="E842" s="150"/>
      <c r="F842" s="143"/>
      <c r="G842" s="143"/>
      <c r="H842" s="151"/>
      <c r="I842" s="151"/>
      <c r="J842" s="151"/>
      <c r="K842" s="137"/>
    </row>
    <row r="843" ht="75.0" customHeight="1">
      <c r="A843" s="137"/>
      <c r="B843" s="149"/>
      <c r="C843" s="149"/>
      <c r="D843" s="149"/>
      <c r="E843" s="150"/>
      <c r="F843" s="143"/>
      <c r="G843" s="143"/>
      <c r="H843" s="151"/>
      <c r="I843" s="151"/>
      <c r="J843" s="151"/>
      <c r="K843" s="137"/>
    </row>
    <row r="844" ht="75.0" customHeight="1">
      <c r="A844" s="137"/>
      <c r="B844" s="149"/>
      <c r="C844" s="149"/>
      <c r="D844" s="149"/>
      <c r="E844" s="150"/>
      <c r="F844" s="143"/>
      <c r="G844" s="143"/>
      <c r="H844" s="151"/>
      <c r="I844" s="151"/>
      <c r="J844" s="151"/>
      <c r="K844" s="137"/>
    </row>
    <row r="845" ht="75.0" customHeight="1">
      <c r="A845" s="137"/>
      <c r="B845" s="149"/>
      <c r="C845" s="149"/>
      <c r="D845" s="149"/>
      <c r="E845" s="150"/>
      <c r="F845" s="143"/>
      <c r="G845" s="143"/>
      <c r="H845" s="151"/>
      <c r="I845" s="151"/>
      <c r="J845" s="151"/>
      <c r="K845" s="137"/>
    </row>
    <row r="846" ht="75.0" customHeight="1">
      <c r="A846" s="137"/>
      <c r="B846" s="149"/>
      <c r="C846" s="149"/>
      <c r="D846" s="149"/>
      <c r="E846" s="150"/>
      <c r="F846" s="143"/>
      <c r="G846" s="143"/>
      <c r="H846" s="151"/>
      <c r="I846" s="151"/>
      <c r="J846" s="151"/>
      <c r="K846" s="137"/>
    </row>
    <row r="847" ht="75.0" customHeight="1">
      <c r="A847" s="137"/>
      <c r="B847" s="149"/>
      <c r="C847" s="149"/>
      <c r="D847" s="149"/>
      <c r="E847" s="150"/>
      <c r="F847" s="143"/>
      <c r="G847" s="143"/>
      <c r="H847" s="151"/>
      <c r="I847" s="151"/>
      <c r="J847" s="151"/>
      <c r="K847" s="137"/>
    </row>
    <row r="848" ht="75.0" customHeight="1">
      <c r="A848" s="137"/>
      <c r="B848" s="149"/>
      <c r="C848" s="149"/>
      <c r="D848" s="149"/>
      <c r="E848" s="150"/>
      <c r="F848" s="143"/>
      <c r="G848" s="143"/>
      <c r="H848" s="151"/>
      <c r="I848" s="151"/>
      <c r="J848" s="151"/>
      <c r="K848" s="137"/>
    </row>
    <row r="849" ht="75.0" customHeight="1">
      <c r="A849" s="137"/>
      <c r="B849" s="149"/>
      <c r="C849" s="149"/>
      <c r="D849" s="149"/>
      <c r="E849" s="150"/>
      <c r="F849" s="143"/>
      <c r="G849" s="143"/>
      <c r="H849" s="151"/>
      <c r="I849" s="151"/>
      <c r="J849" s="151"/>
      <c r="K849" s="137"/>
    </row>
    <row r="850" ht="75.0" customHeight="1">
      <c r="A850" s="137"/>
      <c r="B850" s="149"/>
      <c r="C850" s="149"/>
      <c r="D850" s="149"/>
      <c r="E850" s="150"/>
      <c r="F850" s="143"/>
      <c r="G850" s="143"/>
      <c r="H850" s="151"/>
      <c r="I850" s="151"/>
      <c r="J850" s="151"/>
      <c r="K850" s="137"/>
    </row>
    <row r="851" ht="75.0" customHeight="1">
      <c r="A851" s="137"/>
      <c r="B851" s="149"/>
      <c r="C851" s="149"/>
      <c r="D851" s="149"/>
      <c r="E851" s="150"/>
      <c r="F851" s="143"/>
      <c r="G851" s="143"/>
      <c r="H851" s="151"/>
      <c r="I851" s="151"/>
      <c r="J851" s="151"/>
      <c r="K851" s="137"/>
    </row>
    <row r="852" ht="75.0" customHeight="1">
      <c r="A852" s="137"/>
      <c r="B852" s="149"/>
      <c r="C852" s="149"/>
      <c r="D852" s="149"/>
      <c r="E852" s="150"/>
      <c r="F852" s="143"/>
      <c r="G852" s="143"/>
      <c r="H852" s="151"/>
      <c r="I852" s="151"/>
      <c r="J852" s="151"/>
      <c r="K852" s="137"/>
    </row>
    <row r="853" ht="75.0" customHeight="1">
      <c r="A853" s="137"/>
      <c r="B853" s="149"/>
      <c r="C853" s="149"/>
      <c r="D853" s="149"/>
      <c r="E853" s="150"/>
      <c r="F853" s="143"/>
      <c r="G853" s="143"/>
      <c r="H853" s="151"/>
      <c r="I853" s="151"/>
      <c r="J853" s="151"/>
      <c r="K853" s="137"/>
    </row>
    <row r="854" ht="75.0" customHeight="1">
      <c r="A854" s="137"/>
      <c r="B854" s="149"/>
      <c r="C854" s="149"/>
      <c r="D854" s="149"/>
      <c r="E854" s="150"/>
      <c r="F854" s="143"/>
      <c r="G854" s="143"/>
      <c r="H854" s="151"/>
      <c r="I854" s="151"/>
      <c r="J854" s="151"/>
      <c r="K854" s="137"/>
    </row>
    <row r="855" ht="75.0" customHeight="1">
      <c r="A855" s="137"/>
      <c r="B855" s="149"/>
      <c r="C855" s="149"/>
      <c r="D855" s="149"/>
      <c r="E855" s="150"/>
      <c r="F855" s="143"/>
      <c r="G855" s="143"/>
      <c r="H855" s="151"/>
      <c r="I855" s="151"/>
      <c r="J855" s="151"/>
      <c r="K855" s="137"/>
    </row>
    <row r="856" ht="75.0" customHeight="1">
      <c r="A856" s="137"/>
      <c r="B856" s="149"/>
      <c r="C856" s="149"/>
      <c r="D856" s="149"/>
      <c r="E856" s="150"/>
      <c r="F856" s="143"/>
      <c r="G856" s="143"/>
      <c r="H856" s="151"/>
      <c r="I856" s="151"/>
      <c r="J856" s="151"/>
      <c r="K856" s="137"/>
    </row>
    <row r="857" ht="75.0" customHeight="1">
      <c r="A857" s="137"/>
      <c r="B857" s="149"/>
      <c r="C857" s="149"/>
      <c r="D857" s="149"/>
      <c r="E857" s="150"/>
      <c r="F857" s="143"/>
      <c r="G857" s="143"/>
      <c r="H857" s="151"/>
      <c r="I857" s="151"/>
      <c r="J857" s="151"/>
      <c r="K857" s="137"/>
    </row>
    <row r="858" ht="75.0" customHeight="1">
      <c r="A858" s="137"/>
      <c r="B858" s="149"/>
      <c r="C858" s="149"/>
      <c r="D858" s="149"/>
      <c r="E858" s="150"/>
      <c r="F858" s="143"/>
      <c r="G858" s="143"/>
      <c r="H858" s="151"/>
      <c r="I858" s="151"/>
      <c r="J858" s="151"/>
      <c r="K858" s="137"/>
    </row>
    <row r="859" ht="75.0" customHeight="1">
      <c r="A859" s="137"/>
      <c r="B859" s="149"/>
      <c r="C859" s="149"/>
      <c r="D859" s="149"/>
      <c r="E859" s="150"/>
      <c r="F859" s="143"/>
      <c r="G859" s="143"/>
      <c r="H859" s="151"/>
      <c r="I859" s="151"/>
      <c r="J859" s="151"/>
      <c r="K859" s="137"/>
    </row>
    <row r="860" ht="75.0" customHeight="1">
      <c r="A860" s="137"/>
      <c r="B860" s="149"/>
      <c r="C860" s="149"/>
      <c r="D860" s="149"/>
      <c r="E860" s="150"/>
      <c r="F860" s="143"/>
      <c r="G860" s="143"/>
      <c r="H860" s="151"/>
      <c r="I860" s="151"/>
      <c r="J860" s="151"/>
      <c r="K860" s="137"/>
    </row>
    <row r="861" ht="75.0" customHeight="1">
      <c r="A861" s="137"/>
      <c r="B861" s="149"/>
      <c r="C861" s="149"/>
      <c r="D861" s="149"/>
      <c r="E861" s="150"/>
      <c r="F861" s="143"/>
      <c r="G861" s="143"/>
      <c r="H861" s="151"/>
      <c r="I861" s="151"/>
      <c r="J861" s="151"/>
      <c r="K861" s="137"/>
    </row>
    <row r="862" ht="75.0" customHeight="1">
      <c r="A862" s="137"/>
      <c r="B862" s="149"/>
      <c r="C862" s="149"/>
      <c r="D862" s="149"/>
      <c r="E862" s="150"/>
      <c r="F862" s="143"/>
      <c r="G862" s="143"/>
      <c r="H862" s="151"/>
      <c r="I862" s="151"/>
      <c r="J862" s="151"/>
      <c r="K862" s="137"/>
    </row>
    <row r="863" ht="75.0" customHeight="1">
      <c r="A863" s="137"/>
      <c r="B863" s="149"/>
      <c r="C863" s="149"/>
      <c r="D863" s="149"/>
      <c r="E863" s="150"/>
      <c r="F863" s="143"/>
      <c r="G863" s="143"/>
      <c r="H863" s="151"/>
      <c r="I863" s="151"/>
      <c r="J863" s="151"/>
      <c r="K863" s="137"/>
    </row>
    <row r="864" ht="75.0" customHeight="1">
      <c r="A864" s="137"/>
      <c r="B864" s="149"/>
      <c r="C864" s="149"/>
      <c r="D864" s="149"/>
      <c r="E864" s="150"/>
      <c r="F864" s="143"/>
      <c r="G864" s="143"/>
      <c r="H864" s="151"/>
      <c r="I864" s="151"/>
      <c r="J864" s="151"/>
      <c r="K864" s="137"/>
    </row>
    <row r="865" ht="75.0" customHeight="1">
      <c r="A865" s="137"/>
      <c r="B865" s="149"/>
      <c r="C865" s="149"/>
      <c r="D865" s="149"/>
      <c r="E865" s="150"/>
      <c r="F865" s="143"/>
      <c r="G865" s="143"/>
      <c r="H865" s="151"/>
      <c r="I865" s="151"/>
      <c r="J865" s="151"/>
      <c r="K865" s="137"/>
    </row>
    <row r="866" ht="75.0" customHeight="1">
      <c r="A866" s="137"/>
      <c r="B866" s="149"/>
      <c r="C866" s="149"/>
      <c r="D866" s="149"/>
      <c r="E866" s="150"/>
      <c r="F866" s="143"/>
      <c r="G866" s="143"/>
      <c r="H866" s="151"/>
      <c r="I866" s="151"/>
      <c r="J866" s="151"/>
      <c r="K866" s="137"/>
    </row>
    <row r="867" ht="75.0" customHeight="1">
      <c r="A867" s="137"/>
      <c r="B867" s="149"/>
      <c r="C867" s="149"/>
      <c r="D867" s="149"/>
      <c r="E867" s="150"/>
      <c r="F867" s="143"/>
      <c r="G867" s="143"/>
      <c r="H867" s="151"/>
      <c r="I867" s="151"/>
      <c r="J867" s="151"/>
      <c r="K867" s="137"/>
    </row>
    <row r="868" ht="75.0" customHeight="1">
      <c r="A868" s="137"/>
      <c r="B868" s="149"/>
      <c r="C868" s="149"/>
      <c r="D868" s="149"/>
      <c r="E868" s="150"/>
      <c r="F868" s="143"/>
      <c r="G868" s="143"/>
      <c r="H868" s="151"/>
      <c r="I868" s="151"/>
      <c r="J868" s="151"/>
      <c r="K868" s="137"/>
    </row>
    <row r="869" ht="75.0" customHeight="1">
      <c r="A869" s="137"/>
      <c r="B869" s="149"/>
      <c r="C869" s="149"/>
      <c r="D869" s="149"/>
      <c r="E869" s="150"/>
      <c r="F869" s="143"/>
      <c r="G869" s="143"/>
      <c r="H869" s="151"/>
      <c r="I869" s="151"/>
      <c r="J869" s="151"/>
      <c r="K869" s="137"/>
    </row>
    <row r="870" ht="75.0" customHeight="1">
      <c r="A870" s="137"/>
      <c r="B870" s="149"/>
      <c r="C870" s="149"/>
      <c r="D870" s="149"/>
      <c r="E870" s="150"/>
      <c r="F870" s="143"/>
      <c r="G870" s="143"/>
      <c r="H870" s="151"/>
      <c r="I870" s="151"/>
      <c r="J870" s="151"/>
      <c r="K870" s="137"/>
    </row>
    <row r="871" ht="75.0" customHeight="1">
      <c r="A871" s="137"/>
      <c r="B871" s="149"/>
      <c r="C871" s="149"/>
      <c r="D871" s="149"/>
      <c r="E871" s="150"/>
      <c r="F871" s="143"/>
      <c r="G871" s="143"/>
      <c r="H871" s="151"/>
      <c r="I871" s="151"/>
      <c r="J871" s="151"/>
      <c r="K871" s="137"/>
    </row>
    <row r="872" ht="75.0" customHeight="1">
      <c r="A872" s="137"/>
      <c r="B872" s="149"/>
      <c r="C872" s="149"/>
      <c r="D872" s="149"/>
      <c r="E872" s="150"/>
      <c r="F872" s="143"/>
      <c r="G872" s="143"/>
      <c r="H872" s="151"/>
      <c r="I872" s="151"/>
      <c r="J872" s="151"/>
      <c r="K872" s="137"/>
    </row>
    <row r="873" ht="75.0" customHeight="1">
      <c r="A873" s="137"/>
      <c r="B873" s="149"/>
      <c r="C873" s="149"/>
      <c r="D873" s="149"/>
      <c r="E873" s="150"/>
      <c r="F873" s="143"/>
      <c r="G873" s="143"/>
      <c r="H873" s="151"/>
      <c r="I873" s="151"/>
      <c r="J873" s="151"/>
      <c r="K873" s="137"/>
    </row>
    <row r="874" ht="75.0" customHeight="1">
      <c r="A874" s="137"/>
      <c r="B874" s="149"/>
      <c r="C874" s="149"/>
      <c r="D874" s="149"/>
      <c r="E874" s="150"/>
      <c r="F874" s="143"/>
      <c r="G874" s="143"/>
      <c r="H874" s="151"/>
      <c r="I874" s="151"/>
      <c r="J874" s="151"/>
      <c r="K874" s="137"/>
    </row>
    <row r="875" ht="75.0" customHeight="1">
      <c r="A875" s="137"/>
      <c r="B875" s="149"/>
      <c r="C875" s="149"/>
      <c r="D875" s="149"/>
      <c r="E875" s="150"/>
      <c r="F875" s="143"/>
      <c r="G875" s="143"/>
      <c r="H875" s="151"/>
      <c r="I875" s="151"/>
      <c r="J875" s="151"/>
      <c r="K875" s="137"/>
    </row>
    <row r="876" ht="75.0" customHeight="1">
      <c r="A876" s="137"/>
      <c r="B876" s="149"/>
      <c r="C876" s="149"/>
      <c r="D876" s="149"/>
      <c r="E876" s="150"/>
      <c r="F876" s="143"/>
      <c r="G876" s="143"/>
      <c r="H876" s="151"/>
      <c r="I876" s="151"/>
      <c r="J876" s="151"/>
      <c r="K876" s="137"/>
    </row>
    <row r="877" ht="75.0" customHeight="1">
      <c r="A877" s="137"/>
      <c r="B877" s="149"/>
      <c r="C877" s="149"/>
      <c r="D877" s="149"/>
      <c r="E877" s="150"/>
      <c r="F877" s="143"/>
      <c r="G877" s="143"/>
      <c r="H877" s="151"/>
      <c r="I877" s="151"/>
      <c r="J877" s="151"/>
      <c r="K877" s="137"/>
    </row>
    <row r="878" ht="75.0" customHeight="1">
      <c r="A878" s="137"/>
      <c r="B878" s="149"/>
      <c r="C878" s="149"/>
      <c r="D878" s="149"/>
      <c r="E878" s="150"/>
      <c r="F878" s="143"/>
      <c r="G878" s="143"/>
      <c r="H878" s="151"/>
      <c r="I878" s="151"/>
      <c r="J878" s="151"/>
      <c r="K878" s="137"/>
    </row>
    <row r="879" ht="75.0" customHeight="1">
      <c r="A879" s="137"/>
      <c r="B879" s="149"/>
      <c r="C879" s="149"/>
      <c r="D879" s="149"/>
      <c r="E879" s="150"/>
      <c r="F879" s="143"/>
      <c r="G879" s="143"/>
      <c r="H879" s="151"/>
      <c r="I879" s="151"/>
      <c r="J879" s="151"/>
      <c r="K879" s="137"/>
    </row>
    <row r="880" ht="75.0" customHeight="1">
      <c r="A880" s="137"/>
      <c r="B880" s="149"/>
      <c r="C880" s="149"/>
      <c r="D880" s="149"/>
      <c r="E880" s="150"/>
      <c r="F880" s="143"/>
      <c r="G880" s="143"/>
      <c r="H880" s="151"/>
      <c r="I880" s="151"/>
      <c r="J880" s="151"/>
      <c r="K880" s="137"/>
    </row>
    <row r="881" ht="75.0" customHeight="1">
      <c r="A881" s="137"/>
      <c r="B881" s="149"/>
      <c r="C881" s="149"/>
      <c r="D881" s="149"/>
      <c r="E881" s="150"/>
      <c r="F881" s="143"/>
      <c r="G881" s="143"/>
      <c r="H881" s="151"/>
      <c r="I881" s="151"/>
      <c r="J881" s="151"/>
      <c r="K881" s="137"/>
    </row>
    <row r="882" ht="75.0" customHeight="1">
      <c r="A882" s="137"/>
      <c r="B882" s="149"/>
      <c r="C882" s="149"/>
      <c r="D882" s="149"/>
      <c r="E882" s="150"/>
      <c r="F882" s="143"/>
      <c r="G882" s="143"/>
      <c r="H882" s="151"/>
      <c r="I882" s="151"/>
      <c r="J882" s="151"/>
      <c r="K882" s="137"/>
    </row>
    <row r="883" ht="75.0" customHeight="1">
      <c r="A883" s="137"/>
      <c r="B883" s="149"/>
      <c r="C883" s="149"/>
      <c r="D883" s="149"/>
      <c r="E883" s="150"/>
      <c r="F883" s="143"/>
      <c r="G883" s="143"/>
      <c r="H883" s="151"/>
      <c r="I883" s="151"/>
      <c r="J883" s="151"/>
      <c r="K883" s="137"/>
    </row>
    <row r="884" ht="75.0" customHeight="1">
      <c r="A884" s="137"/>
      <c r="B884" s="149"/>
      <c r="C884" s="149"/>
      <c r="D884" s="149"/>
      <c r="E884" s="150"/>
      <c r="F884" s="143"/>
      <c r="G884" s="143"/>
      <c r="H884" s="151"/>
      <c r="I884" s="151"/>
      <c r="J884" s="151"/>
      <c r="K884" s="137"/>
    </row>
    <row r="885" ht="75.0" customHeight="1">
      <c r="A885" s="137"/>
      <c r="B885" s="149"/>
      <c r="C885" s="149"/>
      <c r="D885" s="149"/>
      <c r="E885" s="150"/>
      <c r="F885" s="143"/>
      <c r="G885" s="143"/>
      <c r="H885" s="151"/>
      <c r="I885" s="151"/>
      <c r="J885" s="151"/>
      <c r="K885" s="137"/>
    </row>
    <row r="886" ht="75.0" customHeight="1">
      <c r="A886" s="137"/>
      <c r="B886" s="149"/>
      <c r="C886" s="149"/>
      <c r="D886" s="149"/>
      <c r="E886" s="150"/>
      <c r="F886" s="143"/>
      <c r="G886" s="143"/>
      <c r="H886" s="151"/>
      <c r="I886" s="151"/>
      <c r="J886" s="151"/>
      <c r="K886" s="137"/>
    </row>
    <row r="887" ht="75.0" customHeight="1">
      <c r="A887" s="137"/>
      <c r="B887" s="149"/>
      <c r="C887" s="149"/>
      <c r="D887" s="149"/>
      <c r="E887" s="150"/>
      <c r="F887" s="143"/>
      <c r="G887" s="143"/>
      <c r="H887" s="151"/>
      <c r="I887" s="151"/>
      <c r="J887" s="151"/>
      <c r="K887" s="137"/>
    </row>
    <row r="888" ht="75.0" customHeight="1">
      <c r="A888" s="137"/>
      <c r="B888" s="149"/>
      <c r="C888" s="149"/>
      <c r="D888" s="149"/>
      <c r="E888" s="150"/>
      <c r="F888" s="143"/>
      <c r="G888" s="143"/>
      <c r="H888" s="151"/>
      <c r="I888" s="151"/>
      <c r="J888" s="151"/>
      <c r="K888" s="137"/>
    </row>
    <row r="889" ht="75.0" customHeight="1">
      <c r="A889" s="137"/>
      <c r="B889" s="149"/>
      <c r="C889" s="149"/>
      <c r="D889" s="149"/>
      <c r="E889" s="150"/>
      <c r="F889" s="143"/>
      <c r="G889" s="143"/>
      <c r="H889" s="151"/>
      <c r="I889" s="151"/>
      <c r="J889" s="151"/>
      <c r="K889" s="137"/>
    </row>
    <row r="890" ht="75.0" customHeight="1">
      <c r="A890" s="137"/>
      <c r="B890" s="149"/>
      <c r="C890" s="149"/>
      <c r="D890" s="149"/>
      <c r="E890" s="150"/>
      <c r="F890" s="143"/>
      <c r="G890" s="143"/>
      <c r="H890" s="151"/>
      <c r="I890" s="151"/>
      <c r="J890" s="151"/>
      <c r="K890" s="137"/>
    </row>
    <row r="891" ht="75.0" customHeight="1">
      <c r="A891" s="137"/>
      <c r="B891" s="149"/>
      <c r="C891" s="149"/>
      <c r="D891" s="149"/>
      <c r="E891" s="150"/>
      <c r="F891" s="143"/>
      <c r="G891" s="143"/>
      <c r="H891" s="151"/>
      <c r="I891" s="151"/>
      <c r="J891" s="151"/>
      <c r="K891" s="137"/>
    </row>
    <row r="892" ht="75.0" customHeight="1">
      <c r="A892" s="137"/>
      <c r="B892" s="149"/>
      <c r="C892" s="149"/>
      <c r="D892" s="149"/>
      <c r="E892" s="150"/>
      <c r="F892" s="143"/>
      <c r="G892" s="143"/>
      <c r="H892" s="151"/>
      <c r="I892" s="151"/>
      <c r="J892" s="151"/>
      <c r="K892" s="137"/>
    </row>
    <row r="893" ht="75.0" customHeight="1">
      <c r="A893" s="137"/>
      <c r="B893" s="149"/>
      <c r="C893" s="149"/>
      <c r="D893" s="149"/>
      <c r="E893" s="150"/>
      <c r="F893" s="143"/>
      <c r="G893" s="143"/>
      <c r="H893" s="151"/>
      <c r="I893" s="151"/>
      <c r="J893" s="151"/>
      <c r="K893" s="137"/>
    </row>
    <row r="894" ht="75.0" customHeight="1">
      <c r="A894" s="137"/>
      <c r="B894" s="149"/>
      <c r="C894" s="149"/>
      <c r="D894" s="149"/>
      <c r="E894" s="150"/>
      <c r="F894" s="143"/>
      <c r="G894" s="143"/>
      <c r="H894" s="151"/>
      <c r="I894" s="151"/>
      <c r="J894" s="151"/>
      <c r="K894" s="137"/>
    </row>
    <row r="895" ht="75.0" customHeight="1">
      <c r="A895" s="137"/>
      <c r="B895" s="149"/>
      <c r="C895" s="149"/>
      <c r="D895" s="149"/>
      <c r="E895" s="150"/>
      <c r="F895" s="143"/>
      <c r="G895" s="143"/>
      <c r="H895" s="151"/>
      <c r="I895" s="151"/>
      <c r="J895" s="151"/>
      <c r="K895" s="137"/>
    </row>
    <row r="896" ht="75.0" customHeight="1">
      <c r="A896" s="137"/>
      <c r="B896" s="149"/>
      <c r="C896" s="149"/>
      <c r="D896" s="149"/>
      <c r="E896" s="150"/>
      <c r="F896" s="143"/>
      <c r="G896" s="143"/>
      <c r="H896" s="151"/>
      <c r="I896" s="151"/>
      <c r="J896" s="151"/>
      <c r="K896" s="137"/>
    </row>
    <row r="897" ht="75.0" customHeight="1">
      <c r="A897" s="137"/>
      <c r="B897" s="149"/>
      <c r="C897" s="149"/>
      <c r="D897" s="149"/>
      <c r="E897" s="150"/>
      <c r="F897" s="143"/>
      <c r="G897" s="143"/>
      <c r="H897" s="151"/>
      <c r="I897" s="151"/>
      <c r="J897" s="151"/>
      <c r="K897" s="137"/>
    </row>
    <row r="898" ht="75.0" customHeight="1">
      <c r="A898" s="137"/>
      <c r="B898" s="149"/>
      <c r="C898" s="149"/>
      <c r="D898" s="149"/>
      <c r="E898" s="150"/>
      <c r="F898" s="143"/>
      <c r="G898" s="143"/>
      <c r="H898" s="151"/>
      <c r="I898" s="151"/>
      <c r="J898" s="151"/>
      <c r="K898" s="137"/>
    </row>
    <row r="899" ht="75.0" customHeight="1">
      <c r="A899" s="137"/>
      <c r="B899" s="149"/>
      <c r="C899" s="149"/>
      <c r="D899" s="149"/>
      <c r="E899" s="150"/>
      <c r="F899" s="143"/>
      <c r="G899" s="143"/>
      <c r="H899" s="151"/>
      <c r="I899" s="151"/>
      <c r="J899" s="151"/>
      <c r="K899" s="137"/>
    </row>
    <row r="900" ht="75.0" customHeight="1">
      <c r="A900" s="137"/>
      <c r="B900" s="149"/>
      <c r="C900" s="149"/>
      <c r="D900" s="149"/>
      <c r="E900" s="150"/>
      <c r="F900" s="143"/>
      <c r="G900" s="143"/>
      <c r="H900" s="151"/>
      <c r="I900" s="151"/>
      <c r="J900" s="151"/>
      <c r="K900" s="137"/>
    </row>
    <row r="901" ht="75.0" customHeight="1">
      <c r="A901" s="137"/>
      <c r="B901" s="149"/>
      <c r="C901" s="149"/>
      <c r="D901" s="149"/>
      <c r="E901" s="150"/>
      <c r="F901" s="143"/>
      <c r="G901" s="143"/>
      <c r="H901" s="151"/>
      <c r="I901" s="151"/>
      <c r="J901" s="151"/>
      <c r="K901" s="137"/>
    </row>
    <row r="902" ht="75.0" customHeight="1">
      <c r="A902" s="137"/>
      <c r="B902" s="149"/>
      <c r="C902" s="149"/>
      <c r="D902" s="149"/>
      <c r="E902" s="150"/>
      <c r="F902" s="143"/>
      <c r="G902" s="143"/>
      <c r="H902" s="151"/>
      <c r="I902" s="151"/>
      <c r="J902" s="151"/>
      <c r="K902" s="137"/>
    </row>
    <row r="903" ht="75.0" customHeight="1">
      <c r="A903" s="137"/>
      <c r="B903" s="149"/>
      <c r="C903" s="149"/>
      <c r="D903" s="149"/>
      <c r="E903" s="150"/>
      <c r="F903" s="143"/>
      <c r="G903" s="143"/>
      <c r="H903" s="151"/>
      <c r="I903" s="151"/>
      <c r="J903" s="151"/>
      <c r="K903" s="137"/>
    </row>
    <row r="904" ht="75.0" customHeight="1">
      <c r="A904" s="137"/>
      <c r="B904" s="149"/>
      <c r="C904" s="149"/>
      <c r="D904" s="149"/>
      <c r="E904" s="150"/>
      <c r="F904" s="143"/>
      <c r="G904" s="143"/>
      <c r="H904" s="151"/>
      <c r="I904" s="151"/>
      <c r="J904" s="151"/>
      <c r="K904" s="137"/>
    </row>
    <row r="905" ht="75.0" customHeight="1">
      <c r="A905" s="137"/>
      <c r="B905" s="149"/>
      <c r="C905" s="149"/>
      <c r="D905" s="149"/>
      <c r="E905" s="150"/>
      <c r="F905" s="143"/>
      <c r="G905" s="143"/>
      <c r="H905" s="151"/>
      <c r="I905" s="151"/>
      <c r="J905" s="151"/>
      <c r="K905" s="137"/>
    </row>
    <row r="906" ht="75.0" customHeight="1">
      <c r="A906" s="137"/>
      <c r="B906" s="149"/>
      <c r="C906" s="149"/>
      <c r="D906" s="149"/>
      <c r="E906" s="150"/>
      <c r="F906" s="143"/>
      <c r="G906" s="143"/>
      <c r="H906" s="151"/>
      <c r="I906" s="151"/>
      <c r="J906" s="151"/>
      <c r="K906" s="137"/>
    </row>
    <row r="907" ht="75.0" customHeight="1">
      <c r="A907" s="137"/>
      <c r="B907" s="149"/>
      <c r="C907" s="149"/>
      <c r="D907" s="149"/>
      <c r="E907" s="150"/>
      <c r="F907" s="143"/>
      <c r="G907" s="143"/>
      <c r="H907" s="151"/>
      <c r="I907" s="151"/>
      <c r="J907" s="151"/>
      <c r="K907" s="137"/>
    </row>
    <row r="908" ht="75.0" customHeight="1">
      <c r="A908" s="137"/>
      <c r="B908" s="149"/>
      <c r="C908" s="149"/>
      <c r="D908" s="149"/>
      <c r="E908" s="150"/>
      <c r="F908" s="143"/>
      <c r="G908" s="143"/>
      <c r="H908" s="151"/>
      <c r="I908" s="151"/>
      <c r="J908" s="151"/>
      <c r="K908" s="137"/>
    </row>
    <row r="909" ht="75.0" customHeight="1">
      <c r="A909" s="137"/>
      <c r="B909" s="149"/>
      <c r="C909" s="149"/>
      <c r="D909" s="149"/>
      <c r="E909" s="150"/>
      <c r="F909" s="143"/>
      <c r="G909" s="143"/>
      <c r="H909" s="151"/>
      <c r="I909" s="151"/>
      <c r="J909" s="151"/>
      <c r="K909" s="137"/>
    </row>
    <row r="910" ht="75.0" customHeight="1">
      <c r="A910" s="137"/>
      <c r="B910" s="149"/>
      <c r="C910" s="149"/>
      <c r="D910" s="149"/>
      <c r="E910" s="150"/>
      <c r="F910" s="143"/>
      <c r="G910" s="143"/>
      <c r="H910" s="151"/>
      <c r="I910" s="151"/>
      <c r="J910" s="151"/>
      <c r="K910" s="137"/>
    </row>
    <row r="911" ht="75.0" customHeight="1">
      <c r="A911" s="137"/>
      <c r="B911" s="149"/>
      <c r="C911" s="149"/>
      <c r="D911" s="149"/>
      <c r="E911" s="150"/>
      <c r="F911" s="143"/>
      <c r="G911" s="143"/>
      <c r="H911" s="151"/>
      <c r="I911" s="151"/>
      <c r="J911" s="151"/>
      <c r="K911" s="137"/>
    </row>
    <row r="912" ht="75.0" customHeight="1">
      <c r="A912" s="137"/>
      <c r="B912" s="149"/>
      <c r="C912" s="149"/>
      <c r="D912" s="149"/>
      <c r="E912" s="150"/>
      <c r="F912" s="143"/>
      <c r="G912" s="143"/>
      <c r="H912" s="151"/>
      <c r="I912" s="151"/>
      <c r="J912" s="151"/>
      <c r="K912" s="137"/>
    </row>
    <row r="913" ht="75.0" customHeight="1">
      <c r="A913" s="137"/>
      <c r="B913" s="149"/>
      <c r="C913" s="149"/>
      <c r="D913" s="149"/>
      <c r="E913" s="150"/>
      <c r="F913" s="143"/>
      <c r="G913" s="143"/>
      <c r="H913" s="151"/>
      <c r="I913" s="151"/>
      <c r="J913" s="151"/>
      <c r="K913" s="137"/>
    </row>
    <row r="914" ht="75.0" customHeight="1">
      <c r="A914" s="137"/>
      <c r="B914" s="149"/>
      <c r="C914" s="149"/>
      <c r="D914" s="149"/>
      <c r="E914" s="150"/>
      <c r="F914" s="143"/>
      <c r="G914" s="143"/>
      <c r="H914" s="151"/>
      <c r="I914" s="151"/>
      <c r="J914" s="151"/>
      <c r="K914" s="137"/>
    </row>
    <row r="915" ht="75.0" customHeight="1">
      <c r="A915" s="137"/>
      <c r="B915" s="149"/>
      <c r="C915" s="149"/>
      <c r="D915" s="149"/>
      <c r="E915" s="150"/>
      <c r="F915" s="143"/>
      <c r="G915" s="143"/>
      <c r="H915" s="151"/>
      <c r="I915" s="151"/>
      <c r="J915" s="151"/>
      <c r="K915" s="137"/>
    </row>
    <row r="916" ht="75.0" customHeight="1">
      <c r="A916" s="137"/>
      <c r="B916" s="149"/>
      <c r="C916" s="149"/>
      <c r="D916" s="149"/>
      <c r="E916" s="150"/>
      <c r="F916" s="143"/>
      <c r="G916" s="143"/>
      <c r="H916" s="151"/>
      <c r="I916" s="151"/>
      <c r="J916" s="151"/>
      <c r="K916" s="137"/>
    </row>
    <row r="917" ht="75.0" customHeight="1">
      <c r="A917" s="137"/>
      <c r="B917" s="149"/>
      <c r="C917" s="149"/>
      <c r="D917" s="149"/>
      <c r="E917" s="150"/>
      <c r="F917" s="143"/>
      <c r="G917" s="143"/>
      <c r="H917" s="151"/>
      <c r="I917" s="151"/>
      <c r="J917" s="151"/>
      <c r="K917" s="137"/>
    </row>
    <row r="918" ht="75.0" customHeight="1">
      <c r="A918" s="137"/>
      <c r="B918" s="149"/>
      <c r="C918" s="149"/>
      <c r="D918" s="149"/>
      <c r="E918" s="150"/>
      <c r="F918" s="143"/>
      <c r="G918" s="143"/>
      <c r="H918" s="151"/>
      <c r="I918" s="151"/>
      <c r="J918" s="151"/>
      <c r="K918" s="137"/>
    </row>
    <row r="919" ht="75.0" customHeight="1">
      <c r="A919" s="137"/>
      <c r="B919" s="149"/>
      <c r="C919" s="149"/>
      <c r="D919" s="149"/>
      <c r="E919" s="150"/>
      <c r="F919" s="143"/>
      <c r="G919" s="143"/>
      <c r="H919" s="151"/>
      <c r="I919" s="151"/>
      <c r="J919" s="151"/>
      <c r="K919" s="137"/>
    </row>
    <row r="920" ht="75.0" customHeight="1">
      <c r="A920" s="137"/>
      <c r="B920" s="149"/>
      <c r="C920" s="149"/>
      <c r="D920" s="149"/>
      <c r="E920" s="150"/>
      <c r="F920" s="143"/>
      <c r="G920" s="143"/>
      <c r="H920" s="151"/>
      <c r="I920" s="151"/>
      <c r="J920" s="151"/>
      <c r="K920" s="137"/>
    </row>
    <row r="921" ht="75.0" customHeight="1">
      <c r="A921" s="137"/>
      <c r="B921" s="149"/>
      <c r="C921" s="149"/>
      <c r="D921" s="149"/>
      <c r="E921" s="150"/>
      <c r="F921" s="143"/>
      <c r="G921" s="143"/>
      <c r="H921" s="151"/>
      <c r="I921" s="151"/>
      <c r="J921" s="151"/>
      <c r="K921" s="137"/>
    </row>
    <row r="922" ht="75.0" customHeight="1">
      <c r="A922" s="137"/>
      <c r="B922" s="149"/>
      <c r="C922" s="149"/>
      <c r="D922" s="149"/>
      <c r="E922" s="150"/>
      <c r="F922" s="143"/>
      <c r="G922" s="143"/>
      <c r="H922" s="151"/>
      <c r="I922" s="151"/>
      <c r="J922" s="151"/>
      <c r="K922" s="137"/>
    </row>
    <row r="923" ht="75.0" customHeight="1">
      <c r="A923" s="137"/>
      <c r="B923" s="149"/>
      <c r="C923" s="149"/>
      <c r="D923" s="149"/>
      <c r="E923" s="150"/>
      <c r="F923" s="143"/>
      <c r="G923" s="143"/>
      <c r="H923" s="151"/>
      <c r="I923" s="151"/>
      <c r="J923" s="151"/>
      <c r="K923" s="137"/>
    </row>
    <row r="924" ht="75.0" customHeight="1">
      <c r="A924" s="137"/>
      <c r="B924" s="149"/>
      <c r="C924" s="149"/>
      <c r="D924" s="149"/>
      <c r="E924" s="150"/>
      <c r="F924" s="143"/>
      <c r="G924" s="143"/>
      <c r="H924" s="151"/>
      <c r="I924" s="151"/>
      <c r="J924" s="151"/>
      <c r="K924" s="137"/>
    </row>
    <row r="925" ht="75.0" customHeight="1">
      <c r="A925" s="137"/>
      <c r="B925" s="149"/>
      <c r="C925" s="149"/>
      <c r="D925" s="149"/>
      <c r="E925" s="150"/>
      <c r="F925" s="143"/>
      <c r="G925" s="143"/>
      <c r="H925" s="151"/>
      <c r="I925" s="151"/>
      <c r="J925" s="151"/>
      <c r="K925" s="137"/>
    </row>
    <row r="926" ht="75.0" customHeight="1">
      <c r="A926" s="137"/>
      <c r="B926" s="149"/>
      <c r="C926" s="149"/>
      <c r="D926" s="149"/>
      <c r="E926" s="150"/>
      <c r="F926" s="143"/>
      <c r="G926" s="143"/>
      <c r="H926" s="151"/>
      <c r="I926" s="151"/>
      <c r="J926" s="151"/>
      <c r="K926" s="137"/>
    </row>
    <row r="927" ht="75.0" customHeight="1">
      <c r="A927" s="137"/>
      <c r="B927" s="149"/>
      <c r="C927" s="149"/>
      <c r="D927" s="149"/>
      <c r="E927" s="150"/>
      <c r="F927" s="143"/>
      <c r="G927" s="143"/>
      <c r="H927" s="151"/>
      <c r="I927" s="151"/>
      <c r="J927" s="151"/>
      <c r="K927" s="137"/>
    </row>
    <row r="928" ht="75.0" customHeight="1">
      <c r="A928" s="137"/>
      <c r="B928" s="149"/>
      <c r="C928" s="149"/>
      <c r="D928" s="149"/>
      <c r="E928" s="150"/>
      <c r="F928" s="143"/>
      <c r="G928" s="143"/>
      <c r="H928" s="151"/>
      <c r="I928" s="151"/>
      <c r="J928" s="151"/>
      <c r="K928" s="137"/>
    </row>
    <row r="929" ht="75.0" customHeight="1">
      <c r="A929" s="137"/>
      <c r="B929" s="149"/>
      <c r="C929" s="149"/>
      <c r="D929" s="149"/>
      <c r="E929" s="150"/>
      <c r="F929" s="143"/>
      <c r="G929" s="143"/>
      <c r="H929" s="151"/>
      <c r="I929" s="151"/>
      <c r="J929" s="151"/>
      <c r="K929" s="137"/>
    </row>
    <row r="930" ht="75.0" customHeight="1">
      <c r="A930" s="137"/>
      <c r="B930" s="149"/>
      <c r="C930" s="149"/>
      <c r="D930" s="149"/>
      <c r="E930" s="150"/>
      <c r="F930" s="143"/>
      <c r="G930" s="143"/>
      <c r="H930" s="151"/>
      <c r="I930" s="151"/>
      <c r="J930" s="151"/>
      <c r="K930" s="137"/>
    </row>
    <row r="931" ht="75.0" customHeight="1">
      <c r="A931" s="137"/>
      <c r="B931" s="149"/>
      <c r="C931" s="149"/>
      <c r="D931" s="149"/>
      <c r="E931" s="150"/>
      <c r="F931" s="143"/>
      <c r="G931" s="143"/>
      <c r="H931" s="151"/>
      <c r="I931" s="151"/>
      <c r="J931" s="151"/>
      <c r="K931" s="137"/>
    </row>
    <row r="932" ht="75.0" customHeight="1">
      <c r="A932" s="137"/>
      <c r="B932" s="149"/>
      <c r="C932" s="149"/>
      <c r="D932" s="149"/>
      <c r="E932" s="150"/>
      <c r="F932" s="143"/>
      <c r="G932" s="143"/>
      <c r="H932" s="151"/>
      <c r="I932" s="151"/>
      <c r="J932" s="151"/>
      <c r="K932" s="137"/>
    </row>
    <row r="933" ht="75.0" customHeight="1">
      <c r="A933" s="137"/>
      <c r="B933" s="149"/>
      <c r="C933" s="149"/>
      <c r="D933" s="149"/>
      <c r="E933" s="150"/>
      <c r="F933" s="143"/>
      <c r="G933" s="143"/>
      <c r="H933" s="151"/>
      <c r="I933" s="151"/>
      <c r="J933" s="151"/>
      <c r="K933" s="137"/>
    </row>
    <row r="934" ht="75.0" customHeight="1">
      <c r="A934" s="137"/>
      <c r="B934" s="149"/>
      <c r="C934" s="149"/>
      <c r="D934" s="149"/>
      <c r="E934" s="150"/>
      <c r="F934" s="143"/>
      <c r="G934" s="143"/>
      <c r="H934" s="151"/>
      <c r="I934" s="151"/>
      <c r="J934" s="151"/>
      <c r="K934" s="137"/>
    </row>
    <row r="935" ht="75.0" customHeight="1">
      <c r="A935" s="137"/>
      <c r="B935" s="149"/>
      <c r="C935" s="149"/>
      <c r="D935" s="149"/>
      <c r="E935" s="150"/>
      <c r="F935" s="143"/>
      <c r="G935" s="143"/>
      <c r="H935" s="151"/>
      <c r="I935" s="151"/>
      <c r="J935" s="151"/>
      <c r="K935" s="137"/>
    </row>
    <row r="936" ht="75.0" customHeight="1">
      <c r="A936" s="137"/>
      <c r="B936" s="149"/>
      <c r="C936" s="149"/>
      <c r="D936" s="149"/>
      <c r="E936" s="150"/>
      <c r="F936" s="143"/>
      <c r="G936" s="143"/>
      <c r="H936" s="151"/>
      <c r="I936" s="151"/>
      <c r="J936" s="151"/>
      <c r="K936" s="137"/>
    </row>
    <row r="937" ht="75.0" customHeight="1">
      <c r="A937" s="137"/>
      <c r="B937" s="149"/>
      <c r="C937" s="149"/>
      <c r="D937" s="149"/>
      <c r="E937" s="150"/>
      <c r="F937" s="143"/>
      <c r="G937" s="143"/>
      <c r="H937" s="151"/>
      <c r="I937" s="151"/>
      <c r="J937" s="151"/>
      <c r="K937" s="137"/>
    </row>
    <row r="938" ht="75.0" customHeight="1">
      <c r="A938" s="137"/>
      <c r="B938" s="149"/>
      <c r="C938" s="149"/>
      <c r="D938" s="149"/>
      <c r="E938" s="150"/>
      <c r="F938" s="143"/>
      <c r="G938" s="143"/>
      <c r="H938" s="151"/>
      <c r="I938" s="151"/>
      <c r="J938" s="151"/>
      <c r="K938" s="137"/>
    </row>
    <row r="939" ht="75.0" customHeight="1">
      <c r="A939" s="137"/>
      <c r="B939" s="149"/>
      <c r="C939" s="149"/>
      <c r="D939" s="149"/>
      <c r="E939" s="150"/>
      <c r="F939" s="143"/>
      <c r="G939" s="143"/>
      <c r="H939" s="151"/>
      <c r="I939" s="151"/>
      <c r="J939" s="151"/>
      <c r="K939" s="137"/>
    </row>
    <row r="940" ht="75.0" customHeight="1">
      <c r="A940" s="137"/>
      <c r="B940" s="149"/>
      <c r="C940" s="149"/>
      <c r="D940" s="149"/>
      <c r="E940" s="150"/>
      <c r="F940" s="143"/>
      <c r="G940" s="143"/>
      <c r="H940" s="151"/>
      <c r="I940" s="151"/>
      <c r="J940" s="151"/>
      <c r="K940" s="137"/>
    </row>
    <row r="941" ht="75.0" customHeight="1">
      <c r="A941" s="137"/>
      <c r="B941" s="149"/>
      <c r="C941" s="149"/>
      <c r="D941" s="149"/>
      <c r="E941" s="150"/>
      <c r="F941" s="143"/>
      <c r="G941" s="143"/>
      <c r="H941" s="151"/>
      <c r="I941" s="151"/>
      <c r="J941" s="151"/>
      <c r="K941" s="137"/>
    </row>
    <row r="942" ht="75.0" customHeight="1">
      <c r="A942" s="137"/>
      <c r="B942" s="149"/>
      <c r="C942" s="149"/>
      <c r="D942" s="149"/>
      <c r="E942" s="150"/>
      <c r="F942" s="143"/>
      <c r="G942" s="143"/>
      <c r="H942" s="151"/>
      <c r="I942" s="151"/>
      <c r="J942" s="151"/>
      <c r="K942" s="137"/>
    </row>
    <row r="943" ht="75.0" customHeight="1">
      <c r="A943" s="137"/>
      <c r="B943" s="149"/>
      <c r="C943" s="149"/>
      <c r="D943" s="149"/>
      <c r="E943" s="150"/>
      <c r="F943" s="143"/>
      <c r="G943" s="143"/>
      <c r="H943" s="151"/>
      <c r="I943" s="151"/>
      <c r="J943" s="151"/>
      <c r="K943" s="137"/>
    </row>
    <row r="944" ht="75.0" customHeight="1">
      <c r="A944" s="137"/>
      <c r="B944" s="149"/>
      <c r="C944" s="149"/>
      <c r="D944" s="149"/>
      <c r="E944" s="150"/>
      <c r="F944" s="143"/>
      <c r="G944" s="143"/>
      <c r="H944" s="151"/>
      <c r="I944" s="151"/>
      <c r="J944" s="151"/>
      <c r="K944" s="137"/>
    </row>
    <row r="945" ht="75.0" customHeight="1">
      <c r="A945" s="137"/>
      <c r="B945" s="149"/>
      <c r="C945" s="149"/>
      <c r="D945" s="149"/>
      <c r="E945" s="150"/>
      <c r="F945" s="143"/>
      <c r="G945" s="143"/>
      <c r="H945" s="151"/>
      <c r="I945" s="151"/>
      <c r="J945" s="151"/>
      <c r="K945" s="137"/>
    </row>
    <row r="946" ht="75.0" customHeight="1">
      <c r="A946" s="137"/>
      <c r="B946" s="149"/>
      <c r="C946" s="149"/>
      <c r="D946" s="149"/>
      <c r="E946" s="150"/>
      <c r="F946" s="143"/>
      <c r="G946" s="143"/>
      <c r="H946" s="151"/>
      <c r="I946" s="151"/>
      <c r="J946" s="151"/>
      <c r="K946" s="137"/>
    </row>
    <row r="947" ht="75.0" customHeight="1">
      <c r="A947" s="137"/>
      <c r="B947" s="149"/>
      <c r="C947" s="149"/>
      <c r="D947" s="149"/>
      <c r="E947" s="150"/>
      <c r="F947" s="143"/>
      <c r="G947" s="143"/>
      <c r="H947" s="151"/>
      <c r="I947" s="151"/>
      <c r="J947" s="151"/>
      <c r="K947" s="137"/>
    </row>
    <row r="948" ht="75.0" customHeight="1">
      <c r="A948" s="137"/>
      <c r="B948" s="149"/>
      <c r="C948" s="149"/>
      <c r="D948" s="149"/>
      <c r="E948" s="150"/>
      <c r="F948" s="143"/>
      <c r="G948" s="143"/>
      <c r="H948" s="151"/>
      <c r="I948" s="151"/>
      <c r="J948" s="151"/>
      <c r="K948" s="137"/>
    </row>
    <row r="949" ht="75.0" customHeight="1">
      <c r="A949" s="137"/>
      <c r="B949" s="149"/>
      <c r="C949" s="149"/>
      <c r="D949" s="149"/>
      <c r="E949" s="150"/>
      <c r="F949" s="143"/>
      <c r="G949" s="143"/>
      <c r="H949" s="151"/>
      <c r="I949" s="151"/>
      <c r="J949" s="151"/>
      <c r="K949" s="137"/>
    </row>
    <row r="950" ht="75.0" customHeight="1">
      <c r="A950" s="137"/>
      <c r="B950" s="149"/>
      <c r="C950" s="149"/>
      <c r="D950" s="149"/>
      <c r="E950" s="150"/>
      <c r="F950" s="143"/>
      <c r="G950" s="143"/>
      <c r="H950" s="151"/>
      <c r="I950" s="151"/>
      <c r="J950" s="151"/>
      <c r="K950" s="137"/>
    </row>
    <row r="951" ht="75.0" customHeight="1">
      <c r="A951" s="137"/>
      <c r="B951" s="149"/>
      <c r="C951" s="149"/>
      <c r="D951" s="149"/>
      <c r="E951" s="150"/>
      <c r="F951" s="143"/>
      <c r="G951" s="143"/>
      <c r="H951" s="151"/>
      <c r="I951" s="151"/>
      <c r="J951" s="151"/>
      <c r="K951" s="137"/>
    </row>
    <row r="952" ht="75.0" customHeight="1">
      <c r="A952" s="137"/>
      <c r="B952" s="149"/>
      <c r="C952" s="149"/>
      <c r="D952" s="149"/>
      <c r="E952" s="150"/>
      <c r="F952" s="143"/>
      <c r="G952" s="143"/>
      <c r="H952" s="151"/>
      <c r="I952" s="151"/>
      <c r="J952" s="151"/>
      <c r="K952" s="137"/>
    </row>
    <row r="953" ht="75.0" customHeight="1">
      <c r="A953" s="137"/>
      <c r="B953" s="149"/>
      <c r="C953" s="149"/>
      <c r="D953" s="149"/>
      <c r="E953" s="150"/>
      <c r="F953" s="143"/>
      <c r="G953" s="143"/>
      <c r="H953" s="151"/>
      <c r="I953" s="151"/>
      <c r="J953" s="151"/>
      <c r="K953" s="137"/>
    </row>
    <row r="954" ht="75.0" customHeight="1">
      <c r="A954" s="137"/>
      <c r="B954" s="149"/>
      <c r="C954" s="149"/>
      <c r="D954" s="149"/>
      <c r="E954" s="150"/>
      <c r="F954" s="143"/>
      <c r="G954" s="143"/>
      <c r="H954" s="151"/>
      <c r="I954" s="151"/>
      <c r="J954" s="151"/>
      <c r="K954" s="137"/>
    </row>
    <row r="955" ht="75.0" customHeight="1">
      <c r="A955" s="137"/>
      <c r="B955" s="149"/>
      <c r="C955" s="149"/>
      <c r="D955" s="149"/>
      <c r="E955" s="150"/>
      <c r="F955" s="143"/>
      <c r="G955" s="143"/>
      <c r="H955" s="151"/>
      <c r="I955" s="151"/>
      <c r="J955" s="151"/>
      <c r="K955" s="137"/>
    </row>
    <row r="956" ht="75.0" customHeight="1">
      <c r="A956" s="137"/>
      <c r="B956" s="149"/>
      <c r="C956" s="149"/>
      <c r="D956" s="149"/>
      <c r="E956" s="150"/>
      <c r="F956" s="143"/>
      <c r="G956" s="143"/>
      <c r="H956" s="151"/>
      <c r="I956" s="151"/>
      <c r="J956" s="151"/>
      <c r="K956" s="137"/>
    </row>
    <row r="957" ht="75.0" customHeight="1">
      <c r="A957" s="137"/>
      <c r="B957" s="149"/>
      <c r="C957" s="149"/>
      <c r="D957" s="149"/>
      <c r="E957" s="150"/>
      <c r="F957" s="143"/>
      <c r="G957" s="143"/>
      <c r="H957" s="151"/>
      <c r="I957" s="151"/>
      <c r="J957" s="151"/>
      <c r="K957" s="137"/>
    </row>
    <row r="958" ht="75.0" customHeight="1">
      <c r="A958" s="137"/>
      <c r="B958" s="149"/>
      <c r="C958" s="149"/>
      <c r="D958" s="149"/>
      <c r="E958" s="150"/>
      <c r="F958" s="143"/>
      <c r="G958" s="143"/>
      <c r="H958" s="151"/>
      <c r="I958" s="151"/>
      <c r="J958" s="151"/>
      <c r="K958" s="137"/>
    </row>
    <row r="959" ht="75.0" customHeight="1">
      <c r="A959" s="137"/>
      <c r="B959" s="149"/>
      <c r="C959" s="149"/>
      <c r="D959" s="149"/>
      <c r="E959" s="150"/>
      <c r="F959" s="143"/>
      <c r="G959" s="143"/>
      <c r="H959" s="151"/>
      <c r="I959" s="151"/>
      <c r="J959" s="151"/>
      <c r="K959" s="137"/>
    </row>
    <row r="960" ht="75.0" customHeight="1">
      <c r="A960" s="137"/>
      <c r="B960" s="149"/>
      <c r="C960" s="149"/>
      <c r="D960" s="149"/>
      <c r="E960" s="150"/>
      <c r="F960" s="143"/>
      <c r="G960" s="143"/>
      <c r="H960" s="151"/>
      <c r="I960" s="151"/>
      <c r="J960" s="151"/>
      <c r="K960" s="137"/>
    </row>
    <row r="961" ht="75.0" customHeight="1">
      <c r="A961" s="137"/>
      <c r="B961" s="149"/>
      <c r="C961" s="149"/>
      <c r="D961" s="149"/>
      <c r="E961" s="150"/>
      <c r="F961" s="143"/>
      <c r="G961" s="143"/>
      <c r="H961" s="151"/>
      <c r="I961" s="151"/>
      <c r="J961" s="151"/>
      <c r="K961" s="137"/>
    </row>
    <row r="962" ht="75.0" customHeight="1">
      <c r="A962" s="137"/>
      <c r="B962" s="149"/>
      <c r="C962" s="149"/>
      <c r="D962" s="149"/>
      <c r="E962" s="150"/>
      <c r="F962" s="143"/>
      <c r="G962" s="143"/>
      <c r="H962" s="151"/>
      <c r="I962" s="151"/>
      <c r="J962" s="151"/>
      <c r="K962" s="137"/>
    </row>
    <row r="963" ht="75.0" customHeight="1">
      <c r="A963" s="137"/>
      <c r="B963" s="149"/>
      <c r="C963" s="149"/>
      <c r="D963" s="149"/>
      <c r="E963" s="150"/>
      <c r="F963" s="143"/>
      <c r="G963" s="143"/>
      <c r="H963" s="151"/>
      <c r="I963" s="151"/>
      <c r="J963" s="151"/>
      <c r="K963" s="137"/>
    </row>
    <row r="964" ht="75.0" customHeight="1">
      <c r="A964" s="137"/>
      <c r="B964" s="149"/>
      <c r="C964" s="149"/>
      <c r="D964" s="149"/>
      <c r="E964" s="150"/>
      <c r="F964" s="143"/>
      <c r="G964" s="143"/>
      <c r="H964" s="151"/>
      <c r="I964" s="151"/>
      <c r="J964" s="151"/>
      <c r="K964" s="137"/>
    </row>
    <row r="965" ht="75.0" customHeight="1">
      <c r="A965" s="137"/>
      <c r="B965" s="149"/>
      <c r="C965" s="149"/>
      <c r="D965" s="149"/>
      <c r="E965" s="150"/>
      <c r="F965" s="143"/>
      <c r="G965" s="143"/>
      <c r="H965" s="151"/>
      <c r="I965" s="151"/>
      <c r="J965" s="151"/>
      <c r="K965" s="137"/>
    </row>
    <row r="966" ht="75.0" customHeight="1">
      <c r="A966" s="137"/>
      <c r="B966" s="149"/>
      <c r="C966" s="149"/>
      <c r="D966" s="149"/>
      <c r="E966" s="150"/>
      <c r="F966" s="143"/>
      <c r="G966" s="143"/>
      <c r="H966" s="151"/>
      <c r="I966" s="151"/>
      <c r="J966" s="151"/>
      <c r="K966" s="137"/>
    </row>
    <row r="967" ht="75.0" customHeight="1">
      <c r="A967" s="137"/>
      <c r="B967" s="149"/>
      <c r="C967" s="149"/>
      <c r="D967" s="149"/>
      <c r="E967" s="150"/>
      <c r="F967" s="143"/>
      <c r="G967" s="143"/>
      <c r="H967" s="151"/>
      <c r="I967" s="151"/>
      <c r="J967" s="151"/>
      <c r="K967" s="137"/>
    </row>
    <row r="968" ht="75.0" customHeight="1">
      <c r="A968" s="137"/>
      <c r="B968" s="149"/>
      <c r="C968" s="149"/>
      <c r="D968" s="149"/>
      <c r="E968" s="150"/>
      <c r="F968" s="143"/>
      <c r="G968" s="143"/>
      <c r="H968" s="151"/>
      <c r="I968" s="151"/>
      <c r="J968" s="151"/>
      <c r="K968" s="137"/>
    </row>
    <row r="969" ht="75.0" customHeight="1">
      <c r="A969" s="137"/>
      <c r="B969" s="149"/>
      <c r="C969" s="149"/>
      <c r="D969" s="149"/>
      <c r="E969" s="150"/>
      <c r="F969" s="143"/>
      <c r="G969" s="143"/>
      <c r="H969" s="151"/>
      <c r="I969" s="151"/>
      <c r="J969" s="151"/>
      <c r="K969" s="137"/>
    </row>
    <row r="970" ht="75.0" customHeight="1">
      <c r="A970" s="137"/>
      <c r="B970" s="149"/>
      <c r="C970" s="149"/>
      <c r="D970" s="149"/>
      <c r="E970" s="150"/>
      <c r="F970" s="143"/>
      <c r="G970" s="143"/>
      <c r="H970" s="151"/>
      <c r="I970" s="151"/>
      <c r="J970" s="151"/>
      <c r="K970" s="137"/>
    </row>
    <row r="971" ht="75.0" customHeight="1">
      <c r="A971" s="137"/>
      <c r="B971" s="149"/>
      <c r="C971" s="149"/>
      <c r="D971" s="149"/>
      <c r="E971" s="150"/>
      <c r="F971" s="143"/>
      <c r="G971" s="143"/>
      <c r="H971" s="151"/>
      <c r="I971" s="151"/>
      <c r="J971" s="151"/>
      <c r="K971" s="137"/>
    </row>
    <row r="972" ht="75.0" customHeight="1">
      <c r="A972" s="137"/>
      <c r="B972" s="149"/>
      <c r="C972" s="149"/>
      <c r="D972" s="149"/>
      <c r="E972" s="150"/>
      <c r="F972" s="143"/>
      <c r="G972" s="143"/>
      <c r="H972" s="151"/>
      <c r="I972" s="151"/>
      <c r="J972" s="151"/>
      <c r="K972" s="137"/>
    </row>
    <row r="973" ht="75.0" customHeight="1">
      <c r="A973" s="137"/>
      <c r="B973" s="149"/>
      <c r="C973" s="149"/>
      <c r="D973" s="149"/>
      <c r="E973" s="150"/>
      <c r="F973" s="143"/>
      <c r="G973" s="143"/>
      <c r="H973" s="151"/>
      <c r="I973" s="151"/>
      <c r="J973" s="151"/>
      <c r="K973" s="137"/>
    </row>
    <row r="974" ht="75.0" customHeight="1">
      <c r="A974" s="137"/>
      <c r="B974" s="149"/>
      <c r="C974" s="149"/>
      <c r="D974" s="149"/>
      <c r="E974" s="150"/>
      <c r="F974" s="143"/>
      <c r="G974" s="143"/>
      <c r="H974" s="151"/>
      <c r="I974" s="151"/>
      <c r="J974" s="151"/>
      <c r="K974" s="137"/>
    </row>
    <row r="975" ht="75.0" customHeight="1">
      <c r="A975" s="137"/>
      <c r="B975" s="149"/>
      <c r="C975" s="149"/>
      <c r="D975" s="149"/>
      <c r="E975" s="150"/>
      <c r="F975" s="143"/>
      <c r="G975" s="143"/>
      <c r="H975" s="151"/>
      <c r="I975" s="151"/>
      <c r="J975" s="151"/>
      <c r="K975" s="137"/>
    </row>
    <row r="976" ht="75.0" customHeight="1">
      <c r="A976" s="137"/>
      <c r="B976" s="149"/>
      <c r="C976" s="149"/>
      <c r="D976" s="149"/>
      <c r="E976" s="150"/>
      <c r="F976" s="143"/>
      <c r="G976" s="143"/>
      <c r="H976" s="151"/>
      <c r="I976" s="151"/>
      <c r="J976" s="151"/>
      <c r="K976" s="137"/>
    </row>
    <row r="977" ht="75.0" customHeight="1">
      <c r="A977" s="137"/>
      <c r="B977" s="149"/>
      <c r="C977" s="149"/>
      <c r="D977" s="149"/>
      <c r="E977" s="150"/>
      <c r="F977" s="143"/>
      <c r="G977" s="143"/>
      <c r="H977" s="151"/>
      <c r="I977" s="151"/>
      <c r="J977" s="151"/>
      <c r="K977" s="137"/>
    </row>
    <row r="978" ht="75.0" customHeight="1">
      <c r="A978" s="137"/>
      <c r="B978" s="149"/>
      <c r="C978" s="149"/>
      <c r="D978" s="149"/>
      <c r="E978" s="150"/>
      <c r="F978" s="143"/>
      <c r="G978" s="143"/>
      <c r="H978" s="151"/>
      <c r="I978" s="151"/>
      <c r="J978" s="151"/>
      <c r="K978" s="137"/>
    </row>
    <row r="979" ht="75.0" customHeight="1">
      <c r="A979" s="137"/>
      <c r="B979" s="149"/>
      <c r="C979" s="149"/>
      <c r="D979" s="149"/>
      <c r="E979" s="150"/>
      <c r="F979" s="143"/>
      <c r="G979" s="143"/>
      <c r="H979" s="151"/>
      <c r="I979" s="151"/>
      <c r="J979" s="151"/>
      <c r="K979" s="137"/>
    </row>
    <row r="980" ht="75.0" customHeight="1">
      <c r="A980" s="137"/>
      <c r="B980" s="149"/>
      <c r="C980" s="149"/>
      <c r="D980" s="149"/>
      <c r="E980" s="150"/>
      <c r="F980" s="143"/>
      <c r="G980" s="143"/>
      <c r="H980" s="151"/>
      <c r="I980" s="151"/>
      <c r="J980" s="151"/>
      <c r="K980" s="137"/>
    </row>
    <row r="981" ht="75.0" customHeight="1">
      <c r="A981" s="137"/>
      <c r="B981" s="149"/>
      <c r="C981" s="149"/>
      <c r="D981" s="149"/>
      <c r="E981" s="150"/>
      <c r="F981" s="143"/>
      <c r="G981" s="143"/>
      <c r="H981" s="151"/>
      <c r="I981" s="151"/>
      <c r="J981" s="151"/>
      <c r="K981" s="137"/>
    </row>
    <row r="982" ht="75.0" customHeight="1">
      <c r="A982" s="137"/>
      <c r="B982" s="149"/>
      <c r="C982" s="149"/>
      <c r="D982" s="149"/>
      <c r="E982" s="150"/>
      <c r="F982" s="143"/>
      <c r="G982" s="143"/>
      <c r="H982" s="151"/>
      <c r="I982" s="151"/>
      <c r="J982" s="151"/>
      <c r="K982" s="137"/>
    </row>
    <row r="983" ht="75.0" customHeight="1">
      <c r="A983" s="137"/>
      <c r="B983" s="149"/>
      <c r="C983" s="149"/>
      <c r="D983" s="149"/>
      <c r="E983" s="150"/>
      <c r="F983" s="143"/>
      <c r="G983" s="143"/>
      <c r="H983" s="151"/>
      <c r="I983" s="151"/>
      <c r="J983" s="151"/>
      <c r="K983" s="137"/>
    </row>
    <row r="984" ht="75.0" customHeight="1">
      <c r="A984" s="137"/>
      <c r="B984" s="149"/>
      <c r="C984" s="149"/>
      <c r="D984" s="149"/>
      <c r="E984" s="150"/>
      <c r="F984" s="143"/>
      <c r="G984" s="143"/>
      <c r="H984" s="151"/>
      <c r="I984" s="151"/>
      <c r="J984" s="151"/>
      <c r="K984" s="137"/>
    </row>
    <row r="985" ht="75.0" customHeight="1">
      <c r="A985" s="137"/>
      <c r="B985" s="149"/>
      <c r="C985" s="149"/>
      <c r="D985" s="149"/>
      <c r="E985" s="150"/>
      <c r="F985" s="143"/>
      <c r="G985" s="143"/>
      <c r="H985" s="151"/>
      <c r="I985" s="151"/>
      <c r="J985" s="151"/>
      <c r="K985" s="137"/>
    </row>
    <row r="986" ht="75.0" customHeight="1">
      <c r="A986" s="137"/>
      <c r="B986" s="149"/>
      <c r="C986" s="149"/>
      <c r="D986" s="149"/>
      <c r="E986" s="150"/>
      <c r="F986" s="143"/>
      <c r="G986" s="143"/>
      <c r="H986" s="151"/>
      <c r="I986" s="151"/>
      <c r="J986" s="151"/>
      <c r="K986" s="137"/>
    </row>
    <row r="987" ht="75.0" customHeight="1">
      <c r="A987" s="137"/>
      <c r="B987" s="149"/>
      <c r="C987" s="149"/>
      <c r="D987" s="149"/>
      <c r="E987" s="150"/>
      <c r="F987" s="143"/>
      <c r="G987" s="143"/>
      <c r="H987" s="151"/>
      <c r="I987" s="151"/>
      <c r="J987" s="151"/>
      <c r="K987" s="137"/>
    </row>
    <row r="988" ht="75.0" customHeight="1">
      <c r="A988" s="137"/>
      <c r="B988" s="149"/>
      <c r="C988" s="149"/>
      <c r="D988" s="149"/>
      <c r="E988" s="150"/>
      <c r="F988" s="143"/>
      <c r="G988" s="143"/>
      <c r="H988" s="151"/>
      <c r="I988" s="151"/>
      <c r="J988" s="151"/>
      <c r="K988" s="137"/>
    </row>
    <row r="989" ht="75.0" customHeight="1">
      <c r="A989" s="137"/>
      <c r="B989" s="149"/>
      <c r="C989" s="149"/>
      <c r="D989" s="149"/>
      <c r="E989" s="150"/>
      <c r="F989" s="143"/>
      <c r="G989" s="143"/>
      <c r="H989" s="151"/>
      <c r="I989" s="151"/>
      <c r="J989" s="151"/>
      <c r="K989" s="137"/>
    </row>
    <row r="990" ht="75.0" customHeight="1">
      <c r="A990" s="137"/>
      <c r="B990" s="149"/>
      <c r="C990" s="149"/>
      <c r="D990" s="149"/>
      <c r="E990" s="150"/>
      <c r="F990" s="143"/>
      <c r="G990" s="143"/>
      <c r="H990" s="151"/>
      <c r="I990" s="151"/>
      <c r="J990" s="151"/>
      <c r="K990" s="137"/>
    </row>
    <row r="991" ht="75.0" customHeight="1">
      <c r="A991" s="137"/>
      <c r="B991" s="149"/>
      <c r="C991" s="149"/>
      <c r="D991" s="149"/>
      <c r="E991" s="150"/>
      <c r="F991" s="143"/>
      <c r="G991" s="143"/>
      <c r="H991" s="151"/>
      <c r="I991" s="151"/>
      <c r="J991" s="151"/>
      <c r="K991" s="137"/>
    </row>
    <row r="992" ht="75.0" customHeight="1">
      <c r="A992" s="137"/>
      <c r="B992" s="149"/>
      <c r="C992" s="149"/>
      <c r="D992" s="149"/>
      <c r="E992" s="150"/>
      <c r="F992" s="143"/>
      <c r="G992" s="143"/>
      <c r="H992" s="151"/>
      <c r="I992" s="151"/>
      <c r="J992" s="151"/>
      <c r="K992" s="137"/>
    </row>
    <row r="993" ht="75.0" customHeight="1">
      <c r="A993" s="137"/>
      <c r="B993" s="149"/>
      <c r="C993" s="149"/>
      <c r="D993" s="149"/>
      <c r="E993" s="150"/>
      <c r="F993" s="143"/>
      <c r="G993" s="143"/>
      <c r="H993" s="151"/>
      <c r="I993" s="151"/>
      <c r="J993" s="151"/>
      <c r="K993" s="137"/>
    </row>
    <row r="994" ht="75.0" customHeight="1">
      <c r="A994" s="137"/>
      <c r="B994" s="149"/>
      <c r="C994" s="149"/>
      <c r="D994" s="149"/>
      <c r="E994" s="150"/>
      <c r="F994" s="143"/>
      <c r="G994" s="143"/>
      <c r="H994" s="151"/>
      <c r="I994" s="151"/>
      <c r="J994" s="151"/>
      <c r="K994" s="137"/>
    </row>
    <row r="995" ht="75.0" customHeight="1">
      <c r="A995" s="137"/>
      <c r="B995" s="149"/>
      <c r="C995" s="149"/>
      <c r="D995" s="149"/>
      <c r="E995" s="150"/>
      <c r="F995" s="143"/>
      <c r="G995" s="143"/>
      <c r="H995" s="151"/>
      <c r="I995" s="151"/>
      <c r="J995" s="151"/>
      <c r="K995" s="137"/>
    </row>
    <row r="996" ht="75.0" customHeight="1">
      <c r="A996" s="137"/>
      <c r="B996" s="149"/>
      <c r="C996" s="149"/>
      <c r="D996" s="149"/>
      <c r="E996" s="150"/>
      <c r="F996" s="143"/>
      <c r="G996" s="143"/>
      <c r="H996" s="151"/>
      <c r="I996" s="151"/>
      <c r="J996" s="151"/>
      <c r="K996" s="137"/>
    </row>
    <row r="997" ht="75.0" customHeight="1">
      <c r="A997" s="137"/>
      <c r="B997" s="149"/>
      <c r="C997" s="149"/>
      <c r="D997" s="149"/>
      <c r="E997" s="150"/>
      <c r="F997" s="143"/>
      <c r="G997" s="143"/>
      <c r="H997" s="151"/>
      <c r="I997" s="151"/>
      <c r="J997" s="151"/>
      <c r="K997" s="137"/>
    </row>
    <row r="998" ht="75.0" customHeight="1">
      <c r="A998" s="137"/>
      <c r="B998" s="149"/>
      <c r="C998" s="149"/>
      <c r="D998" s="149"/>
      <c r="E998" s="150"/>
      <c r="F998" s="143"/>
      <c r="G998" s="143"/>
      <c r="H998" s="151"/>
      <c r="I998" s="151"/>
      <c r="J998" s="151"/>
      <c r="K998" s="137"/>
    </row>
    <row r="999" ht="75.0" customHeight="1">
      <c r="A999" s="137"/>
      <c r="B999" s="149"/>
      <c r="C999" s="149"/>
      <c r="D999" s="149"/>
      <c r="E999" s="150"/>
      <c r="F999" s="143"/>
      <c r="G999" s="143"/>
      <c r="H999" s="151"/>
      <c r="I999" s="151"/>
      <c r="J999" s="151"/>
      <c r="K999" s="137"/>
    </row>
    <row r="1000" ht="75.0" customHeight="1">
      <c r="A1000" s="137"/>
      <c r="B1000" s="149"/>
      <c r="C1000" s="149"/>
      <c r="D1000" s="149"/>
      <c r="E1000" s="150"/>
      <c r="F1000" s="143"/>
      <c r="G1000" s="143"/>
      <c r="H1000" s="151"/>
      <c r="I1000" s="151"/>
      <c r="J1000" s="151"/>
      <c r="K1000" s="137"/>
    </row>
    <row r="1001" ht="75.0" customHeight="1">
      <c r="A1001" s="137"/>
      <c r="B1001" s="149"/>
      <c r="C1001" s="149"/>
      <c r="D1001" s="149"/>
      <c r="E1001" s="150"/>
      <c r="F1001" s="143"/>
      <c r="G1001" s="143"/>
      <c r="H1001" s="151"/>
      <c r="I1001" s="151"/>
      <c r="J1001" s="151"/>
      <c r="K1001" s="137"/>
    </row>
    <row r="1002" ht="75.0" customHeight="1">
      <c r="A1002" s="137"/>
      <c r="B1002" s="149"/>
      <c r="C1002" s="149"/>
      <c r="D1002" s="149"/>
      <c r="E1002" s="150"/>
      <c r="F1002" s="143"/>
      <c r="G1002" s="143"/>
      <c r="H1002" s="151"/>
      <c r="I1002" s="151"/>
      <c r="J1002" s="151"/>
      <c r="K1002" s="137"/>
    </row>
    <row r="1003" ht="75.0" customHeight="1">
      <c r="A1003" s="137"/>
      <c r="B1003" s="149"/>
      <c r="C1003" s="149"/>
      <c r="D1003" s="149"/>
      <c r="E1003" s="150"/>
      <c r="F1003" s="143"/>
      <c r="G1003" s="143"/>
      <c r="H1003" s="151"/>
      <c r="I1003" s="151"/>
      <c r="J1003" s="151"/>
      <c r="K1003" s="137"/>
    </row>
    <row r="1004" ht="75.0" customHeight="1">
      <c r="A1004" s="137"/>
      <c r="B1004" s="149"/>
      <c r="C1004" s="149"/>
      <c r="D1004" s="149"/>
      <c r="E1004" s="150"/>
      <c r="F1004" s="143"/>
      <c r="G1004" s="143"/>
      <c r="H1004" s="151"/>
      <c r="I1004" s="151"/>
      <c r="J1004" s="151"/>
      <c r="K1004" s="137"/>
    </row>
    <row r="1005" ht="75.0" customHeight="1">
      <c r="A1005" s="137"/>
      <c r="B1005" s="149"/>
      <c r="C1005" s="149"/>
      <c r="D1005" s="149"/>
      <c r="E1005" s="150"/>
      <c r="F1005" s="143"/>
      <c r="G1005" s="143"/>
      <c r="H1005" s="151"/>
      <c r="I1005" s="151"/>
      <c r="J1005" s="151"/>
      <c r="K1005" s="137"/>
    </row>
    <row r="1006" ht="75.0" customHeight="1">
      <c r="A1006" s="137"/>
      <c r="B1006" s="149"/>
      <c r="C1006" s="149"/>
      <c r="D1006" s="149"/>
      <c r="E1006" s="150"/>
      <c r="F1006" s="143"/>
      <c r="G1006" s="143"/>
      <c r="H1006" s="151"/>
      <c r="I1006" s="151"/>
      <c r="J1006" s="151"/>
      <c r="K1006" s="137"/>
    </row>
    <row r="1007" ht="75.0" customHeight="1">
      <c r="A1007" s="137"/>
      <c r="B1007" s="149"/>
      <c r="C1007" s="149"/>
      <c r="D1007" s="149"/>
      <c r="E1007" s="150"/>
      <c r="F1007" s="143"/>
      <c r="G1007" s="143"/>
      <c r="H1007" s="151"/>
      <c r="I1007" s="151"/>
      <c r="J1007" s="151"/>
      <c r="K1007" s="137"/>
    </row>
    <row r="1008" ht="75.0" customHeight="1">
      <c r="A1008" s="137"/>
      <c r="B1008" s="149"/>
      <c r="C1008" s="149"/>
      <c r="D1008" s="149"/>
      <c r="E1008" s="150"/>
      <c r="F1008" s="143"/>
      <c r="G1008" s="143"/>
      <c r="H1008" s="151"/>
      <c r="I1008" s="151"/>
      <c r="J1008" s="151"/>
      <c r="K1008" s="137"/>
    </row>
    <row r="1009" ht="75.0" customHeight="1">
      <c r="A1009" s="137"/>
      <c r="B1009" s="149"/>
      <c r="C1009" s="149"/>
      <c r="D1009" s="149"/>
      <c r="E1009" s="150"/>
      <c r="F1009" s="143"/>
      <c r="G1009" s="143"/>
      <c r="H1009" s="151"/>
      <c r="I1009" s="151"/>
      <c r="J1009" s="151"/>
      <c r="K1009" s="137"/>
    </row>
    <row r="1010" ht="75.0" customHeight="1">
      <c r="A1010" s="137"/>
      <c r="B1010" s="149"/>
      <c r="C1010" s="149"/>
      <c r="D1010" s="149"/>
      <c r="E1010" s="150"/>
      <c r="F1010" s="143"/>
      <c r="G1010" s="143"/>
      <c r="H1010" s="151"/>
      <c r="I1010" s="151"/>
      <c r="J1010" s="151"/>
      <c r="K1010" s="137"/>
    </row>
    <row r="1011" ht="75.0" customHeight="1">
      <c r="A1011" s="137"/>
      <c r="B1011" s="149"/>
      <c r="C1011" s="149"/>
      <c r="D1011" s="149"/>
      <c r="E1011" s="150"/>
      <c r="F1011" s="143"/>
      <c r="G1011" s="143"/>
      <c r="H1011" s="151"/>
      <c r="I1011" s="151"/>
      <c r="J1011" s="151"/>
      <c r="K1011" s="137"/>
    </row>
    <row r="1012" ht="75.0" customHeight="1">
      <c r="A1012" s="137"/>
      <c r="B1012" s="149"/>
      <c r="C1012" s="149"/>
      <c r="D1012" s="149"/>
      <c r="E1012" s="150"/>
      <c r="F1012" s="143"/>
      <c r="G1012" s="143"/>
      <c r="H1012" s="151"/>
      <c r="I1012" s="151"/>
      <c r="J1012" s="151"/>
      <c r="K1012" s="137"/>
    </row>
    <row r="1013" ht="75.0" customHeight="1">
      <c r="A1013" s="137"/>
      <c r="B1013" s="149"/>
      <c r="C1013" s="149"/>
      <c r="D1013" s="149"/>
      <c r="E1013" s="150"/>
      <c r="F1013" s="143"/>
      <c r="G1013" s="143"/>
      <c r="H1013" s="151"/>
      <c r="I1013" s="151"/>
      <c r="J1013" s="151"/>
      <c r="K1013" s="137"/>
    </row>
    <row r="1014" ht="75.0" customHeight="1">
      <c r="A1014" s="137"/>
      <c r="B1014" s="149"/>
      <c r="C1014" s="149"/>
      <c r="D1014" s="149"/>
      <c r="E1014" s="150"/>
      <c r="F1014" s="143"/>
      <c r="G1014" s="143"/>
      <c r="H1014" s="151"/>
      <c r="I1014" s="151"/>
      <c r="J1014" s="151"/>
      <c r="K1014" s="137"/>
    </row>
    <row r="1015" ht="75.0" customHeight="1">
      <c r="A1015" s="137"/>
      <c r="B1015" s="149"/>
      <c r="C1015" s="149"/>
      <c r="D1015" s="149"/>
      <c r="E1015" s="150"/>
      <c r="F1015" s="143"/>
      <c r="G1015" s="143"/>
      <c r="H1015" s="151"/>
      <c r="I1015" s="151"/>
      <c r="J1015" s="151"/>
      <c r="K1015" s="137"/>
    </row>
    <row r="1016" ht="75.0" customHeight="1">
      <c r="A1016" s="137"/>
      <c r="B1016" s="149"/>
      <c r="C1016" s="149"/>
      <c r="D1016" s="149"/>
      <c r="E1016" s="150"/>
      <c r="F1016" s="143"/>
      <c r="G1016" s="143"/>
      <c r="H1016" s="151"/>
      <c r="I1016" s="151"/>
      <c r="J1016" s="151"/>
      <c r="K1016" s="137"/>
    </row>
    <row r="1017" ht="75.0" customHeight="1">
      <c r="A1017" s="137"/>
      <c r="B1017" s="149"/>
      <c r="C1017" s="149"/>
      <c r="D1017" s="149"/>
      <c r="E1017" s="150"/>
      <c r="F1017" s="143"/>
      <c r="G1017" s="143"/>
      <c r="H1017" s="151"/>
      <c r="I1017" s="151"/>
      <c r="J1017" s="151"/>
      <c r="K1017" s="137"/>
    </row>
    <row r="1018" ht="75.0" customHeight="1">
      <c r="A1018" s="137"/>
      <c r="B1018" s="149"/>
      <c r="C1018" s="149"/>
      <c r="D1018" s="149"/>
      <c r="E1018" s="150"/>
      <c r="F1018" s="143"/>
      <c r="G1018" s="143"/>
      <c r="H1018" s="151"/>
      <c r="I1018" s="151"/>
      <c r="J1018" s="151"/>
      <c r="K1018" s="137"/>
    </row>
    <row r="1019" ht="75.0" customHeight="1">
      <c r="A1019" s="137"/>
      <c r="B1019" s="149"/>
      <c r="C1019" s="149"/>
      <c r="D1019" s="149"/>
      <c r="E1019" s="150"/>
      <c r="F1019" s="143"/>
      <c r="G1019" s="143"/>
      <c r="H1019" s="151"/>
      <c r="I1019" s="151"/>
      <c r="J1019" s="151"/>
      <c r="K1019" s="137"/>
    </row>
    <row r="1020" ht="75.0" customHeight="1">
      <c r="A1020" s="137"/>
      <c r="B1020" s="149"/>
      <c r="C1020" s="149"/>
      <c r="D1020" s="149"/>
      <c r="E1020" s="150"/>
      <c r="F1020" s="143"/>
      <c r="G1020" s="143"/>
      <c r="H1020" s="151"/>
      <c r="I1020" s="151"/>
      <c r="J1020" s="151"/>
      <c r="K1020" s="137"/>
    </row>
    <row r="1021" ht="75.0" customHeight="1">
      <c r="A1021" s="137"/>
      <c r="B1021" s="149"/>
      <c r="C1021" s="149"/>
      <c r="D1021" s="149"/>
      <c r="E1021" s="150"/>
      <c r="F1021" s="143"/>
      <c r="G1021" s="143"/>
      <c r="H1021" s="151"/>
      <c r="I1021" s="151"/>
      <c r="J1021" s="151"/>
      <c r="K1021" s="137"/>
    </row>
    <row r="1022" ht="75.0" customHeight="1">
      <c r="A1022" s="137"/>
      <c r="B1022" s="149"/>
      <c r="C1022" s="149"/>
      <c r="D1022" s="149"/>
      <c r="E1022" s="150"/>
      <c r="F1022" s="143"/>
      <c r="G1022" s="143"/>
      <c r="H1022" s="151"/>
      <c r="I1022" s="151"/>
      <c r="J1022" s="151"/>
      <c r="K1022" s="137"/>
    </row>
    <row r="1023" ht="75.0" customHeight="1">
      <c r="A1023" s="137"/>
      <c r="B1023" s="149"/>
      <c r="C1023" s="149"/>
      <c r="D1023" s="149"/>
      <c r="E1023" s="150"/>
      <c r="F1023" s="143"/>
      <c r="G1023" s="143"/>
      <c r="H1023" s="151"/>
      <c r="I1023" s="151"/>
      <c r="J1023" s="151"/>
      <c r="K1023" s="137"/>
    </row>
    <row r="1024" ht="75.0" customHeight="1">
      <c r="A1024" s="137"/>
      <c r="B1024" s="149"/>
      <c r="C1024" s="149"/>
      <c r="D1024" s="149"/>
      <c r="E1024" s="150"/>
      <c r="F1024" s="143"/>
      <c r="G1024" s="143"/>
      <c r="H1024" s="151"/>
      <c r="I1024" s="151"/>
      <c r="J1024" s="151"/>
      <c r="K1024" s="137"/>
    </row>
    <row r="1025" ht="75.0" customHeight="1">
      <c r="A1025" s="137"/>
      <c r="B1025" s="149"/>
      <c r="C1025" s="149"/>
      <c r="D1025" s="149"/>
      <c r="E1025" s="150"/>
      <c r="F1025" s="143"/>
      <c r="G1025" s="143"/>
      <c r="H1025" s="151"/>
      <c r="I1025" s="151"/>
      <c r="J1025" s="151"/>
      <c r="K1025" s="137"/>
    </row>
    <row r="1026" ht="75.0" customHeight="1">
      <c r="A1026" s="137"/>
      <c r="B1026" s="149"/>
      <c r="C1026" s="149"/>
      <c r="D1026" s="149"/>
      <c r="E1026" s="150"/>
      <c r="F1026" s="143"/>
      <c r="G1026" s="143"/>
      <c r="H1026" s="151"/>
      <c r="I1026" s="151"/>
      <c r="J1026" s="151"/>
      <c r="K1026" s="137"/>
    </row>
    <row r="1027" ht="75.0" customHeight="1">
      <c r="A1027" s="137"/>
      <c r="B1027" s="149"/>
      <c r="C1027" s="149"/>
      <c r="D1027" s="149"/>
      <c r="E1027" s="150"/>
      <c r="F1027" s="143"/>
      <c r="G1027" s="143"/>
      <c r="H1027" s="151"/>
      <c r="I1027" s="151"/>
      <c r="J1027" s="151"/>
      <c r="K1027" s="137"/>
    </row>
    <row r="1028" ht="75.0" customHeight="1">
      <c r="A1028" s="137"/>
      <c r="B1028" s="149"/>
      <c r="C1028" s="149"/>
      <c r="D1028" s="149"/>
      <c r="E1028" s="150"/>
      <c r="F1028" s="143"/>
      <c r="G1028" s="143"/>
      <c r="H1028" s="151"/>
      <c r="I1028" s="151"/>
      <c r="J1028" s="151"/>
      <c r="K1028" s="137"/>
    </row>
    <row r="1029" ht="75.0" customHeight="1">
      <c r="A1029" s="137"/>
      <c r="B1029" s="149"/>
      <c r="C1029" s="149"/>
      <c r="D1029" s="149"/>
      <c r="E1029" s="150"/>
      <c r="F1029" s="143"/>
      <c r="G1029" s="143"/>
      <c r="H1029" s="151"/>
      <c r="I1029" s="151"/>
      <c r="J1029" s="151"/>
      <c r="K1029" s="137"/>
    </row>
    <row r="1030" ht="75.0" customHeight="1">
      <c r="A1030" s="137"/>
      <c r="B1030" s="149"/>
      <c r="C1030" s="149"/>
      <c r="D1030" s="149"/>
      <c r="E1030" s="150"/>
      <c r="F1030" s="143"/>
      <c r="G1030" s="143"/>
      <c r="H1030" s="151"/>
      <c r="I1030" s="151"/>
      <c r="J1030" s="151"/>
      <c r="K1030" s="137"/>
    </row>
    <row r="1031" ht="75.0" customHeight="1">
      <c r="A1031" s="137"/>
      <c r="B1031" s="149"/>
      <c r="C1031" s="149"/>
      <c r="D1031" s="149"/>
      <c r="E1031" s="150"/>
      <c r="F1031" s="143"/>
      <c r="G1031" s="143"/>
      <c r="H1031" s="151"/>
      <c r="I1031" s="151"/>
      <c r="J1031" s="151"/>
      <c r="K1031" s="137"/>
    </row>
    <row r="1032" ht="75.0" customHeight="1">
      <c r="A1032" s="137"/>
      <c r="B1032" s="149"/>
      <c r="C1032" s="149"/>
      <c r="D1032" s="149"/>
      <c r="E1032" s="150"/>
      <c r="F1032" s="143"/>
      <c r="G1032" s="143"/>
      <c r="H1032" s="151"/>
      <c r="I1032" s="151"/>
      <c r="J1032" s="151"/>
      <c r="K1032" s="137"/>
    </row>
    <row r="1033" ht="75.0" customHeight="1">
      <c r="A1033" s="137"/>
      <c r="B1033" s="149"/>
      <c r="C1033" s="149"/>
      <c r="D1033" s="149"/>
      <c r="E1033" s="150"/>
      <c r="F1033" s="143"/>
      <c r="G1033" s="143"/>
      <c r="H1033" s="151"/>
      <c r="I1033" s="151"/>
      <c r="J1033" s="151"/>
      <c r="K1033" s="137"/>
    </row>
    <row r="1034" ht="75.0" customHeight="1">
      <c r="A1034" s="137"/>
      <c r="B1034" s="149"/>
      <c r="C1034" s="149"/>
      <c r="D1034" s="149"/>
      <c r="E1034" s="150"/>
      <c r="F1034" s="143"/>
      <c r="G1034" s="143"/>
      <c r="H1034" s="151"/>
      <c r="I1034" s="151"/>
      <c r="J1034" s="151"/>
      <c r="K1034" s="137"/>
    </row>
    <row r="1035" ht="75.0" customHeight="1">
      <c r="A1035" s="137"/>
      <c r="B1035" s="149"/>
      <c r="C1035" s="149"/>
      <c r="D1035" s="149"/>
      <c r="E1035" s="150"/>
      <c r="F1035" s="143"/>
      <c r="G1035" s="143"/>
      <c r="H1035" s="151"/>
      <c r="I1035" s="151"/>
      <c r="J1035" s="151"/>
      <c r="K1035" s="137"/>
    </row>
    <row r="1036" ht="75.0" customHeight="1">
      <c r="A1036" s="137"/>
      <c r="B1036" s="149"/>
      <c r="C1036" s="149"/>
      <c r="D1036" s="149"/>
      <c r="E1036" s="150"/>
      <c r="F1036" s="143"/>
      <c r="G1036" s="143"/>
      <c r="H1036" s="151"/>
      <c r="I1036" s="151"/>
      <c r="J1036" s="151"/>
      <c r="K1036" s="137"/>
    </row>
    <row r="1037" ht="75.0" customHeight="1">
      <c r="A1037" s="137"/>
      <c r="B1037" s="149"/>
      <c r="C1037" s="149"/>
      <c r="D1037" s="149"/>
      <c r="E1037" s="150"/>
      <c r="F1037" s="143"/>
      <c r="G1037" s="143"/>
      <c r="H1037" s="151"/>
      <c r="I1037" s="151"/>
      <c r="J1037" s="151"/>
      <c r="K1037" s="137"/>
    </row>
    <row r="1038" ht="75.0" customHeight="1">
      <c r="A1038" s="137"/>
      <c r="B1038" s="149"/>
      <c r="C1038" s="149"/>
      <c r="D1038" s="149"/>
      <c r="E1038" s="150"/>
      <c r="F1038" s="143"/>
      <c r="G1038" s="143"/>
      <c r="H1038" s="151"/>
      <c r="I1038" s="151"/>
      <c r="J1038" s="151"/>
      <c r="K1038" s="137"/>
    </row>
    <row r="1039" ht="75.0" customHeight="1">
      <c r="A1039" s="137"/>
      <c r="B1039" s="149"/>
      <c r="C1039" s="149"/>
      <c r="D1039" s="149"/>
      <c r="E1039" s="150"/>
      <c r="F1039" s="143"/>
      <c r="G1039" s="143"/>
      <c r="H1039" s="151"/>
      <c r="I1039" s="151"/>
      <c r="J1039" s="151"/>
      <c r="K1039" s="137"/>
    </row>
    <row r="1040" ht="75.0" customHeight="1">
      <c r="A1040" s="137"/>
      <c r="B1040" s="149"/>
      <c r="C1040" s="149"/>
      <c r="D1040" s="149"/>
      <c r="E1040" s="150"/>
      <c r="F1040" s="143"/>
      <c r="G1040" s="143"/>
      <c r="H1040" s="151"/>
      <c r="I1040" s="151"/>
      <c r="J1040" s="151"/>
      <c r="K1040" s="137"/>
    </row>
    <row r="1041" ht="75.0" customHeight="1">
      <c r="A1041" s="137"/>
      <c r="B1041" s="149"/>
      <c r="C1041" s="149"/>
      <c r="D1041" s="149"/>
      <c r="E1041" s="150"/>
      <c r="F1041" s="143"/>
      <c r="G1041" s="143"/>
      <c r="H1041" s="151"/>
      <c r="I1041" s="151"/>
      <c r="J1041" s="151"/>
      <c r="K1041" s="137"/>
    </row>
    <row r="1042" ht="75.0" customHeight="1">
      <c r="A1042" s="137"/>
      <c r="B1042" s="149"/>
      <c r="C1042" s="149"/>
      <c r="D1042" s="149"/>
      <c r="E1042" s="150"/>
      <c r="F1042" s="143"/>
      <c r="G1042" s="143"/>
      <c r="H1042" s="151"/>
      <c r="I1042" s="151"/>
      <c r="J1042" s="151"/>
      <c r="K1042" s="137"/>
    </row>
    <row r="1043" ht="75.0" customHeight="1">
      <c r="A1043" s="137"/>
      <c r="B1043" s="149"/>
      <c r="C1043" s="149"/>
      <c r="D1043" s="149"/>
      <c r="E1043" s="150"/>
      <c r="F1043" s="143"/>
      <c r="G1043" s="143"/>
      <c r="H1043" s="151"/>
      <c r="I1043" s="151"/>
      <c r="J1043" s="151"/>
      <c r="K1043" s="137"/>
    </row>
    <row r="1044" ht="75.0" customHeight="1">
      <c r="A1044" s="137"/>
      <c r="B1044" s="149"/>
      <c r="C1044" s="149"/>
      <c r="D1044" s="149"/>
      <c r="E1044" s="150"/>
      <c r="F1044" s="143"/>
      <c r="G1044" s="143"/>
      <c r="H1044" s="151"/>
      <c r="I1044" s="151"/>
      <c r="J1044" s="151"/>
      <c r="K1044" s="137"/>
    </row>
    <row r="1045" ht="75.0" customHeight="1">
      <c r="A1045" s="137"/>
      <c r="B1045" s="149"/>
      <c r="C1045" s="149"/>
      <c r="D1045" s="149"/>
      <c r="E1045" s="150"/>
      <c r="F1045" s="143"/>
      <c r="G1045" s="143"/>
      <c r="H1045" s="151"/>
      <c r="I1045" s="151"/>
      <c r="J1045" s="151"/>
      <c r="K1045" s="137"/>
    </row>
    <row r="1046" ht="75.0" customHeight="1">
      <c r="A1046" s="137"/>
      <c r="B1046" s="149"/>
      <c r="C1046" s="149"/>
      <c r="D1046" s="149"/>
      <c r="E1046" s="150"/>
      <c r="F1046" s="143"/>
      <c r="G1046" s="143"/>
      <c r="H1046" s="151"/>
      <c r="I1046" s="151"/>
      <c r="J1046" s="151"/>
      <c r="K1046" s="137"/>
    </row>
    <row r="1047" ht="75.0" customHeight="1">
      <c r="A1047" s="137"/>
      <c r="B1047" s="149"/>
      <c r="C1047" s="149"/>
      <c r="D1047" s="149"/>
      <c r="E1047" s="150"/>
      <c r="F1047" s="143"/>
      <c r="G1047" s="143"/>
      <c r="H1047" s="151"/>
      <c r="I1047" s="151"/>
      <c r="J1047" s="151"/>
      <c r="K1047" s="137"/>
    </row>
    <row r="1048" ht="75.0" customHeight="1">
      <c r="A1048" s="137"/>
      <c r="B1048" s="149"/>
      <c r="C1048" s="149"/>
      <c r="D1048" s="149"/>
      <c r="E1048" s="150"/>
      <c r="F1048" s="143"/>
      <c r="G1048" s="143"/>
      <c r="H1048" s="151"/>
      <c r="I1048" s="151"/>
      <c r="J1048" s="151"/>
      <c r="K1048" s="137"/>
    </row>
    <row r="1049" ht="75.0" customHeight="1">
      <c r="A1049" s="137"/>
      <c r="B1049" s="149"/>
      <c r="C1049" s="149"/>
      <c r="D1049" s="149"/>
      <c r="E1049" s="150"/>
      <c r="F1049" s="143"/>
      <c r="G1049" s="143"/>
      <c r="H1049" s="151"/>
      <c r="I1049" s="151"/>
      <c r="J1049" s="151"/>
      <c r="K1049" s="137"/>
    </row>
    <row r="1050" ht="75.0" customHeight="1">
      <c r="A1050" s="137"/>
      <c r="B1050" s="149"/>
      <c r="C1050" s="149"/>
      <c r="D1050" s="149"/>
      <c r="E1050" s="150"/>
      <c r="F1050" s="143"/>
      <c r="G1050" s="143"/>
      <c r="H1050" s="151"/>
      <c r="I1050" s="151"/>
      <c r="J1050" s="151"/>
      <c r="K1050" s="137"/>
    </row>
    <row r="1051" ht="75.0" customHeight="1">
      <c r="A1051" s="137"/>
      <c r="B1051" s="149"/>
      <c r="C1051" s="149"/>
      <c r="D1051" s="149"/>
      <c r="E1051" s="150"/>
      <c r="F1051" s="143"/>
      <c r="G1051" s="143"/>
      <c r="H1051" s="151"/>
      <c r="I1051" s="151"/>
      <c r="J1051" s="151"/>
      <c r="K1051" s="137"/>
    </row>
    <row r="1052" ht="75.0" customHeight="1">
      <c r="A1052" s="137"/>
      <c r="B1052" s="149"/>
      <c r="C1052" s="149"/>
      <c r="D1052" s="149"/>
      <c r="E1052" s="150"/>
      <c r="F1052" s="143"/>
      <c r="G1052" s="143"/>
      <c r="H1052" s="151"/>
      <c r="I1052" s="151"/>
      <c r="J1052" s="151"/>
      <c r="K1052" s="137"/>
    </row>
    <row r="1053" ht="75.0" customHeight="1">
      <c r="A1053" s="137"/>
      <c r="B1053" s="149"/>
      <c r="C1053" s="149"/>
      <c r="D1053" s="149"/>
      <c r="E1053" s="150"/>
      <c r="F1053" s="143"/>
      <c r="G1053" s="143"/>
      <c r="H1053" s="151"/>
      <c r="I1053" s="151"/>
      <c r="J1053" s="151"/>
      <c r="K1053" s="137"/>
    </row>
    <row r="1054" ht="75.0" customHeight="1">
      <c r="A1054" s="137"/>
      <c r="B1054" s="149"/>
      <c r="C1054" s="149"/>
      <c r="D1054" s="149"/>
      <c r="E1054" s="150"/>
      <c r="F1054" s="143"/>
      <c r="G1054" s="143"/>
      <c r="H1054" s="151"/>
      <c r="I1054" s="151"/>
      <c r="J1054" s="151"/>
      <c r="K1054" s="137"/>
    </row>
    <row r="1055" ht="75.0" customHeight="1">
      <c r="A1055" s="137"/>
      <c r="B1055" s="149"/>
      <c r="C1055" s="149"/>
      <c r="D1055" s="149"/>
      <c r="E1055" s="150"/>
      <c r="F1055" s="143"/>
      <c r="G1055" s="143"/>
      <c r="H1055" s="151"/>
      <c r="I1055" s="151"/>
      <c r="J1055" s="151"/>
      <c r="K1055" s="137"/>
    </row>
    <row r="1056" ht="75.0" customHeight="1">
      <c r="A1056" s="137"/>
      <c r="B1056" s="149"/>
      <c r="C1056" s="149"/>
      <c r="D1056" s="149"/>
      <c r="E1056" s="150"/>
      <c r="F1056" s="143"/>
      <c r="G1056" s="143"/>
      <c r="H1056" s="151"/>
      <c r="I1056" s="151"/>
      <c r="J1056" s="151"/>
      <c r="K1056" s="137"/>
    </row>
    <row r="1057" ht="75.0" customHeight="1">
      <c r="A1057" s="137"/>
      <c r="B1057" s="149"/>
      <c r="C1057" s="149"/>
      <c r="D1057" s="149"/>
      <c r="E1057" s="150"/>
      <c r="F1057" s="143"/>
      <c r="G1057" s="143"/>
      <c r="H1057" s="151"/>
      <c r="I1057" s="151"/>
      <c r="J1057" s="151"/>
      <c r="K1057" s="137"/>
    </row>
    <row r="1058" ht="75.0" customHeight="1">
      <c r="A1058" s="137"/>
      <c r="B1058" s="149"/>
      <c r="C1058" s="149"/>
      <c r="D1058" s="149"/>
      <c r="E1058" s="150"/>
      <c r="F1058" s="143"/>
      <c r="G1058" s="143"/>
      <c r="H1058" s="151"/>
      <c r="I1058" s="151"/>
      <c r="J1058" s="151"/>
      <c r="K1058" s="137"/>
    </row>
    <row r="1059" ht="75.0" customHeight="1">
      <c r="A1059" s="137"/>
      <c r="B1059" s="149"/>
      <c r="C1059" s="149"/>
      <c r="D1059" s="149"/>
      <c r="E1059" s="150"/>
      <c r="F1059" s="143"/>
      <c r="G1059" s="143"/>
      <c r="H1059" s="151"/>
      <c r="I1059" s="151"/>
      <c r="J1059" s="151"/>
      <c r="K1059" s="137"/>
    </row>
    <row r="1060" ht="75.0" customHeight="1">
      <c r="A1060" s="137"/>
      <c r="B1060" s="149"/>
      <c r="C1060" s="149"/>
      <c r="D1060" s="149"/>
      <c r="E1060" s="150"/>
      <c r="F1060" s="143"/>
      <c r="G1060" s="143"/>
      <c r="H1060" s="151"/>
      <c r="I1060" s="151"/>
      <c r="J1060" s="151"/>
      <c r="K1060" s="137"/>
    </row>
    <row r="1061" ht="75.0" customHeight="1">
      <c r="A1061" s="137"/>
      <c r="B1061" s="149"/>
      <c r="C1061" s="149"/>
      <c r="D1061" s="149"/>
      <c r="E1061" s="150"/>
      <c r="F1061" s="143"/>
      <c r="G1061" s="143"/>
      <c r="H1061" s="151"/>
      <c r="I1061" s="151"/>
      <c r="J1061" s="151"/>
      <c r="K1061" s="137"/>
    </row>
    <row r="1062" ht="75.0" customHeight="1">
      <c r="A1062" s="137"/>
      <c r="B1062" s="149"/>
      <c r="C1062" s="149"/>
      <c r="D1062" s="149"/>
      <c r="E1062" s="150"/>
      <c r="F1062" s="143"/>
      <c r="G1062" s="143"/>
      <c r="H1062" s="151"/>
      <c r="I1062" s="151"/>
      <c r="J1062" s="151"/>
      <c r="K1062" s="137"/>
    </row>
    <row r="1063" ht="75.0" customHeight="1">
      <c r="A1063" s="137"/>
      <c r="B1063" s="149"/>
      <c r="C1063" s="149"/>
      <c r="D1063" s="149"/>
      <c r="E1063" s="150"/>
      <c r="F1063" s="143"/>
      <c r="G1063" s="143"/>
      <c r="H1063" s="151"/>
      <c r="I1063" s="151"/>
      <c r="J1063" s="151"/>
      <c r="K1063" s="137"/>
    </row>
    <row r="1064" ht="75.0" customHeight="1">
      <c r="A1064" s="137"/>
      <c r="B1064" s="149"/>
      <c r="C1064" s="149"/>
      <c r="D1064" s="149"/>
      <c r="E1064" s="150"/>
      <c r="F1064" s="143"/>
      <c r="G1064" s="143"/>
      <c r="H1064" s="151"/>
      <c r="I1064" s="151"/>
      <c r="J1064" s="151"/>
      <c r="K1064" s="137"/>
    </row>
    <row r="1065" ht="75.0" customHeight="1">
      <c r="A1065" s="137"/>
      <c r="B1065" s="149"/>
      <c r="C1065" s="149"/>
      <c r="D1065" s="149"/>
      <c r="E1065" s="150"/>
      <c r="F1065" s="143"/>
      <c r="G1065" s="143"/>
      <c r="H1065" s="151"/>
      <c r="I1065" s="151"/>
      <c r="J1065" s="151"/>
      <c r="K1065" s="137"/>
    </row>
    <row r="1066" ht="75.0" customHeight="1">
      <c r="A1066" s="137"/>
      <c r="B1066" s="149"/>
      <c r="C1066" s="149"/>
      <c r="D1066" s="149"/>
      <c r="E1066" s="150"/>
      <c r="F1066" s="143"/>
      <c r="G1066" s="143"/>
      <c r="H1066" s="151"/>
      <c r="I1066" s="151"/>
      <c r="J1066" s="151"/>
      <c r="K1066" s="137"/>
    </row>
    <row r="1067" ht="75.0" customHeight="1">
      <c r="A1067" s="137"/>
      <c r="B1067" s="149"/>
      <c r="C1067" s="149"/>
      <c r="D1067" s="149"/>
      <c r="E1067" s="150"/>
      <c r="F1067" s="143"/>
      <c r="G1067" s="143"/>
      <c r="H1067" s="151"/>
      <c r="I1067" s="151"/>
      <c r="J1067" s="151"/>
      <c r="K1067" s="137"/>
    </row>
    <row r="1068" ht="75.0" customHeight="1">
      <c r="A1068" s="137"/>
      <c r="B1068" s="149"/>
      <c r="C1068" s="149"/>
      <c r="D1068" s="149"/>
      <c r="E1068" s="150"/>
      <c r="F1068" s="143"/>
      <c r="G1068" s="143"/>
      <c r="H1068" s="151"/>
      <c r="I1068" s="151"/>
      <c r="J1068" s="151"/>
      <c r="K1068" s="137"/>
    </row>
    <row r="1069" ht="75.0" customHeight="1">
      <c r="A1069" s="137"/>
      <c r="B1069" s="149"/>
      <c r="C1069" s="149"/>
      <c r="D1069" s="149"/>
      <c r="E1069" s="150"/>
      <c r="F1069" s="143"/>
      <c r="G1069" s="143"/>
      <c r="H1069" s="151"/>
      <c r="I1069" s="151"/>
      <c r="J1069" s="151"/>
      <c r="K1069" s="137"/>
    </row>
    <row r="1070" ht="75.0" customHeight="1">
      <c r="A1070" s="137"/>
      <c r="B1070" s="149"/>
      <c r="C1070" s="149"/>
      <c r="D1070" s="149"/>
      <c r="E1070" s="150"/>
      <c r="F1070" s="143"/>
      <c r="G1070" s="143"/>
      <c r="H1070" s="151"/>
      <c r="I1070" s="151"/>
      <c r="J1070" s="151"/>
      <c r="K1070" s="137"/>
    </row>
    <row r="1071" ht="75.0" customHeight="1">
      <c r="A1071" s="137"/>
      <c r="B1071" s="149"/>
      <c r="C1071" s="149"/>
      <c r="D1071" s="149"/>
      <c r="E1071" s="150"/>
      <c r="F1071" s="143"/>
      <c r="G1071" s="143"/>
      <c r="H1071" s="151"/>
      <c r="I1071" s="151"/>
      <c r="J1071" s="151"/>
      <c r="K1071" s="137"/>
    </row>
    <row r="1072" ht="75.0" customHeight="1">
      <c r="A1072" s="137"/>
      <c r="B1072" s="149"/>
      <c r="C1072" s="149"/>
      <c r="D1072" s="149"/>
      <c r="E1072" s="150"/>
      <c r="F1072" s="143"/>
      <c r="G1072" s="143"/>
      <c r="H1072" s="151"/>
      <c r="I1072" s="151"/>
      <c r="J1072" s="151"/>
      <c r="K1072" s="137"/>
    </row>
    <row r="1073" ht="75.0" customHeight="1">
      <c r="A1073" s="137"/>
      <c r="B1073" s="149"/>
      <c r="C1073" s="149"/>
      <c r="D1073" s="149"/>
      <c r="E1073" s="150"/>
      <c r="F1073" s="143"/>
      <c r="G1073" s="143"/>
      <c r="H1073" s="151"/>
      <c r="I1073" s="151"/>
      <c r="J1073" s="151"/>
      <c r="K1073" s="137"/>
    </row>
    <row r="1074" ht="75.0" customHeight="1">
      <c r="A1074" s="137"/>
      <c r="B1074" s="149"/>
      <c r="C1074" s="149"/>
      <c r="D1074" s="149"/>
      <c r="E1074" s="150"/>
      <c r="F1074" s="143"/>
      <c r="G1074" s="143"/>
      <c r="H1074" s="151"/>
      <c r="I1074" s="151"/>
      <c r="J1074" s="151"/>
      <c r="K1074" s="137"/>
    </row>
    <row r="1075" ht="75.0" customHeight="1">
      <c r="A1075" s="137"/>
      <c r="B1075" s="149"/>
      <c r="C1075" s="149"/>
      <c r="D1075" s="149"/>
      <c r="E1075" s="150"/>
      <c r="F1075" s="143"/>
      <c r="G1075" s="143"/>
      <c r="H1075" s="151"/>
      <c r="I1075" s="151"/>
      <c r="J1075" s="151"/>
      <c r="K1075" s="137"/>
    </row>
    <row r="1076" ht="75.0" customHeight="1">
      <c r="A1076" s="137"/>
      <c r="B1076" s="149"/>
      <c r="C1076" s="149"/>
      <c r="D1076" s="149"/>
      <c r="E1076" s="150"/>
      <c r="F1076" s="143"/>
      <c r="G1076" s="143"/>
      <c r="H1076" s="151"/>
      <c r="I1076" s="151"/>
      <c r="J1076" s="151"/>
      <c r="K1076" s="137"/>
    </row>
    <row r="1077" ht="75.0" customHeight="1">
      <c r="A1077" s="137"/>
      <c r="B1077" s="149"/>
      <c r="C1077" s="149"/>
      <c r="D1077" s="149"/>
      <c r="E1077" s="150"/>
      <c r="F1077" s="143"/>
      <c r="G1077" s="143"/>
      <c r="H1077" s="151"/>
      <c r="I1077" s="151"/>
      <c r="J1077" s="151"/>
      <c r="K1077" s="137"/>
    </row>
    <row r="1078" ht="75.0" customHeight="1">
      <c r="A1078" s="137"/>
      <c r="B1078" s="149"/>
      <c r="C1078" s="149"/>
      <c r="D1078" s="149"/>
      <c r="E1078" s="150"/>
      <c r="F1078" s="143"/>
      <c r="G1078" s="143"/>
      <c r="H1078" s="151"/>
      <c r="I1078" s="151"/>
      <c r="J1078" s="151"/>
      <c r="K1078" s="137"/>
    </row>
  </sheetData>
  <mergeCells count="23">
    <mergeCell ref="D1:J1"/>
    <mergeCell ref="D2:J2"/>
    <mergeCell ref="D6:J6"/>
    <mergeCell ref="D7:J7"/>
    <mergeCell ref="D18:J18"/>
    <mergeCell ref="D27:J27"/>
    <mergeCell ref="D41:J41"/>
    <mergeCell ref="D60:J60"/>
    <mergeCell ref="D72:J72"/>
    <mergeCell ref="D81:J81"/>
    <mergeCell ref="D91:J91"/>
    <mergeCell ref="D92:J92"/>
    <mergeCell ref="D101:J101"/>
    <mergeCell ref="D112:J112"/>
    <mergeCell ref="D200:J200"/>
    <mergeCell ref="D209:J209"/>
    <mergeCell ref="D125:J125"/>
    <mergeCell ref="D135:J135"/>
    <mergeCell ref="D146:J146"/>
    <mergeCell ref="D157:J157"/>
    <mergeCell ref="D167:J167"/>
    <mergeCell ref="D179:J179"/>
    <mergeCell ref="D189:J189"/>
  </mergeCells>
  <hyperlinks>
    <hyperlink r:id="rId1" ref="I3"/>
    <hyperlink r:id="rId2" ref="I4"/>
    <hyperlink r:id="rId3" ref="I5"/>
    <hyperlink r:id="rId4" ref="J8"/>
    <hyperlink r:id="rId5" ref="J9"/>
    <hyperlink r:id="rId6" ref="J10"/>
    <hyperlink r:id="rId7" ref="J11"/>
    <hyperlink r:id="rId8" ref="J12"/>
    <hyperlink r:id="rId9" ref="J13"/>
    <hyperlink r:id="rId10" ref="J14"/>
    <hyperlink r:id="rId11" ref="J15"/>
    <hyperlink r:id="rId12" ref="J16"/>
    <hyperlink r:id="rId13" ref="J17"/>
    <hyperlink r:id="rId14" ref="J19"/>
    <hyperlink r:id="rId15" ref="J20"/>
    <hyperlink r:id="rId16" ref="J21"/>
    <hyperlink r:id="rId17" ref="J22"/>
    <hyperlink r:id="rId18" ref="J23"/>
    <hyperlink r:id="rId19" ref="J24"/>
    <hyperlink r:id="rId20" ref="J25"/>
    <hyperlink r:id="rId21" ref="J26"/>
    <hyperlink r:id="rId22" ref="J28"/>
    <hyperlink r:id="rId23" ref="J29"/>
    <hyperlink r:id="rId24" ref="J30"/>
    <hyperlink r:id="rId25" ref="J31"/>
    <hyperlink r:id="rId26" ref="J32"/>
    <hyperlink r:id="rId27" ref="J33"/>
    <hyperlink r:id="rId28" ref="J34"/>
    <hyperlink r:id="rId29" ref="J35"/>
    <hyperlink r:id="rId30" ref="J36"/>
    <hyperlink r:id="rId31" ref="J37"/>
    <hyperlink r:id="rId32" ref="J38"/>
    <hyperlink r:id="rId33" ref="J42"/>
    <hyperlink r:id="rId34" ref="J43"/>
    <hyperlink r:id="rId35" ref="J44"/>
    <hyperlink r:id="rId36" ref="J45"/>
    <hyperlink r:id="rId37" ref="J46"/>
    <hyperlink r:id="rId38" ref="J47"/>
    <hyperlink r:id="rId39" ref="J48"/>
    <hyperlink r:id="rId40" ref="J49"/>
    <hyperlink r:id="rId41" ref="J50"/>
    <hyperlink r:id="rId42" ref="J51"/>
    <hyperlink r:id="rId43" ref="J52"/>
    <hyperlink r:id="rId44" ref="J53"/>
    <hyperlink r:id="rId45" ref="J54"/>
    <hyperlink r:id="rId46" ref="J55"/>
    <hyperlink r:id="rId47" ref="J56"/>
    <hyperlink r:id="rId48" ref="J57"/>
    <hyperlink r:id="rId49" ref="J58"/>
    <hyperlink r:id="rId50" ref="J59"/>
    <hyperlink r:id="rId51" ref="J61"/>
    <hyperlink r:id="rId52" ref="J62"/>
    <hyperlink r:id="rId53" ref="J63"/>
    <hyperlink r:id="rId54" ref="J64"/>
    <hyperlink r:id="rId55" ref="J65"/>
    <hyperlink r:id="rId56" ref="J66"/>
    <hyperlink r:id="rId57" ref="J67"/>
    <hyperlink r:id="rId58" ref="J68"/>
    <hyperlink r:id="rId59" ref="J69"/>
    <hyperlink r:id="rId60" ref="J70"/>
    <hyperlink r:id="rId61" ref="J71"/>
    <hyperlink r:id="rId62" ref="J73"/>
    <hyperlink r:id="rId63" ref="J74"/>
    <hyperlink r:id="rId64" ref="J75"/>
    <hyperlink r:id="rId65" ref="J76"/>
    <hyperlink r:id="rId66" ref="J77"/>
    <hyperlink r:id="rId67" ref="J78"/>
    <hyperlink r:id="rId68" ref="J79"/>
    <hyperlink r:id="rId69" ref="J80"/>
    <hyperlink r:id="rId70" ref="J82"/>
    <hyperlink r:id="rId71" ref="J83"/>
    <hyperlink r:id="rId72" ref="J84"/>
    <hyperlink r:id="rId73" ref="J85"/>
    <hyperlink r:id="rId74" ref="J86"/>
    <hyperlink r:id="rId75" ref="J87"/>
    <hyperlink r:id="rId76" ref="J88"/>
    <hyperlink r:id="rId77" ref="J89"/>
    <hyperlink r:id="rId78" ref="J90"/>
    <hyperlink r:id="rId79" ref="J93"/>
    <hyperlink r:id="rId80" ref="J94"/>
    <hyperlink r:id="rId81" ref="J95"/>
    <hyperlink r:id="rId82" ref="J96"/>
    <hyperlink r:id="rId83" ref="J97"/>
    <hyperlink r:id="rId84" ref="J98"/>
    <hyperlink r:id="rId85" ref="J99"/>
    <hyperlink r:id="rId86" ref="J100"/>
    <hyperlink r:id="rId87" ref="J102"/>
    <hyperlink r:id="rId88" ref="J103"/>
    <hyperlink r:id="rId89" ref="J104"/>
    <hyperlink r:id="rId90" ref="J105"/>
    <hyperlink r:id="rId91" ref="J106"/>
    <hyperlink r:id="rId92" ref="J107"/>
    <hyperlink r:id="rId93" ref="J108"/>
    <hyperlink r:id="rId94" ref="J109"/>
    <hyperlink r:id="rId95" ref="J110"/>
    <hyperlink r:id="rId96" ref="J111"/>
    <hyperlink r:id="rId97" ref="J113"/>
    <hyperlink r:id="rId98" ref="J114"/>
    <hyperlink r:id="rId99" ref="J115"/>
    <hyperlink r:id="rId100" ref="J116"/>
    <hyperlink r:id="rId101" ref="J117"/>
    <hyperlink r:id="rId102" ref="J118"/>
    <hyperlink r:id="rId103" ref="J119"/>
    <hyperlink r:id="rId104" ref="J120"/>
    <hyperlink r:id="rId105" ref="J121"/>
    <hyperlink r:id="rId106" ref="J122"/>
    <hyperlink r:id="rId107" ref="J123"/>
    <hyperlink r:id="rId108" ref="J124"/>
    <hyperlink r:id="rId109" ref="J126"/>
    <hyperlink r:id="rId110" ref="J127"/>
    <hyperlink r:id="rId111" ref="J128"/>
    <hyperlink r:id="rId112" ref="J129"/>
    <hyperlink r:id="rId113" ref="J130"/>
    <hyperlink r:id="rId114" ref="J131"/>
    <hyperlink r:id="rId115" ref="J132"/>
    <hyperlink r:id="rId116" ref="J133"/>
    <hyperlink r:id="rId117" ref="J134"/>
    <hyperlink r:id="rId118" ref="J136"/>
    <hyperlink r:id="rId119" ref="J137"/>
    <hyperlink r:id="rId120" ref="J138"/>
    <hyperlink r:id="rId121" ref="J139"/>
    <hyperlink r:id="rId122" ref="J140"/>
    <hyperlink r:id="rId123" ref="J141"/>
    <hyperlink r:id="rId124" ref="J142"/>
    <hyperlink r:id="rId125" ref="J143"/>
    <hyperlink r:id="rId126" ref="J144"/>
    <hyperlink r:id="rId127" ref="J145"/>
    <hyperlink r:id="rId128" ref="J147"/>
    <hyperlink r:id="rId129" ref="J148"/>
    <hyperlink r:id="rId130" ref="J149"/>
    <hyperlink r:id="rId131" ref="J150"/>
    <hyperlink r:id="rId132" ref="J151"/>
    <hyperlink r:id="rId133" ref="J152"/>
    <hyperlink r:id="rId134" ref="J153"/>
    <hyperlink r:id="rId135" ref="J154"/>
    <hyperlink r:id="rId136" ref="J155"/>
    <hyperlink r:id="rId137" ref="J156"/>
    <hyperlink r:id="rId138" ref="J158"/>
    <hyperlink r:id="rId139" ref="J159"/>
    <hyperlink r:id="rId140" ref="J160"/>
    <hyperlink r:id="rId141" ref="J161"/>
    <hyperlink r:id="rId142" ref="J162"/>
    <hyperlink r:id="rId143" ref="J163"/>
    <hyperlink r:id="rId144" ref="J164"/>
    <hyperlink r:id="rId145" ref="J165"/>
    <hyperlink r:id="rId146" ref="J166"/>
    <hyperlink r:id="rId147" ref="J168"/>
    <hyperlink r:id="rId148" ref="J169"/>
    <hyperlink r:id="rId149" ref="J170"/>
    <hyperlink r:id="rId150" ref="J171"/>
    <hyperlink r:id="rId151" ref="J172"/>
    <hyperlink r:id="rId152" ref="J173"/>
    <hyperlink r:id="rId153" ref="J174"/>
    <hyperlink r:id="rId154" ref="J175"/>
    <hyperlink r:id="rId155" ref="J176"/>
    <hyperlink r:id="rId156" ref="J177"/>
    <hyperlink r:id="rId157" ref="J178"/>
    <hyperlink r:id="rId158" ref="J180"/>
    <hyperlink r:id="rId159" ref="J181"/>
    <hyperlink r:id="rId160" ref="J182"/>
    <hyperlink r:id="rId161" ref="J183"/>
    <hyperlink r:id="rId162" ref="J184"/>
    <hyperlink r:id="rId163" ref="J185"/>
    <hyperlink r:id="rId164" ref="J186"/>
    <hyperlink r:id="rId165" ref="J187"/>
    <hyperlink r:id="rId166" ref="J188"/>
    <hyperlink r:id="rId167" ref="J190"/>
    <hyperlink r:id="rId168" ref="J191"/>
    <hyperlink r:id="rId169" ref="J192"/>
    <hyperlink r:id="rId170" ref="J193"/>
    <hyperlink r:id="rId171" ref="J194"/>
    <hyperlink r:id="rId172" ref="J195"/>
    <hyperlink r:id="rId173" ref="J196"/>
    <hyperlink r:id="rId174" ref="J197"/>
    <hyperlink r:id="rId175" ref="J198"/>
    <hyperlink r:id="rId176" ref="J199"/>
    <hyperlink r:id="rId177" ref="J201"/>
    <hyperlink r:id="rId178" ref="J202"/>
    <hyperlink r:id="rId179" ref="J203"/>
    <hyperlink r:id="rId180" ref="J204"/>
    <hyperlink r:id="rId181" ref="J205"/>
    <hyperlink r:id="rId182" ref="J206"/>
    <hyperlink r:id="rId183" ref="J207"/>
    <hyperlink r:id="rId184" ref="J208"/>
    <hyperlink r:id="rId185" ref="J210"/>
    <hyperlink r:id="rId186" ref="J211"/>
    <hyperlink r:id="rId187" ref="J212"/>
    <hyperlink r:id="rId188" ref="J213"/>
    <hyperlink r:id="rId189" ref="J214"/>
    <hyperlink r:id="rId190" ref="J215"/>
    <hyperlink r:id="rId191" ref="J216"/>
    <hyperlink r:id="rId192" ref="J217"/>
    <hyperlink r:id="rId193" ref="J218"/>
  </hyperlinks>
  <drawing r:id="rId19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5.13"/>
    <col customWidth="1" hidden="1" min="3" max="3" width="15.13"/>
    <col customWidth="1" min="4" max="5" width="5.13"/>
    <col customWidth="1" hidden="1" min="6" max="6" width="15.13"/>
    <col customWidth="1" min="7" max="8" width="5.13"/>
    <col customWidth="1" hidden="1" min="9" max="9" width="15.13"/>
    <col customWidth="1" min="10" max="11" width="5.13"/>
    <col customWidth="1" hidden="1" min="12" max="12" width="15.13"/>
    <col customWidth="1" min="13" max="14" width="5.13"/>
    <col customWidth="1" hidden="1" min="15" max="15" width="15.13"/>
    <col customWidth="1" min="16" max="17" width="5.13"/>
    <col customWidth="1" hidden="1" min="18" max="18" width="15.13"/>
    <col customWidth="1" min="19" max="20" width="5.13"/>
    <col customWidth="1" hidden="1" min="21" max="21" width="15.13"/>
    <col customWidth="1" min="22" max="22" width="5.13"/>
    <col customWidth="1" min="23" max="23" width="3.88"/>
    <col customWidth="1" min="24" max="24" width="5.13"/>
    <col customWidth="1" hidden="1" min="25" max="25" width="15.13"/>
    <col customWidth="1" min="26" max="27" width="5.13"/>
    <col customWidth="1" hidden="1" min="28" max="28" width="15.13"/>
    <col customWidth="1" min="29" max="30" width="5.13"/>
    <col customWidth="1" hidden="1" min="31" max="31" width="15.13"/>
    <col customWidth="1" min="32" max="33" width="5.13"/>
    <col customWidth="1" hidden="1" min="34" max="34" width="15.13"/>
    <col customWidth="1" min="35" max="36" width="5.13"/>
    <col customWidth="1" hidden="1" min="37" max="37" width="15.13"/>
    <col customWidth="1" min="38" max="39" width="5.13"/>
    <col customWidth="1" hidden="1" min="40" max="40" width="15.13"/>
    <col customWidth="1" min="41" max="42" width="5.13"/>
    <col customWidth="1" hidden="1" min="43" max="43" width="15.13"/>
    <col customWidth="1" min="44" max="44" width="5.13"/>
    <col customWidth="1" min="45" max="45" width="3.88"/>
    <col customWidth="1" min="46" max="46" width="5.13"/>
    <col customWidth="1" hidden="1" min="47" max="47" width="15.13"/>
    <col customWidth="1" min="48" max="49" width="5.13"/>
    <col customWidth="1" hidden="1" min="50" max="50" width="15.13"/>
    <col customWidth="1" min="51" max="52" width="5.13"/>
    <col customWidth="1" hidden="1" min="53" max="53" width="15.13"/>
    <col customWidth="1" min="54" max="55" width="5.13"/>
    <col customWidth="1" hidden="1" min="56" max="56" width="15.13"/>
    <col customWidth="1" min="57" max="58" width="5.13"/>
    <col customWidth="1" hidden="1" min="59" max="59" width="15.13"/>
    <col customWidth="1" min="60" max="61" width="5.13"/>
    <col customWidth="1" hidden="1" min="62" max="62" width="15.13"/>
    <col customWidth="1" min="63" max="64" width="5.13"/>
    <col customWidth="1" hidden="1" min="65" max="65" width="15.13"/>
    <col customWidth="1" min="66" max="66" width="5.13"/>
    <col customWidth="1" min="67" max="67" width="4.5"/>
  </cols>
  <sheetData>
    <row r="1" ht="37.5" customHeight="1">
      <c r="A1" s="152"/>
      <c r="B1" s="152"/>
      <c r="C1" s="152" t="s">
        <v>1602</v>
      </c>
      <c r="W1" s="152"/>
      <c r="X1" s="152" t="s">
        <v>1603</v>
      </c>
      <c r="AS1" s="152"/>
      <c r="AT1" s="152" t="s">
        <v>1604</v>
      </c>
      <c r="BO1" s="152"/>
    </row>
    <row r="2" ht="30.0" customHeight="1">
      <c r="A2" s="153"/>
      <c r="B2" s="154" t="s">
        <v>1605</v>
      </c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3"/>
      <c r="X2" s="154" t="s">
        <v>1605</v>
      </c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55"/>
      <c r="AS2" s="153"/>
      <c r="AT2" s="154" t="s">
        <v>1605</v>
      </c>
      <c r="AU2" s="155"/>
      <c r="AV2" s="155"/>
      <c r="AW2" s="155"/>
      <c r="AX2" s="155"/>
      <c r="AY2" s="155"/>
      <c r="AZ2" s="155"/>
      <c r="BA2" s="155"/>
      <c r="BB2" s="155"/>
      <c r="BC2" s="155"/>
      <c r="BD2" s="155"/>
      <c r="BE2" s="155"/>
      <c r="BF2" s="155"/>
      <c r="BG2" s="155"/>
      <c r="BH2" s="155"/>
      <c r="BI2" s="155"/>
      <c r="BJ2" s="155"/>
      <c r="BK2" s="155"/>
      <c r="BL2" s="155"/>
      <c r="BM2" s="155"/>
      <c r="BN2" s="155"/>
      <c r="BO2" s="153"/>
    </row>
    <row r="3" ht="30.0" customHeight="1">
      <c r="B3" s="156" t="s">
        <v>1606</v>
      </c>
      <c r="D3" s="63"/>
      <c r="E3" s="157"/>
      <c r="F3" s="158" t="s">
        <v>1607</v>
      </c>
      <c r="G3" s="159">
        <v>4.0</v>
      </c>
      <c r="H3" s="157"/>
      <c r="I3" s="158" t="s">
        <v>1607</v>
      </c>
      <c r="J3" s="159">
        <v>6.0</v>
      </c>
      <c r="K3" s="157"/>
      <c r="L3" s="158" t="s">
        <v>1607</v>
      </c>
      <c r="M3" s="160">
        <v>8.0</v>
      </c>
      <c r="N3" s="161"/>
      <c r="X3" s="156" t="s">
        <v>1606</v>
      </c>
      <c r="Z3" s="63"/>
      <c r="AA3" s="157"/>
      <c r="AB3" s="158" t="s">
        <v>1607</v>
      </c>
      <c r="AC3" s="159">
        <v>8.0</v>
      </c>
      <c r="AD3" s="157"/>
      <c r="AE3" s="158" t="s">
        <v>1607</v>
      </c>
      <c r="AF3" s="159" t="s">
        <v>1608</v>
      </c>
      <c r="AG3" s="157"/>
      <c r="AH3" s="158" t="s">
        <v>1607</v>
      </c>
      <c r="AI3" s="160" t="s">
        <v>1609</v>
      </c>
      <c r="AJ3" s="161"/>
      <c r="AT3" s="156" t="s">
        <v>1606</v>
      </c>
      <c r="AV3" s="63"/>
      <c r="AW3" s="157"/>
      <c r="AX3" s="158" t="s">
        <v>1607</v>
      </c>
      <c r="AY3" s="159">
        <v>20.0</v>
      </c>
      <c r="AZ3" s="157"/>
      <c r="BA3" s="158" t="s">
        <v>1607</v>
      </c>
      <c r="BB3" s="159">
        <v>30.0</v>
      </c>
      <c r="BC3" s="157"/>
      <c r="BD3" s="158" t="s">
        <v>1607</v>
      </c>
      <c r="BE3" s="160">
        <v>40.0</v>
      </c>
      <c r="BF3" s="162"/>
    </row>
    <row r="4" ht="30.0" customHeight="1">
      <c r="B4" s="163"/>
      <c r="C4" s="163"/>
      <c r="D4" s="67"/>
      <c r="E4" s="164"/>
      <c r="F4" s="165" t="s">
        <v>1610</v>
      </c>
      <c r="G4" s="166" t="s">
        <v>1611</v>
      </c>
      <c r="H4" s="164"/>
      <c r="I4" s="165" t="s">
        <v>1610</v>
      </c>
      <c r="J4" s="167" t="s">
        <v>1612</v>
      </c>
      <c r="K4" s="164"/>
      <c r="L4" s="165" t="s">
        <v>1610</v>
      </c>
      <c r="M4" s="168" t="s">
        <v>1613</v>
      </c>
      <c r="X4" s="163"/>
      <c r="Y4" s="163"/>
      <c r="Z4" s="67"/>
      <c r="AA4" s="164"/>
      <c r="AB4" s="165" t="s">
        <v>1610</v>
      </c>
      <c r="AC4" s="167" t="s">
        <v>1612</v>
      </c>
      <c r="AD4" s="164"/>
      <c r="AE4" s="165" t="s">
        <v>1610</v>
      </c>
      <c r="AF4" s="167" t="s">
        <v>1613</v>
      </c>
      <c r="AG4" s="164"/>
      <c r="AH4" s="165" t="s">
        <v>1610</v>
      </c>
      <c r="AI4" s="168" t="s">
        <v>1614</v>
      </c>
      <c r="AT4" s="163"/>
      <c r="AU4" s="163"/>
      <c r="AV4" s="67"/>
      <c r="AW4" s="164"/>
      <c r="AX4" s="165" t="s">
        <v>1610</v>
      </c>
      <c r="AY4" s="167" t="s">
        <v>1615</v>
      </c>
      <c r="AZ4" s="164"/>
      <c r="BA4" s="165" t="s">
        <v>1610</v>
      </c>
      <c r="BB4" s="167" t="s">
        <v>1616</v>
      </c>
      <c r="BC4" s="164"/>
      <c r="BD4" s="165" t="s">
        <v>1610</v>
      </c>
      <c r="BE4" s="168" t="s">
        <v>1617</v>
      </c>
    </row>
    <row r="5" ht="30.0" customHeight="1">
      <c r="B5" s="169" t="s">
        <v>1618</v>
      </c>
      <c r="C5" s="170"/>
      <c r="D5" s="171"/>
      <c r="E5" s="157"/>
      <c r="F5" s="158" t="s">
        <v>1619</v>
      </c>
      <c r="G5" s="159">
        <v>4.0</v>
      </c>
      <c r="H5" s="157"/>
      <c r="I5" s="158" t="s">
        <v>1619</v>
      </c>
      <c r="J5" s="159">
        <v>6.0</v>
      </c>
      <c r="K5" s="157"/>
      <c r="L5" s="158" t="s">
        <v>1619</v>
      </c>
      <c r="M5" s="160">
        <v>8.0</v>
      </c>
      <c r="N5" s="172"/>
      <c r="O5" s="173" t="s">
        <v>1620</v>
      </c>
      <c r="P5" s="174">
        <v>3.0</v>
      </c>
      <c r="Q5" s="162"/>
      <c r="X5" s="169" t="s">
        <v>1618</v>
      </c>
      <c r="Y5" s="170"/>
      <c r="Z5" s="171"/>
      <c r="AA5" s="157"/>
      <c r="AB5" s="158" t="s">
        <v>1619</v>
      </c>
      <c r="AC5" s="159">
        <v>8.0</v>
      </c>
      <c r="AD5" s="157"/>
      <c r="AE5" s="158" t="s">
        <v>1619</v>
      </c>
      <c r="AF5" s="159" t="s">
        <v>1608</v>
      </c>
      <c r="AG5" s="157"/>
      <c r="AH5" s="158" t="s">
        <v>1619</v>
      </c>
      <c r="AI5" s="160" t="s">
        <v>1609</v>
      </c>
      <c r="AJ5" s="172"/>
      <c r="AK5" s="173" t="s">
        <v>1620</v>
      </c>
      <c r="AL5" s="174">
        <v>6.0</v>
      </c>
      <c r="AM5" s="162"/>
      <c r="AT5" s="169" t="s">
        <v>1618</v>
      </c>
      <c r="AU5" s="170"/>
      <c r="AV5" s="171"/>
      <c r="AW5" s="157"/>
      <c r="AX5" s="158" t="s">
        <v>1619</v>
      </c>
      <c r="AY5" s="159">
        <v>20.0</v>
      </c>
      <c r="AZ5" s="157"/>
      <c r="BA5" s="158" t="s">
        <v>1619</v>
      </c>
      <c r="BB5" s="159">
        <v>30.0</v>
      </c>
      <c r="BC5" s="157"/>
      <c r="BD5" s="158" t="s">
        <v>1619</v>
      </c>
      <c r="BE5" s="160">
        <v>40.0</v>
      </c>
      <c r="BF5" s="172"/>
      <c r="BG5" s="173" t="s">
        <v>1620</v>
      </c>
      <c r="BH5" s="174">
        <v>15.0</v>
      </c>
      <c r="BI5" s="162"/>
    </row>
    <row r="6" ht="30.0" customHeight="1">
      <c r="B6" s="163"/>
      <c r="C6" s="163"/>
      <c r="D6" s="67"/>
      <c r="E6" s="164"/>
      <c r="F6" s="165" t="s">
        <v>1610</v>
      </c>
      <c r="G6" s="166" t="s">
        <v>1611</v>
      </c>
      <c r="H6" s="164"/>
      <c r="I6" s="165" t="s">
        <v>1610</v>
      </c>
      <c r="J6" s="167" t="s">
        <v>1612</v>
      </c>
      <c r="K6" s="164"/>
      <c r="L6" s="165" t="s">
        <v>1610</v>
      </c>
      <c r="M6" s="168" t="s">
        <v>1613</v>
      </c>
      <c r="N6" s="164"/>
      <c r="O6" s="165" t="s">
        <v>1610</v>
      </c>
      <c r="P6" s="168" t="s">
        <v>1616</v>
      </c>
      <c r="X6" s="163"/>
      <c r="Y6" s="163"/>
      <c r="Z6" s="67"/>
      <c r="AA6" s="164"/>
      <c r="AB6" s="165" t="s">
        <v>1610</v>
      </c>
      <c r="AC6" s="167" t="s">
        <v>1612</v>
      </c>
      <c r="AD6" s="164"/>
      <c r="AE6" s="165" t="s">
        <v>1610</v>
      </c>
      <c r="AF6" s="167" t="s">
        <v>1613</v>
      </c>
      <c r="AG6" s="164"/>
      <c r="AH6" s="165" t="s">
        <v>1610</v>
      </c>
      <c r="AI6" s="168" t="s">
        <v>1614</v>
      </c>
      <c r="AJ6" s="164"/>
      <c r="AK6" s="165" t="s">
        <v>1610</v>
      </c>
      <c r="AL6" s="168" t="s">
        <v>1617</v>
      </c>
      <c r="AT6" s="163"/>
      <c r="AU6" s="163"/>
      <c r="AV6" s="67"/>
      <c r="AW6" s="164"/>
      <c r="AX6" s="165" t="s">
        <v>1610</v>
      </c>
      <c r="AY6" s="167" t="s">
        <v>1615</v>
      </c>
      <c r="AZ6" s="164"/>
      <c r="BA6" s="165" t="s">
        <v>1610</v>
      </c>
      <c r="BB6" s="167" t="s">
        <v>1616</v>
      </c>
      <c r="BC6" s="164"/>
      <c r="BD6" s="165" t="s">
        <v>1610</v>
      </c>
      <c r="BE6" s="168" t="s">
        <v>1617</v>
      </c>
      <c r="BF6" s="164"/>
      <c r="BG6" s="165" t="s">
        <v>1610</v>
      </c>
      <c r="BH6" s="168" t="s">
        <v>1621</v>
      </c>
    </row>
    <row r="7" ht="30.0" customHeight="1">
      <c r="B7" s="169" t="s">
        <v>1622</v>
      </c>
      <c r="C7" s="170"/>
      <c r="D7" s="171"/>
      <c r="E7" s="157"/>
      <c r="F7" s="158" t="s">
        <v>1623</v>
      </c>
      <c r="G7" s="159">
        <v>4.0</v>
      </c>
      <c r="H7" s="157"/>
      <c r="I7" s="158" t="s">
        <v>1623</v>
      </c>
      <c r="J7" s="159">
        <v>6.0</v>
      </c>
      <c r="K7" s="157"/>
      <c r="L7" s="158" t="s">
        <v>1623</v>
      </c>
      <c r="M7" s="160">
        <v>8.0</v>
      </c>
      <c r="N7" s="161"/>
      <c r="X7" s="169" t="s">
        <v>1622</v>
      </c>
      <c r="Y7" s="170"/>
      <c r="Z7" s="171"/>
      <c r="AA7" s="157"/>
      <c r="AB7" s="158" t="s">
        <v>1623</v>
      </c>
      <c r="AC7" s="159">
        <v>8.0</v>
      </c>
      <c r="AD7" s="157"/>
      <c r="AE7" s="158" t="s">
        <v>1623</v>
      </c>
      <c r="AF7" s="159" t="s">
        <v>1608</v>
      </c>
      <c r="AG7" s="157"/>
      <c r="AH7" s="158" t="s">
        <v>1623</v>
      </c>
      <c r="AI7" s="160" t="s">
        <v>1609</v>
      </c>
      <c r="AJ7" s="161"/>
      <c r="AT7" s="169" t="s">
        <v>1622</v>
      </c>
      <c r="AU7" s="170"/>
      <c r="AV7" s="171"/>
      <c r="AW7" s="157"/>
      <c r="AX7" s="158" t="s">
        <v>1623</v>
      </c>
      <c r="AY7" s="159">
        <v>20.0</v>
      </c>
      <c r="AZ7" s="157"/>
      <c r="BA7" s="158" t="s">
        <v>1623</v>
      </c>
      <c r="BB7" s="159">
        <v>30.0</v>
      </c>
      <c r="BC7" s="157"/>
      <c r="BD7" s="158" t="s">
        <v>1623</v>
      </c>
      <c r="BE7" s="160">
        <v>40.0</v>
      </c>
      <c r="BF7" s="162"/>
    </row>
    <row r="8" ht="30.0" customHeight="1">
      <c r="B8" s="163"/>
      <c r="C8" s="163"/>
      <c r="D8" s="67"/>
      <c r="E8" s="157"/>
      <c r="F8" s="175" t="s">
        <v>1610</v>
      </c>
      <c r="G8" s="159" t="s">
        <v>1611</v>
      </c>
      <c r="H8" s="157"/>
      <c r="I8" s="175" t="s">
        <v>1610</v>
      </c>
      <c r="J8" s="159" t="s">
        <v>1612</v>
      </c>
      <c r="K8" s="157"/>
      <c r="L8" s="175" t="s">
        <v>1610</v>
      </c>
      <c r="M8" s="160" t="s">
        <v>1613</v>
      </c>
      <c r="N8" s="163"/>
      <c r="O8" s="163"/>
      <c r="P8" s="163"/>
      <c r="Q8" s="163"/>
      <c r="R8" s="163"/>
      <c r="S8" s="163"/>
      <c r="T8" s="163"/>
      <c r="U8" s="163"/>
      <c r="V8" s="163"/>
      <c r="Z8" s="63"/>
      <c r="AA8" s="157"/>
      <c r="AB8" s="175" t="s">
        <v>1610</v>
      </c>
      <c r="AC8" s="159" t="s">
        <v>1612</v>
      </c>
      <c r="AD8" s="164"/>
      <c r="AE8" s="165" t="s">
        <v>1610</v>
      </c>
      <c r="AF8" s="167" t="s">
        <v>1613</v>
      </c>
      <c r="AG8" s="164"/>
      <c r="AH8" s="165" t="s">
        <v>1610</v>
      </c>
      <c r="AI8" s="168" t="s">
        <v>1614</v>
      </c>
      <c r="AV8" s="63"/>
      <c r="AW8" s="157"/>
      <c r="AX8" s="175" t="s">
        <v>1610</v>
      </c>
      <c r="AY8" s="159" t="s">
        <v>1615</v>
      </c>
      <c r="AZ8" s="164"/>
      <c r="BA8" s="165" t="s">
        <v>1610</v>
      </c>
      <c r="BB8" s="167" t="s">
        <v>1616</v>
      </c>
      <c r="BC8" s="164"/>
      <c r="BD8" s="165" t="s">
        <v>1610</v>
      </c>
      <c r="BE8" s="168" t="s">
        <v>1617</v>
      </c>
    </row>
    <row r="9" ht="18.75" customHeight="1">
      <c r="B9" s="176" t="s">
        <v>1624</v>
      </c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X9" s="176" t="s">
        <v>1624</v>
      </c>
      <c r="Y9" s="177"/>
      <c r="Z9" s="177"/>
      <c r="AA9" s="177"/>
      <c r="AB9" s="177"/>
      <c r="AC9" s="177"/>
      <c r="AD9" s="177"/>
      <c r="AE9" s="177"/>
      <c r="AF9" s="177"/>
      <c r="AG9" s="177"/>
      <c r="AH9" s="177"/>
      <c r="AI9" s="177"/>
      <c r="AJ9" s="177"/>
      <c r="AK9" s="177"/>
      <c r="AL9" s="177"/>
      <c r="AM9" s="177"/>
      <c r="AN9" s="177"/>
      <c r="AO9" s="177"/>
      <c r="AP9" s="177"/>
      <c r="AQ9" s="177"/>
      <c r="AR9" s="177"/>
      <c r="AT9" s="176" t="s">
        <v>1624</v>
      </c>
      <c r="AU9" s="177"/>
      <c r="AV9" s="177"/>
      <c r="AW9" s="177"/>
      <c r="AX9" s="177"/>
      <c r="AY9" s="177"/>
      <c r="AZ9" s="177"/>
      <c r="BA9" s="177"/>
      <c r="BB9" s="177"/>
      <c r="BC9" s="177"/>
      <c r="BD9" s="177"/>
      <c r="BE9" s="177"/>
      <c r="BF9" s="177"/>
      <c r="BG9" s="177"/>
      <c r="BH9" s="177"/>
      <c r="BI9" s="177"/>
      <c r="BJ9" s="177"/>
      <c r="BK9" s="177"/>
      <c r="BL9" s="177"/>
      <c r="BM9" s="177"/>
      <c r="BN9" s="177"/>
      <c r="BO9" s="153"/>
    </row>
    <row r="10" ht="18.75" customHeight="1">
      <c r="B10" s="178"/>
      <c r="C10" s="179" t="s">
        <v>1607</v>
      </c>
      <c r="D10" s="180">
        <v>18.0</v>
      </c>
      <c r="E10" s="178"/>
      <c r="F10" s="179" t="s">
        <v>1619</v>
      </c>
      <c r="G10" s="180">
        <v>18.0</v>
      </c>
      <c r="H10" s="178"/>
      <c r="I10" s="179" t="s">
        <v>1623</v>
      </c>
      <c r="J10" s="180">
        <v>18.0</v>
      </c>
      <c r="K10" s="178"/>
      <c r="L10" s="179" t="s">
        <v>1620</v>
      </c>
      <c r="M10" s="181">
        <v>3.0</v>
      </c>
      <c r="N10" s="178"/>
      <c r="O10" s="182" t="s">
        <v>1610</v>
      </c>
      <c r="P10" s="181" t="s">
        <v>1625</v>
      </c>
      <c r="Q10" s="178"/>
      <c r="X10" s="178"/>
      <c r="Y10" s="179" t="s">
        <v>1607</v>
      </c>
      <c r="Z10" s="180">
        <v>36.0</v>
      </c>
      <c r="AA10" s="178"/>
      <c r="AB10" s="179" t="s">
        <v>1619</v>
      </c>
      <c r="AC10" s="180">
        <v>36.0</v>
      </c>
      <c r="AD10" s="178"/>
      <c r="AE10" s="179" t="s">
        <v>1623</v>
      </c>
      <c r="AF10" s="180">
        <v>36.0</v>
      </c>
      <c r="AG10" s="178"/>
      <c r="AH10" s="179" t="s">
        <v>1620</v>
      </c>
      <c r="AI10" s="181">
        <v>6.0</v>
      </c>
      <c r="AJ10" s="178"/>
      <c r="AK10" s="182" t="s">
        <v>1610</v>
      </c>
      <c r="AL10" s="181" t="s">
        <v>1626</v>
      </c>
      <c r="AM10" s="178"/>
      <c r="AT10" s="178"/>
      <c r="AU10" s="179" t="s">
        <v>1607</v>
      </c>
      <c r="AV10" s="180">
        <v>90.0</v>
      </c>
      <c r="AW10" s="178"/>
      <c r="AX10" s="179" t="s">
        <v>1619</v>
      </c>
      <c r="AY10" s="180">
        <v>90.0</v>
      </c>
      <c r="AZ10" s="178"/>
      <c r="BA10" s="179" t="s">
        <v>1623</v>
      </c>
      <c r="BB10" s="180">
        <v>90.0</v>
      </c>
      <c r="BC10" s="178"/>
      <c r="BD10" s="179" t="s">
        <v>1620</v>
      </c>
      <c r="BE10" s="181">
        <v>15.0</v>
      </c>
      <c r="BF10" s="178"/>
      <c r="BG10" s="182" t="s">
        <v>1610</v>
      </c>
      <c r="BH10" s="181" t="s">
        <v>1627</v>
      </c>
      <c r="BI10" s="178"/>
      <c r="BO10" s="153"/>
    </row>
    <row r="11" ht="11.25" customHeight="1">
      <c r="A11" s="153"/>
      <c r="B11" s="183"/>
      <c r="W11" s="153"/>
      <c r="X11" s="184"/>
      <c r="AS11" s="153"/>
      <c r="AT11" s="184"/>
      <c r="BO11" s="153"/>
    </row>
    <row r="12" ht="30.0" customHeight="1">
      <c r="A12" s="185"/>
      <c r="B12" s="186" t="s">
        <v>1628</v>
      </c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85"/>
      <c r="X12" s="186" t="s">
        <v>1628</v>
      </c>
      <c r="Y12" s="155"/>
      <c r="Z12" s="155"/>
      <c r="AA12" s="155"/>
      <c r="AB12" s="155"/>
      <c r="AC12" s="155"/>
      <c r="AD12" s="155"/>
      <c r="AE12" s="155"/>
      <c r="AF12" s="155"/>
      <c r="AG12" s="155"/>
      <c r="AH12" s="155"/>
      <c r="AI12" s="155"/>
      <c r="AJ12" s="155"/>
      <c r="AK12" s="155"/>
      <c r="AL12" s="155"/>
      <c r="AM12" s="155"/>
      <c r="AN12" s="155"/>
      <c r="AO12" s="155"/>
      <c r="AP12" s="155"/>
      <c r="AQ12" s="155"/>
      <c r="AR12" s="155"/>
      <c r="AS12" s="153"/>
      <c r="AT12" s="186" t="s">
        <v>1628</v>
      </c>
      <c r="AU12" s="155"/>
      <c r="AV12" s="155"/>
      <c r="AW12" s="155"/>
      <c r="AX12" s="155"/>
      <c r="AY12" s="155"/>
      <c r="AZ12" s="155"/>
      <c r="BA12" s="155"/>
      <c r="BB12" s="155"/>
      <c r="BC12" s="155"/>
      <c r="BD12" s="155"/>
      <c r="BE12" s="155"/>
      <c r="BF12" s="155"/>
      <c r="BG12" s="155"/>
      <c r="BH12" s="155"/>
      <c r="BI12" s="155"/>
      <c r="BJ12" s="155"/>
      <c r="BK12" s="155"/>
      <c r="BL12" s="155"/>
      <c r="BM12" s="155"/>
      <c r="BN12" s="155"/>
      <c r="BO12" s="153"/>
    </row>
    <row r="13" ht="30.0" customHeight="1">
      <c r="B13" s="156" t="s">
        <v>1606</v>
      </c>
      <c r="D13" s="63"/>
      <c r="E13" s="157"/>
      <c r="F13" s="158" t="s">
        <v>1629</v>
      </c>
      <c r="G13" s="159">
        <v>4.0</v>
      </c>
      <c r="H13" s="157"/>
      <c r="I13" s="158" t="s">
        <v>1629</v>
      </c>
      <c r="J13" s="159">
        <v>6.0</v>
      </c>
      <c r="K13" s="157"/>
      <c r="L13" s="158" t="s">
        <v>1629</v>
      </c>
      <c r="M13" s="160">
        <v>8.0</v>
      </c>
      <c r="N13" s="161"/>
      <c r="X13" s="156" t="s">
        <v>1606</v>
      </c>
      <c r="Z13" s="63"/>
      <c r="AA13" s="157"/>
      <c r="AB13" s="158" t="s">
        <v>1629</v>
      </c>
      <c r="AC13" s="159">
        <v>8.0</v>
      </c>
      <c r="AD13" s="157"/>
      <c r="AE13" s="158" t="s">
        <v>1629</v>
      </c>
      <c r="AF13" s="159" t="s">
        <v>1608</v>
      </c>
      <c r="AG13" s="157"/>
      <c r="AH13" s="158" t="s">
        <v>1629</v>
      </c>
      <c r="AI13" s="160" t="s">
        <v>1609</v>
      </c>
      <c r="AJ13" s="161"/>
      <c r="AT13" s="156" t="s">
        <v>1606</v>
      </c>
      <c r="AV13" s="63"/>
      <c r="AW13" s="157"/>
      <c r="AX13" s="158" t="s">
        <v>1629</v>
      </c>
      <c r="AY13" s="159">
        <v>20.0</v>
      </c>
      <c r="AZ13" s="157"/>
      <c r="BA13" s="158" t="s">
        <v>1629</v>
      </c>
      <c r="BB13" s="159">
        <v>30.0</v>
      </c>
      <c r="BC13" s="157"/>
      <c r="BD13" s="158" t="s">
        <v>1629</v>
      </c>
      <c r="BE13" s="160">
        <v>40.0</v>
      </c>
      <c r="BF13" s="162"/>
    </row>
    <row r="14" ht="30.0" customHeight="1">
      <c r="B14" s="163"/>
      <c r="C14" s="163"/>
      <c r="D14" s="67"/>
      <c r="E14" s="164"/>
      <c r="F14" s="165" t="s">
        <v>1610</v>
      </c>
      <c r="G14" s="167" t="s">
        <v>1630</v>
      </c>
      <c r="H14" s="164"/>
      <c r="I14" s="165" t="s">
        <v>1610</v>
      </c>
      <c r="J14" s="167" t="s">
        <v>1631</v>
      </c>
      <c r="K14" s="164"/>
      <c r="L14" s="165" t="s">
        <v>1610</v>
      </c>
      <c r="M14" s="168" t="s">
        <v>1632</v>
      </c>
      <c r="X14" s="163"/>
      <c r="Y14" s="163"/>
      <c r="Z14" s="67"/>
      <c r="AA14" s="164"/>
      <c r="AB14" s="165" t="s">
        <v>1610</v>
      </c>
      <c r="AC14" s="167" t="s">
        <v>1633</v>
      </c>
      <c r="AD14" s="164"/>
      <c r="AE14" s="165" t="s">
        <v>1610</v>
      </c>
      <c r="AF14" s="167" t="s">
        <v>1632</v>
      </c>
      <c r="AG14" s="164"/>
      <c r="AH14" s="165" t="s">
        <v>1610</v>
      </c>
      <c r="AI14" s="168" t="s">
        <v>1634</v>
      </c>
      <c r="AT14" s="163"/>
      <c r="AU14" s="163"/>
      <c r="AV14" s="67"/>
      <c r="AW14" s="164"/>
      <c r="AX14" s="165" t="s">
        <v>1610</v>
      </c>
      <c r="AY14" s="167" t="s">
        <v>1635</v>
      </c>
      <c r="AZ14" s="164"/>
      <c r="BA14" s="165" t="s">
        <v>1610</v>
      </c>
      <c r="BB14" s="167" t="s">
        <v>1636</v>
      </c>
      <c r="BC14" s="164"/>
      <c r="BD14" s="165" t="s">
        <v>1610</v>
      </c>
      <c r="BE14" s="168" t="s">
        <v>1637</v>
      </c>
    </row>
    <row r="15" ht="30.0" customHeight="1">
      <c r="B15" s="169" t="s">
        <v>1618</v>
      </c>
      <c r="C15" s="170"/>
      <c r="D15" s="171"/>
      <c r="E15" s="157"/>
      <c r="F15" s="158" t="s">
        <v>1638</v>
      </c>
      <c r="G15" s="159">
        <v>4.0</v>
      </c>
      <c r="H15" s="157"/>
      <c r="I15" s="158" t="s">
        <v>1638</v>
      </c>
      <c r="J15" s="159">
        <v>6.0</v>
      </c>
      <c r="K15" s="157"/>
      <c r="L15" s="158" t="s">
        <v>1638</v>
      </c>
      <c r="M15" s="160">
        <v>8.0</v>
      </c>
      <c r="N15" s="172"/>
      <c r="O15" s="173" t="s">
        <v>1639</v>
      </c>
      <c r="P15" s="174">
        <v>3.0</v>
      </c>
      <c r="Q15" s="162"/>
      <c r="X15" s="169" t="s">
        <v>1618</v>
      </c>
      <c r="Y15" s="170"/>
      <c r="Z15" s="171"/>
      <c r="AA15" s="157"/>
      <c r="AB15" s="158" t="s">
        <v>1638</v>
      </c>
      <c r="AC15" s="159">
        <v>8.0</v>
      </c>
      <c r="AD15" s="157"/>
      <c r="AE15" s="158" t="s">
        <v>1638</v>
      </c>
      <c r="AF15" s="159" t="s">
        <v>1608</v>
      </c>
      <c r="AG15" s="157"/>
      <c r="AH15" s="158" t="s">
        <v>1638</v>
      </c>
      <c r="AI15" s="160" t="s">
        <v>1609</v>
      </c>
      <c r="AJ15" s="172"/>
      <c r="AK15" s="173" t="s">
        <v>1639</v>
      </c>
      <c r="AL15" s="174">
        <v>6.0</v>
      </c>
      <c r="AM15" s="162"/>
      <c r="AT15" s="169" t="s">
        <v>1618</v>
      </c>
      <c r="AU15" s="170"/>
      <c r="AV15" s="171"/>
      <c r="AW15" s="157"/>
      <c r="AX15" s="158" t="s">
        <v>1638</v>
      </c>
      <c r="AY15" s="159">
        <v>20.0</v>
      </c>
      <c r="AZ15" s="157"/>
      <c r="BA15" s="158" t="s">
        <v>1638</v>
      </c>
      <c r="BB15" s="159">
        <v>30.0</v>
      </c>
      <c r="BC15" s="157"/>
      <c r="BD15" s="158" t="s">
        <v>1638</v>
      </c>
      <c r="BE15" s="160">
        <v>40.0</v>
      </c>
      <c r="BF15" s="172"/>
      <c r="BG15" s="173" t="s">
        <v>1639</v>
      </c>
      <c r="BH15" s="174">
        <v>15.0</v>
      </c>
      <c r="BI15" s="162"/>
    </row>
    <row r="16" ht="30.0" customHeight="1">
      <c r="B16" s="163"/>
      <c r="C16" s="163"/>
      <c r="D16" s="67"/>
      <c r="E16" s="164"/>
      <c r="F16" s="165" t="s">
        <v>1610</v>
      </c>
      <c r="G16" s="167" t="s">
        <v>1630</v>
      </c>
      <c r="H16" s="164"/>
      <c r="I16" s="165" t="s">
        <v>1610</v>
      </c>
      <c r="J16" s="167" t="s">
        <v>1631</v>
      </c>
      <c r="K16" s="164"/>
      <c r="L16" s="165" t="s">
        <v>1610</v>
      </c>
      <c r="M16" s="168" t="s">
        <v>1632</v>
      </c>
      <c r="N16" s="164"/>
      <c r="O16" s="165" t="s">
        <v>1610</v>
      </c>
      <c r="P16" s="168" t="s">
        <v>1640</v>
      </c>
      <c r="X16" s="163"/>
      <c r="Y16" s="163"/>
      <c r="Z16" s="67"/>
      <c r="AA16" s="164"/>
      <c r="AB16" s="165" t="s">
        <v>1610</v>
      </c>
      <c r="AC16" s="167" t="s">
        <v>1633</v>
      </c>
      <c r="AD16" s="164"/>
      <c r="AE16" s="165" t="s">
        <v>1610</v>
      </c>
      <c r="AF16" s="167" t="s">
        <v>1632</v>
      </c>
      <c r="AG16" s="164"/>
      <c r="AH16" s="165" t="s">
        <v>1610</v>
      </c>
      <c r="AI16" s="168" t="s">
        <v>1634</v>
      </c>
      <c r="AJ16" s="164"/>
      <c r="AK16" s="165" t="s">
        <v>1610</v>
      </c>
      <c r="AL16" s="168" t="s">
        <v>1637</v>
      </c>
      <c r="AT16" s="163"/>
      <c r="AU16" s="163"/>
      <c r="AV16" s="67"/>
      <c r="AW16" s="164"/>
      <c r="AX16" s="165" t="s">
        <v>1610</v>
      </c>
      <c r="AY16" s="167" t="s">
        <v>1635</v>
      </c>
      <c r="AZ16" s="164"/>
      <c r="BA16" s="165" t="s">
        <v>1610</v>
      </c>
      <c r="BB16" s="167" t="s">
        <v>1636</v>
      </c>
      <c r="BC16" s="164"/>
      <c r="BD16" s="165" t="s">
        <v>1610</v>
      </c>
      <c r="BE16" s="168" t="s">
        <v>1637</v>
      </c>
      <c r="BF16" s="164"/>
      <c r="BG16" s="165" t="s">
        <v>1610</v>
      </c>
      <c r="BH16" s="168" t="s">
        <v>1641</v>
      </c>
    </row>
    <row r="17" ht="30.0" customHeight="1">
      <c r="B17" s="169" t="s">
        <v>1622</v>
      </c>
      <c r="C17" s="170"/>
      <c r="D17" s="171"/>
      <c r="E17" s="157"/>
      <c r="F17" s="158" t="s">
        <v>1642</v>
      </c>
      <c r="G17" s="159">
        <v>4.0</v>
      </c>
      <c r="H17" s="157"/>
      <c r="I17" s="158" t="s">
        <v>1642</v>
      </c>
      <c r="J17" s="159">
        <v>6.0</v>
      </c>
      <c r="K17" s="157"/>
      <c r="L17" s="158" t="s">
        <v>1642</v>
      </c>
      <c r="M17" s="160">
        <v>8.0</v>
      </c>
      <c r="N17" s="161"/>
      <c r="X17" s="169" t="s">
        <v>1622</v>
      </c>
      <c r="Y17" s="170"/>
      <c r="Z17" s="171"/>
      <c r="AA17" s="157"/>
      <c r="AB17" s="158" t="s">
        <v>1642</v>
      </c>
      <c r="AC17" s="159">
        <v>8.0</v>
      </c>
      <c r="AD17" s="157"/>
      <c r="AE17" s="158" t="s">
        <v>1642</v>
      </c>
      <c r="AF17" s="159" t="s">
        <v>1608</v>
      </c>
      <c r="AG17" s="157"/>
      <c r="AH17" s="158" t="s">
        <v>1642</v>
      </c>
      <c r="AI17" s="160" t="s">
        <v>1609</v>
      </c>
      <c r="AJ17" s="161"/>
      <c r="AT17" s="169" t="s">
        <v>1622</v>
      </c>
      <c r="AU17" s="170"/>
      <c r="AV17" s="171"/>
      <c r="AW17" s="157"/>
      <c r="AX17" s="158" t="s">
        <v>1642</v>
      </c>
      <c r="AY17" s="159">
        <v>20.0</v>
      </c>
      <c r="AZ17" s="157"/>
      <c r="BA17" s="158" t="s">
        <v>1642</v>
      </c>
      <c r="BB17" s="159">
        <v>30.0</v>
      </c>
      <c r="BC17" s="157"/>
      <c r="BD17" s="158" t="s">
        <v>1642</v>
      </c>
      <c r="BE17" s="160">
        <v>40.0</v>
      </c>
      <c r="BF17" s="162"/>
    </row>
    <row r="18" ht="30.0" customHeight="1">
      <c r="D18" s="63"/>
      <c r="E18" s="157"/>
      <c r="F18" s="175" t="s">
        <v>1610</v>
      </c>
      <c r="G18" s="159" t="s">
        <v>1630</v>
      </c>
      <c r="H18" s="164"/>
      <c r="I18" s="165" t="s">
        <v>1610</v>
      </c>
      <c r="J18" s="167" t="s">
        <v>1631</v>
      </c>
      <c r="K18" s="164"/>
      <c r="L18" s="165" t="s">
        <v>1610</v>
      </c>
      <c r="M18" s="168" t="s">
        <v>1632</v>
      </c>
      <c r="Z18" s="63"/>
      <c r="AA18" s="157"/>
      <c r="AB18" s="175" t="s">
        <v>1610</v>
      </c>
      <c r="AC18" s="159" t="s">
        <v>1633</v>
      </c>
      <c r="AD18" s="164"/>
      <c r="AE18" s="165" t="s">
        <v>1610</v>
      </c>
      <c r="AF18" s="167" t="s">
        <v>1632</v>
      </c>
      <c r="AG18" s="164"/>
      <c r="AH18" s="165" t="s">
        <v>1610</v>
      </c>
      <c r="AI18" s="168" t="s">
        <v>1634</v>
      </c>
      <c r="AV18" s="63"/>
      <c r="AW18" s="157"/>
      <c r="AX18" s="175" t="s">
        <v>1610</v>
      </c>
      <c r="AY18" s="159" t="s">
        <v>1635</v>
      </c>
      <c r="AZ18" s="164"/>
      <c r="BA18" s="165" t="s">
        <v>1610</v>
      </c>
      <c r="BB18" s="167" t="s">
        <v>1636</v>
      </c>
      <c r="BC18" s="164"/>
      <c r="BD18" s="165" t="s">
        <v>1610</v>
      </c>
      <c r="BE18" s="168" t="s">
        <v>1637</v>
      </c>
    </row>
    <row r="19" ht="18.75" customHeight="1">
      <c r="B19" s="187" t="s">
        <v>1624</v>
      </c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X19" s="187" t="s">
        <v>1624</v>
      </c>
      <c r="Y19" s="177"/>
      <c r="Z19" s="177"/>
      <c r="AA19" s="177"/>
      <c r="AB19" s="177"/>
      <c r="AC19" s="177"/>
      <c r="AD19" s="177"/>
      <c r="AE19" s="177"/>
      <c r="AF19" s="177"/>
      <c r="AG19" s="177"/>
      <c r="AH19" s="177"/>
      <c r="AI19" s="177"/>
      <c r="AJ19" s="177"/>
      <c r="AK19" s="177"/>
      <c r="AL19" s="177"/>
      <c r="AM19" s="177"/>
      <c r="AN19" s="177"/>
      <c r="AO19" s="177"/>
      <c r="AP19" s="177"/>
      <c r="AQ19" s="177"/>
      <c r="AR19" s="177"/>
      <c r="AT19" s="187" t="s">
        <v>1624</v>
      </c>
      <c r="AU19" s="177"/>
      <c r="AV19" s="177"/>
      <c r="AW19" s="177"/>
      <c r="AX19" s="177"/>
      <c r="AY19" s="177"/>
      <c r="AZ19" s="177"/>
      <c r="BA19" s="177"/>
      <c r="BB19" s="177"/>
      <c r="BC19" s="177"/>
      <c r="BD19" s="177"/>
      <c r="BE19" s="177"/>
      <c r="BF19" s="177"/>
      <c r="BG19" s="177"/>
      <c r="BH19" s="177"/>
      <c r="BI19" s="177"/>
      <c r="BJ19" s="177"/>
      <c r="BK19" s="177"/>
      <c r="BL19" s="177"/>
      <c r="BM19" s="177"/>
      <c r="BN19" s="177"/>
    </row>
    <row r="20" ht="30.0" customHeight="1">
      <c r="B20" s="178"/>
      <c r="C20" s="179" t="s">
        <v>1629</v>
      </c>
      <c r="D20" s="180">
        <v>18.0</v>
      </c>
      <c r="E20" s="178"/>
      <c r="F20" s="179" t="s">
        <v>1638</v>
      </c>
      <c r="G20" s="180">
        <v>18.0</v>
      </c>
      <c r="H20" s="178"/>
      <c r="I20" s="179" t="s">
        <v>1642</v>
      </c>
      <c r="J20" s="180">
        <v>18.0</v>
      </c>
      <c r="K20" s="178"/>
      <c r="L20" s="179" t="s">
        <v>1639</v>
      </c>
      <c r="M20" s="181">
        <v>3.0</v>
      </c>
      <c r="N20" s="178"/>
      <c r="O20" s="182" t="s">
        <v>1610</v>
      </c>
      <c r="P20" s="181" t="s">
        <v>1643</v>
      </c>
      <c r="Q20" s="178"/>
      <c r="X20" s="178"/>
      <c r="Y20" s="179" t="s">
        <v>1629</v>
      </c>
      <c r="Z20" s="180">
        <v>36.0</v>
      </c>
      <c r="AA20" s="178"/>
      <c r="AB20" s="179" t="s">
        <v>1638</v>
      </c>
      <c r="AC20" s="180">
        <v>36.0</v>
      </c>
      <c r="AD20" s="178"/>
      <c r="AE20" s="179" t="s">
        <v>1642</v>
      </c>
      <c r="AF20" s="180">
        <v>36.0</v>
      </c>
      <c r="AG20" s="178"/>
      <c r="AH20" s="179" t="s">
        <v>1639</v>
      </c>
      <c r="AI20" s="181">
        <v>6.0</v>
      </c>
      <c r="AJ20" s="178"/>
      <c r="AK20" s="182" t="s">
        <v>1610</v>
      </c>
      <c r="AL20" s="181" t="s">
        <v>1644</v>
      </c>
      <c r="AM20" s="178"/>
      <c r="AT20" s="178"/>
      <c r="AU20" s="179" t="s">
        <v>1629</v>
      </c>
      <c r="AV20" s="180">
        <v>90.0</v>
      </c>
      <c r="AW20" s="178"/>
      <c r="AX20" s="179" t="s">
        <v>1638</v>
      </c>
      <c r="AY20" s="180">
        <v>90.0</v>
      </c>
      <c r="AZ20" s="178"/>
      <c r="BA20" s="179" t="s">
        <v>1642</v>
      </c>
      <c r="BB20" s="180">
        <v>90.0</v>
      </c>
      <c r="BC20" s="178"/>
      <c r="BD20" s="179" t="s">
        <v>1639</v>
      </c>
      <c r="BE20" s="181">
        <v>15.0</v>
      </c>
      <c r="BF20" s="178"/>
      <c r="BG20" s="182" t="s">
        <v>1610</v>
      </c>
      <c r="BH20" s="181" t="s">
        <v>1645</v>
      </c>
      <c r="BI20" s="178"/>
    </row>
    <row r="21" ht="11.25" customHeight="1">
      <c r="A21" s="153"/>
      <c r="B21" s="183"/>
      <c r="W21" s="153"/>
      <c r="X21" s="184"/>
      <c r="AS21" s="153"/>
      <c r="AT21" s="184"/>
      <c r="BO21" s="153"/>
    </row>
    <row r="22" ht="30.0" customHeight="1">
      <c r="A22" s="185"/>
      <c r="B22" s="188" t="s">
        <v>1646</v>
      </c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85"/>
      <c r="X22" s="188" t="s">
        <v>1646</v>
      </c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  <c r="AL22" s="155"/>
      <c r="AM22" s="155"/>
      <c r="AN22" s="155"/>
      <c r="AO22" s="155"/>
      <c r="AP22" s="155"/>
      <c r="AQ22" s="155"/>
      <c r="AR22" s="155"/>
      <c r="AS22" s="153"/>
      <c r="AT22" s="188" t="s">
        <v>1646</v>
      </c>
      <c r="AU22" s="155"/>
      <c r="AV22" s="155"/>
      <c r="AW22" s="155"/>
      <c r="AX22" s="155"/>
      <c r="AY22" s="155"/>
      <c r="AZ22" s="155"/>
      <c r="BA22" s="155"/>
      <c r="BB22" s="155"/>
      <c r="BC22" s="155"/>
      <c r="BD22" s="155"/>
      <c r="BE22" s="155"/>
      <c r="BF22" s="155"/>
      <c r="BG22" s="155"/>
      <c r="BH22" s="155"/>
      <c r="BI22" s="155"/>
      <c r="BJ22" s="155"/>
      <c r="BK22" s="155"/>
      <c r="BL22" s="155"/>
      <c r="BM22" s="155"/>
      <c r="BN22" s="155"/>
      <c r="BO22" s="153"/>
    </row>
    <row r="23" ht="30.0" customHeight="1">
      <c r="B23" s="156" t="s">
        <v>1606</v>
      </c>
      <c r="D23" s="63"/>
      <c r="E23" s="189"/>
      <c r="F23" s="190" t="s">
        <v>1647</v>
      </c>
      <c r="G23" s="191">
        <v>1.0</v>
      </c>
      <c r="H23" s="189"/>
      <c r="I23" s="190" t="s">
        <v>1647</v>
      </c>
      <c r="J23" s="191">
        <v>2.0</v>
      </c>
      <c r="K23" s="189"/>
      <c r="L23" s="190" t="s">
        <v>1647</v>
      </c>
      <c r="M23" s="191">
        <v>3.0</v>
      </c>
      <c r="N23" s="189"/>
      <c r="O23" s="190" t="s">
        <v>1647</v>
      </c>
      <c r="P23" s="191">
        <v>4.0</v>
      </c>
      <c r="Q23" s="189"/>
      <c r="R23" s="190" t="s">
        <v>1647</v>
      </c>
      <c r="S23" s="191">
        <v>5.0</v>
      </c>
      <c r="T23" s="192"/>
      <c r="X23" s="156" t="s">
        <v>1606</v>
      </c>
      <c r="Z23" s="63"/>
      <c r="AA23" s="189"/>
      <c r="AB23" s="190" t="s">
        <v>1647</v>
      </c>
      <c r="AC23" s="191">
        <v>2.0</v>
      </c>
      <c r="AD23" s="189"/>
      <c r="AE23" s="190" t="s">
        <v>1647</v>
      </c>
      <c r="AF23" s="191">
        <v>4.0</v>
      </c>
      <c r="AG23" s="189"/>
      <c r="AH23" s="190" t="s">
        <v>1647</v>
      </c>
      <c r="AI23" s="191">
        <v>6.0</v>
      </c>
      <c r="AJ23" s="189"/>
      <c r="AK23" s="190" t="s">
        <v>1647</v>
      </c>
      <c r="AL23" s="191">
        <v>8.0</v>
      </c>
      <c r="AM23" s="189"/>
      <c r="AN23" s="190" t="s">
        <v>1647</v>
      </c>
      <c r="AO23" s="193">
        <v>10.0</v>
      </c>
      <c r="AP23" s="161"/>
      <c r="AT23" s="156" t="s">
        <v>1606</v>
      </c>
      <c r="AV23" s="63"/>
      <c r="AW23" s="189"/>
      <c r="AX23" s="190" t="s">
        <v>1647</v>
      </c>
      <c r="AY23" s="191">
        <v>10.0</v>
      </c>
      <c r="AZ23" s="189"/>
      <c r="BA23" s="190" t="s">
        <v>1647</v>
      </c>
      <c r="BB23" s="191">
        <v>20.0</v>
      </c>
      <c r="BC23" s="189"/>
      <c r="BD23" s="190" t="s">
        <v>1647</v>
      </c>
      <c r="BE23" s="191">
        <v>30.0</v>
      </c>
      <c r="BF23" s="189"/>
      <c r="BG23" s="190" t="s">
        <v>1647</v>
      </c>
      <c r="BH23" s="191">
        <v>40.0</v>
      </c>
      <c r="BI23" s="194"/>
      <c r="BJ23" s="195" t="s">
        <v>1647</v>
      </c>
      <c r="BK23" s="196">
        <v>50.0</v>
      </c>
      <c r="BL23" s="192"/>
    </row>
    <row r="24" ht="30.0" customHeight="1">
      <c r="D24" s="63"/>
      <c r="E24" s="189"/>
      <c r="F24" s="190" t="s">
        <v>1648</v>
      </c>
      <c r="G24" s="191">
        <v>30.0</v>
      </c>
      <c r="H24" s="189"/>
      <c r="I24" s="190" t="s">
        <v>1648</v>
      </c>
      <c r="J24" s="191">
        <v>60.0</v>
      </c>
      <c r="K24" s="189"/>
      <c r="L24" s="190" t="s">
        <v>1648</v>
      </c>
      <c r="M24" s="191">
        <v>90.0</v>
      </c>
      <c r="N24" s="189"/>
      <c r="O24" s="190" t="s">
        <v>1648</v>
      </c>
      <c r="P24" s="191">
        <v>120.0</v>
      </c>
      <c r="Q24" s="189"/>
      <c r="R24" s="190" t="s">
        <v>1648</v>
      </c>
      <c r="S24" s="191">
        <v>150.0</v>
      </c>
      <c r="T24" s="197"/>
      <c r="Z24" s="63"/>
      <c r="AA24" s="189"/>
      <c r="AB24" s="190" t="s">
        <v>1648</v>
      </c>
      <c r="AC24" s="191">
        <v>30.0</v>
      </c>
      <c r="AD24" s="189"/>
      <c r="AE24" s="190" t="s">
        <v>1648</v>
      </c>
      <c r="AF24" s="191">
        <v>60.0</v>
      </c>
      <c r="AG24" s="189"/>
      <c r="AH24" s="190" t="s">
        <v>1648</v>
      </c>
      <c r="AI24" s="191">
        <v>90.0</v>
      </c>
      <c r="AJ24" s="189"/>
      <c r="AK24" s="190" t="s">
        <v>1648</v>
      </c>
      <c r="AL24" s="191">
        <v>120.0</v>
      </c>
      <c r="AM24" s="189"/>
      <c r="AN24" s="190" t="s">
        <v>1648</v>
      </c>
      <c r="AO24" s="193">
        <v>150.0</v>
      </c>
      <c r="AV24" s="63"/>
      <c r="AW24" s="198"/>
      <c r="AX24" s="190" t="s">
        <v>1649</v>
      </c>
      <c r="AY24" s="191">
        <v>15.0</v>
      </c>
      <c r="AZ24" s="198"/>
      <c r="BA24" s="190" t="s">
        <v>1649</v>
      </c>
      <c r="BB24" s="191">
        <v>30.0</v>
      </c>
      <c r="BC24" s="198"/>
      <c r="BD24" s="190" t="s">
        <v>1649</v>
      </c>
      <c r="BE24" s="191">
        <v>45.0</v>
      </c>
      <c r="BF24" s="198"/>
      <c r="BG24" s="190" t="s">
        <v>1649</v>
      </c>
      <c r="BH24" s="191">
        <v>60.0</v>
      </c>
      <c r="BI24" s="199"/>
      <c r="BJ24" s="200" t="s">
        <v>1649</v>
      </c>
      <c r="BK24" s="201">
        <v>75.0</v>
      </c>
      <c r="BL24" s="197"/>
    </row>
    <row r="25" ht="30.0" customHeight="1">
      <c r="D25" s="63"/>
      <c r="G25" s="62"/>
      <c r="J25" s="62"/>
      <c r="M25" s="62"/>
      <c r="P25" s="62"/>
      <c r="S25" s="62"/>
      <c r="T25" s="197"/>
      <c r="Z25" s="63"/>
      <c r="AC25" s="62"/>
      <c r="AF25" s="62"/>
      <c r="AI25" s="62"/>
      <c r="AL25" s="62"/>
      <c r="AO25" s="202"/>
      <c r="AV25" s="63"/>
      <c r="AW25" s="189"/>
      <c r="AX25" s="190" t="s">
        <v>1648</v>
      </c>
      <c r="AY25" s="191">
        <v>30.0</v>
      </c>
      <c r="AZ25" s="189"/>
      <c r="BA25" s="190" t="s">
        <v>1648</v>
      </c>
      <c r="BB25" s="191">
        <v>60.0</v>
      </c>
      <c r="BC25" s="189"/>
      <c r="BD25" s="190" t="s">
        <v>1648</v>
      </c>
      <c r="BE25" s="191">
        <v>90.0</v>
      </c>
      <c r="BF25" s="189"/>
      <c r="BG25" s="190" t="s">
        <v>1648</v>
      </c>
      <c r="BH25" s="191">
        <v>120.0</v>
      </c>
      <c r="BI25" s="199"/>
      <c r="BJ25" s="200" t="s">
        <v>1648</v>
      </c>
      <c r="BK25" s="201">
        <v>150.0</v>
      </c>
      <c r="BL25" s="197"/>
    </row>
    <row r="26" ht="30.0" customHeight="1">
      <c r="B26" s="163"/>
      <c r="C26" s="163"/>
      <c r="D26" s="67"/>
      <c r="E26" s="164"/>
      <c r="F26" s="165" t="s">
        <v>1610</v>
      </c>
      <c r="G26" s="203" t="s">
        <v>1650</v>
      </c>
      <c r="H26" s="164"/>
      <c r="I26" s="165" t="s">
        <v>1610</v>
      </c>
      <c r="J26" s="203" t="s">
        <v>1651</v>
      </c>
      <c r="K26" s="164"/>
      <c r="L26" s="165" t="s">
        <v>1610</v>
      </c>
      <c r="M26" s="203" t="s">
        <v>1632</v>
      </c>
      <c r="N26" s="164"/>
      <c r="O26" s="165" t="s">
        <v>1610</v>
      </c>
      <c r="P26" s="203" t="s">
        <v>1652</v>
      </c>
      <c r="Q26" s="164"/>
      <c r="R26" s="165" t="s">
        <v>1610</v>
      </c>
      <c r="S26" s="203" t="s">
        <v>1635</v>
      </c>
      <c r="T26" s="204"/>
      <c r="U26" s="163"/>
      <c r="V26" s="163"/>
      <c r="X26" s="163"/>
      <c r="Y26" s="163"/>
      <c r="Z26" s="67"/>
      <c r="AA26" s="164"/>
      <c r="AB26" s="165" t="s">
        <v>1610</v>
      </c>
      <c r="AC26" s="203" t="s">
        <v>1653</v>
      </c>
      <c r="AD26" s="164"/>
      <c r="AE26" s="165" t="s">
        <v>1610</v>
      </c>
      <c r="AF26" s="203" t="s">
        <v>1654</v>
      </c>
      <c r="AG26" s="164"/>
      <c r="AH26" s="165" t="s">
        <v>1610</v>
      </c>
      <c r="AI26" s="203" t="s">
        <v>1655</v>
      </c>
      <c r="AJ26" s="164"/>
      <c r="AK26" s="165" t="s">
        <v>1610</v>
      </c>
      <c r="AL26" s="203" t="s">
        <v>1656</v>
      </c>
      <c r="AM26" s="164"/>
      <c r="AN26" s="165" t="s">
        <v>1610</v>
      </c>
      <c r="AO26" s="205" t="s">
        <v>1657</v>
      </c>
      <c r="AT26" s="163"/>
      <c r="AU26" s="163"/>
      <c r="AV26" s="67"/>
      <c r="AW26" s="164"/>
      <c r="AX26" s="165" t="s">
        <v>1610</v>
      </c>
      <c r="AY26" s="203" t="s">
        <v>1658</v>
      </c>
      <c r="AZ26" s="164"/>
      <c r="BA26" s="165" t="s">
        <v>1610</v>
      </c>
      <c r="BB26" s="203" t="s">
        <v>1659</v>
      </c>
      <c r="BC26" s="164"/>
      <c r="BD26" s="165" t="s">
        <v>1610</v>
      </c>
      <c r="BE26" s="203" t="s">
        <v>1621</v>
      </c>
      <c r="BF26" s="164"/>
      <c r="BG26" s="165" t="s">
        <v>1610</v>
      </c>
      <c r="BH26" s="203" t="s">
        <v>1660</v>
      </c>
      <c r="BI26" s="206"/>
      <c r="BJ26" s="207" t="s">
        <v>1610</v>
      </c>
      <c r="BK26" s="208" t="s">
        <v>1661</v>
      </c>
      <c r="BL26" s="204"/>
      <c r="BM26" s="163"/>
      <c r="BN26" s="163"/>
    </row>
    <row r="27" ht="30.0" customHeight="1">
      <c r="B27" s="156" t="s">
        <v>1618</v>
      </c>
      <c r="D27" s="63"/>
      <c r="E27" s="189"/>
      <c r="F27" s="190" t="s">
        <v>1662</v>
      </c>
      <c r="G27" s="191">
        <v>1.0</v>
      </c>
      <c r="H27" s="189"/>
      <c r="I27" s="190" t="s">
        <v>1662</v>
      </c>
      <c r="J27" s="191">
        <v>2.0</v>
      </c>
      <c r="K27" s="189"/>
      <c r="L27" s="190" t="s">
        <v>1662</v>
      </c>
      <c r="M27" s="191">
        <v>3.0</v>
      </c>
      <c r="N27" s="189"/>
      <c r="O27" s="190" t="s">
        <v>1662</v>
      </c>
      <c r="P27" s="191">
        <v>4.0</v>
      </c>
      <c r="Q27" s="189"/>
      <c r="R27" s="190" t="s">
        <v>1662</v>
      </c>
      <c r="S27" s="193">
        <v>5.0</v>
      </c>
      <c r="T27" s="198"/>
      <c r="U27" s="190" t="s">
        <v>1649</v>
      </c>
      <c r="V27" s="209">
        <v>25.0</v>
      </c>
      <c r="X27" s="156" t="s">
        <v>1618</v>
      </c>
      <c r="Z27" s="63"/>
      <c r="AA27" s="189"/>
      <c r="AB27" s="190" t="s">
        <v>1662</v>
      </c>
      <c r="AC27" s="191">
        <v>2.0</v>
      </c>
      <c r="AD27" s="189"/>
      <c r="AE27" s="190" t="s">
        <v>1662</v>
      </c>
      <c r="AF27" s="191">
        <v>4.0</v>
      </c>
      <c r="AG27" s="189"/>
      <c r="AH27" s="190" t="s">
        <v>1662</v>
      </c>
      <c r="AI27" s="191">
        <v>6.0</v>
      </c>
      <c r="AJ27" s="189"/>
      <c r="AK27" s="190" t="s">
        <v>1662</v>
      </c>
      <c r="AL27" s="191">
        <v>8.0</v>
      </c>
      <c r="AM27" s="189"/>
      <c r="AN27" s="190" t="s">
        <v>1662</v>
      </c>
      <c r="AO27" s="193">
        <v>10.0</v>
      </c>
      <c r="AP27" s="210"/>
      <c r="AQ27" s="211" t="s">
        <v>1649</v>
      </c>
      <c r="AR27" s="212">
        <v>50.0</v>
      </c>
      <c r="AT27" s="156" t="s">
        <v>1618</v>
      </c>
      <c r="AV27" s="63"/>
      <c r="AW27" s="189"/>
      <c r="AX27" s="190" t="s">
        <v>1662</v>
      </c>
      <c r="AY27" s="191">
        <v>10.0</v>
      </c>
      <c r="AZ27" s="189"/>
      <c r="BA27" s="190" t="s">
        <v>1662</v>
      </c>
      <c r="BB27" s="191">
        <v>20.0</v>
      </c>
      <c r="BC27" s="189"/>
      <c r="BD27" s="190" t="s">
        <v>1662</v>
      </c>
      <c r="BE27" s="191">
        <v>30.0</v>
      </c>
      <c r="BF27" s="189"/>
      <c r="BG27" s="190" t="s">
        <v>1662</v>
      </c>
      <c r="BH27" s="191">
        <v>40.0</v>
      </c>
      <c r="BI27" s="199"/>
      <c r="BJ27" s="200" t="s">
        <v>1662</v>
      </c>
      <c r="BK27" s="213">
        <v>50.0</v>
      </c>
      <c r="BL27" s="198"/>
      <c r="BM27" s="190" t="s">
        <v>1649</v>
      </c>
      <c r="BN27" s="209">
        <v>100.0</v>
      </c>
    </row>
    <row r="28" ht="30.0" customHeight="1">
      <c r="D28" s="63"/>
      <c r="E28" s="189"/>
      <c r="F28" s="190" t="s">
        <v>1648</v>
      </c>
      <c r="G28" s="191">
        <v>30.0</v>
      </c>
      <c r="H28" s="189"/>
      <c r="I28" s="190" t="s">
        <v>1648</v>
      </c>
      <c r="J28" s="191">
        <v>60.0</v>
      </c>
      <c r="K28" s="189"/>
      <c r="L28" s="190" t="s">
        <v>1648</v>
      </c>
      <c r="M28" s="191">
        <v>90.0</v>
      </c>
      <c r="N28" s="189"/>
      <c r="O28" s="190" t="s">
        <v>1648</v>
      </c>
      <c r="P28" s="191">
        <v>120.0</v>
      </c>
      <c r="Q28" s="189"/>
      <c r="R28" s="190" t="s">
        <v>1648</v>
      </c>
      <c r="S28" s="193">
        <v>150.0</v>
      </c>
      <c r="T28" s="189"/>
      <c r="U28" s="190" t="s">
        <v>1648</v>
      </c>
      <c r="V28" s="209">
        <v>500.0</v>
      </c>
      <c r="Z28" s="63"/>
      <c r="AA28" s="189"/>
      <c r="AB28" s="190" t="s">
        <v>1648</v>
      </c>
      <c r="AC28" s="191">
        <v>30.0</v>
      </c>
      <c r="AD28" s="189"/>
      <c r="AE28" s="190" t="s">
        <v>1648</v>
      </c>
      <c r="AF28" s="191">
        <v>60.0</v>
      </c>
      <c r="AG28" s="189"/>
      <c r="AH28" s="190" t="s">
        <v>1648</v>
      </c>
      <c r="AI28" s="191">
        <v>90.0</v>
      </c>
      <c r="AJ28" s="189"/>
      <c r="AK28" s="190" t="s">
        <v>1648</v>
      </c>
      <c r="AL28" s="191">
        <v>120.0</v>
      </c>
      <c r="AM28" s="189"/>
      <c r="AN28" s="190" t="s">
        <v>1648</v>
      </c>
      <c r="AO28" s="193">
        <v>150.0</v>
      </c>
      <c r="AP28" s="189"/>
      <c r="AQ28" s="190" t="s">
        <v>1648</v>
      </c>
      <c r="AR28" s="209">
        <v>500.0</v>
      </c>
      <c r="AV28" s="63"/>
      <c r="AW28" s="198"/>
      <c r="AX28" s="190" t="s">
        <v>1649</v>
      </c>
      <c r="AY28" s="191">
        <v>15.0</v>
      </c>
      <c r="AZ28" s="198"/>
      <c r="BA28" s="190" t="s">
        <v>1649</v>
      </c>
      <c r="BB28" s="191">
        <v>30.0</v>
      </c>
      <c r="BC28" s="198"/>
      <c r="BD28" s="190" t="s">
        <v>1649</v>
      </c>
      <c r="BE28" s="191">
        <v>45.0</v>
      </c>
      <c r="BF28" s="198"/>
      <c r="BG28" s="190" t="s">
        <v>1649</v>
      </c>
      <c r="BH28" s="191">
        <v>60.0</v>
      </c>
      <c r="BI28" s="199"/>
      <c r="BJ28" s="200" t="s">
        <v>1649</v>
      </c>
      <c r="BK28" s="213">
        <v>75.0</v>
      </c>
      <c r="BL28" s="189"/>
      <c r="BM28" s="190" t="s">
        <v>1648</v>
      </c>
      <c r="BN28" s="209">
        <v>500.0</v>
      </c>
    </row>
    <row r="29" ht="30.0" customHeight="1">
      <c r="D29" s="63"/>
      <c r="G29" s="62"/>
      <c r="J29" s="62"/>
      <c r="M29" s="62"/>
      <c r="P29" s="62"/>
      <c r="S29" s="202"/>
      <c r="Z29" s="63"/>
      <c r="AC29" s="62"/>
      <c r="AF29" s="62"/>
      <c r="AI29" s="62"/>
      <c r="AL29" s="62"/>
      <c r="AO29" s="202"/>
      <c r="AV29" s="63"/>
      <c r="AW29" s="189"/>
      <c r="AX29" s="190" t="s">
        <v>1648</v>
      </c>
      <c r="AY29" s="191">
        <v>30.0</v>
      </c>
      <c r="AZ29" s="189"/>
      <c r="BA29" s="190" t="s">
        <v>1648</v>
      </c>
      <c r="BB29" s="191">
        <v>60.0</v>
      </c>
      <c r="BC29" s="189"/>
      <c r="BD29" s="190" t="s">
        <v>1648</v>
      </c>
      <c r="BE29" s="191">
        <v>90.0</v>
      </c>
      <c r="BF29" s="189"/>
      <c r="BG29" s="190" t="s">
        <v>1648</v>
      </c>
      <c r="BH29" s="191">
        <v>120.0</v>
      </c>
      <c r="BI29" s="199"/>
      <c r="BJ29" s="200" t="s">
        <v>1648</v>
      </c>
      <c r="BK29" s="213">
        <v>150.0</v>
      </c>
    </row>
    <row r="30" ht="30.0" customHeight="1">
      <c r="B30" s="163"/>
      <c r="C30" s="163"/>
      <c r="D30" s="67"/>
      <c r="E30" s="164"/>
      <c r="F30" s="165" t="s">
        <v>1610</v>
      </c>
      <c r="G30" s="203" t="s">
        <v>1650</v>
      </c>
      <c r="H30" s="164"/>
      <c r="I30" s="165" t="s">
        <v>1610</v>
      </c>
      <c r="J30" s="203" t="s">
        <v>1651</v>
      </c>
      <c r="K30" s="164"/>
      <c r="L30" s="165" t="s">
        <v>1610</v>
      </c>
      <c r="M30" s="203" t="s">
        <v>1632</v>
      </c>
      <c r="N30" s="164"/>
      <c r="O30" s="165" t="s">
        <v>1610</v>
      </c>
      <c r="P30" s="203" t="s">
        <v>1652</v>
      </c>
      <c r="Q30" s="164"/>
      <c r="R30" s="165" t="s">
        <v>1610</v>
      </c>
      <c r="S30" s="205" t="s">
        <v>1635</v>
      </c>
      <c r="T30" s="164"/>
      <c r="U30" s="165" t="s">
        <v>1610</v>
      </c>
      <c r="V30" s="209" t="s">
        <v>1636</v>
      </c>
      <c r="X30" s="163"/>
      <c r="Y30" s="163"/>
      <c r="Z30" s="67"/>
      <c r="AA30" s="164"/>
      <c r="AB30" s="165" t="s">
        <v>1610</v>
      </c>
      <c r="AC30" s="203" t="s">
        <v>1653</v>
      </c>
      <c r="AD30" s="164"/>
      <c r="AE30" s="165" t="s">
        <v>1610</v>
      </c>
      <c r="AF30" s="203" t="s">
        <v>1654</v>
      </c>
      <c r="AG30" s="164"/>
      <c r="AH30" s="165" t="s">
        <v>1610</v>
      </c>
      <c r="AI30" s="203" t="s">
        <v>1655</v>
      </c>
      <c r="AJ30" s="164"/>
      <c r="AK30" s="165" t="s">
        <v>1610</v>
      </c>
      <c r="AL30" s="203" t="s">
        <v>1656</v>
      </c>
      <c r="AM30" s="164"/>
      <c r="AN30" s="165" t="s">
        <v>1610</v>
      </c>
      <c r="AO30" s="205" t="s">
        <v>1657</v>
      </c>
      <c r="AP30" s="164"/>
      <c r="AQ30" s="165" t="s">
        <v>1610</v>
      </c>
      <c r="AR30" s="214" t="s">
        <v>1637</v>
      </c>
      <c r="AT30" s="163"/>
      <c r="AU30" s="163"/>
      <c r="AV30" s="67"/>
      <c r="AW30" s="164"/>
      <c r="AX30" s="165" t="s">
        <v>1610</v>
      </c>
      <c r="AY30" s="203" t="s">
        <v>1658</v>
      </c>
      <c r="AZ30" s="164"/>
      <c r="BA30" s="165" t="s">
        <v>1610</v>
      </c>
      <c r="BB30" s="203" t="s">
        <v>1659</v>
      </c>
      <c r="BC30" s="164"/>
      <c r="BD30" s="165" t="s">
        <v>1610</v>
      </c>
      <c r="BE30" s="203" t="s">
        <v>1621</v>
      </c>
      <c r="BF30" s="164"/>
      <c r="BG30" s="165" t="s">
        <v>1610</v>
      </c>
      <c r="BH30" s="203" t="s">
        <v>1660</v>
      </c>
      <c r="BI30" s="206"/>
      <c r="BJ30" s="207" t="s">
        <v>1610</v>
      </c>
      <c r="BK30" s="215" t="s">
        <v>1661</v>
      </c>
      <c r="BL30" s="164"/>
      <c r="BM30" s="165" t="s">
        <v>1610</v>
      </c>
      <c r="BN30" s="209" t="s">
        <v>1663</v>
      </c>
    </row>
    <row r="31" ht="30.0" customHeight="1">
      <c r="B31" s="156" t="s">
        <v>1622</v>
      </c>
      <c r="D31" s="63"/>
      <c r="E31" s="189"/>
      <c r="F31" s="190" t="s">
        <v>1664</v>
      </c>
      <c r="G31" s="191">
        <v>1.0</v>
      </c>
      <c r="H31" s="189"/>
      <c r="I31" s="190" t="s">
        <v>1664</v>
      </c>
      <c r="J31" s="191">
        <v>2.0</v>
      </c>
      <c r="K31" s="189"/>
      <c r="L31" s="190" t="s">
        <v>1664</v>
      </c>
      <c r="M31" s="191">
        <v>3.0</v>
      </c>
      <c r="N31" s="189"/>
      <c r="O31" s="190" t="s">
        <v>1664</v>
      </c>
      <c r="P31" s="191">
        <v>4.0</v>
      </c>
      <c r="Q31" s="189"/>
      <c r="R31" s="190" t="s">
        <v>1664</v>
      </c>
      <c r="S31" s="193">
        <v>5.0</v>
      </c>
      <c r="T31" s="216"/>
      <c r="U31" s="170"/>
      <c r="V31" s="170"/>
      <c r="X31" s="156" t="s">
        <v>1622</v>
      </c>
      <c r="Z31" s="63"/>
      <c r="AA31" s="189"/>
      <c r="AB31" s="190" t="s">
        <v>1664</v>
      </c>
      <c r="AC31" s="191">
        <v>2.0</v>
      </c>
      <c r="AD31" s="189"/>
      <c r="AE31" s="190" t="s">
        <v>1664</v>
      </c>
      <c r="AF31" s="191">
        <v>2.0</v>
      </c>
      <c r="AG31" s="189"/>
      <c r="AH31" s="190" t="s">
        <v>1664</v>
      </c>
      <c r="AI31" s="191">
        <v>6.0</v>
      </c>
      <c r="AJ31" s="189"/>
      <c r="AK31" s="190" t="s">
        <v>1664</v>
      </c>
      <c r="AL31" s="191">
        <v>8.0</v>
      </c>
      <c r="AM31" s="189"/>
      <c r="AN31" s="190" t="s">
        <v>1664</v>
      </c>
      <c r="AO31" s="193">
        <v>10.0</v>
      </c>
      <c r="AP31" s="161"/>
      <c r="AT31" s="156" t="s">
        <v>1622</v>
      </c>
      <c r="AV31" s="63"/>
      <c r="AW31" s="189"/>
      <c r="AX31" s="190" t="s">
        <v>1664</v>
      </c>
      <c r="AY31" s="191">
        <v>10.0</v>
      </c>
      <c r="AZ31" s="189"/>
      <c r="BA31" s="190" t="s">
        <v>1664</v>
      </c>
      <c r="BB31" s="191">
        <v>20.0</v>
      </c>
      <c r="BC31" s="189"/>
      <c r="BD31" s="190" t="s">
        <v>1664</v>
      </c>
      <c r="BE31" s="191">
        <v>30.0</v>
      </c>
      <c r="BF31" s="189"/>
      <c r="BG31" s="190" t="s">
        <v>1664</v>
      </c>
      <c r="BH31" s="191">
        <v>40.0</v>
      </c>
      <c r="BI31" s="199"/>
      <c r="BJ31" s="200" t="s">
        <v>1664</v>
      </c>
      <c r="BK31" s="201">
        <v>50.0</v>
      </c>
      <c r="BL31" s="216"/>
      <c r="BM31" s="170"/>
      <c r="BN31" s="170"/>
    </row>
    <row r="32" ht="30.0" customHeight="1">
      <c r="D32" s="63"/>
      <c r="E32" s="189"/>
      <c r="F32" s="190" t="s">
        <v>1648</v>
      </c>
      <c r="G32" s="191">
        <v>30.0</v>
      </c>
      <c r="H32" s="189"/>
      <c r="I32" s="190" t="s">
        <v>1648</v>
      </c>
      <c r="J32" s="191">
        <v>60.0</v>
      </c>
      <c r="K32" s="189"/>
      <c r="L32" s="190" t="s">
        <v>1648</v>
      </c>
      <c r="M32" s="191">
        <v>90.0</v>
      </c>
      <c r="N32" s="189"/>
      <c r="O32" s="190" t="s">
        <v>1648</v>
      </c>
      <c r="P32" s="191">
        <v>120.0</v>
      </c>
      <c r="Q32" s="189"/>
      <c r="R32" s="190" t="s">
        <v>1648</v>
      </c>
      <c r="S32" s="191">
        <v>150.0</v>
      </c>
      <c r="T32" s="197"/>
      <c r="Z32" s="63"/>
      <c r="AA32" s="189"/>
      <c r="AB32" s="190" t="s">
        <v>1648</v>
      </c>
      <c r="AC32" s="191">
        <v>30.0</v>
      </c>
      <c r="AD32" s="189"/>
      <c r="AE32" s="190" t="s">
        <v>1648</v>
      </c>
      <c r="AF32" s="191">
        <v>60.0</v>
      </c>
      <c r="AG32" s="189"/>
      <c r="AH32" s="190" t="s">
        <v>1648</v>
      </c>
      <c r="AI32" s="191">
        <v>90.0</v>
      </c>
      <c r="AJ32" s="189"/>
      <c r="AK32" s="190" t="s">
        <v>1648</v>
      </c>
      <c r="AL32" s="191">
        <v>120.0</v>
      </c>
      <c r="AM32" s="189"/>
      <c r="AN32" s="190" t="s">
        <v>1648</v>
      </c>
      <c r="AO32" s="193">
        <v>150.0</v>
      </c>
      <c r="AV32" s="63"/>
      <c r="AW32" s="198"/>
      <c r="AX32" s="190" t="s">
        <v>1649</v>
      </c>
      <c r="AY32" s="191">
        <v>15.0</v>
      </c>
      <c r="AZ32" s="198"/>
      <c r="BA32" s="190" t="s">
        <v>1649</v>
      </c>
      <c r="BB32" s="191">
        <v>30.0</v>
      </c>
      <c r="BC32" s="198"/>
      <c r="BD32" s="190" t="s">
        <v>1649</v>
      </c>
      <c r="BE32" s="191">
        <v>45.0</v>
      </c>
      <c r="BF32" s="198"/>
      <c r="BG32" s="190" t="s">
        <v>1649</v>
      </c>
      <c r="BH32" s="191">
        <v>60.0</v>
      </c>
      <c r="BI32" s="199"/>
      <c r="BJ32" s="200" t="s">
        <v>1649</v>
      </c>
      <c r="BK32" s="201">
        <v>75.0</v>
      </c>
      <c r="BL32" s="197"/>
    </row>
    <row r="33" ht="30.0" customHeight="1">
      <c r="D33" s="63"/>
      <c r="G33" s="62"/>
      <c r="J33" s="62"/>
      <c r="M33" s="62"/>
      <c r="P33" s="62"/>
      <c r="S33" s="62"/>
      <c r="T33" s="197"/>
      <c r="Z33" s="63"/>
      <c r="AC33" s="62"/>
      <c r="AF33" s="62"/>
      <c r="AI33" s="62"/>
      <c r="AL33" s="62"/>
      <c r="AO33" s="202"/>
      <c r="AV33" s="63"/>
      <c r="AW33" s="189"/>
      <c r="AX33" s="190" t="s">
        <v>1648</v>
      </c>
      <c r="AY33" s="191">
        <v>30.0</v>
      </c>
      <c r="AZ33" s="189"/>
      <c r="BA33" s="190" t="s">
        <v>1648</v>
      </c>
      <c r="BB33" s="191">
        <v>60.0</v>
      </c>
      <c r="BC33" s="189"/>
      <c r="BD33" s="190" t="s">
        <v>1648</v>
      </c>
      <c r="BE33" s="191">
        <v>90.0</v>
      </c>
      <c r="BF33" s="189"/>
      <c r="BG33" s="190" t="s">
        <v>1648</v>
      </c>
      <c r="BH33" s="191">
        <v>120.0</v>
      </c>
      <c r="BI33" s="199"/>
      <c r="BJ33" s="200" t="s">
        <v>1648</v>
      </c>
      <c r="BK33" s="201">
        <v>150.0</v>
      </c>
      <c r="BL33" s="197"/>
    </row>
    <row r="34" ht="30.0" customHeight="1">
      <c r="D34" s="63"/>
      <c r="E34" s="157"/>
      <c r="F34" s="175" t="s">
        <v>1610</v>
      </c>
      <c r="G34" s="191" t="s">
        <v>1650</v>
      </c>
      <c r="H34" s="157"/>
      <c r="I34" s="175" t="s">
        <v>1610</v>
      </c>
      <c r="J34" s="191" t="s">
        <v>1651</v>
      </c>
      <c r="K34" s="157"/>
      <c r="L34" s="175" t="s">
        <v>1610</v>
      </c>
      <c r="M34" s="191" t="s">
        <v>1632</v>
      </c>
      <c r="N34" s="157"/>
      <c r="O34" s="175" t="s">
        <v>1610</v>
      </c>
      <c r="P34" s="191" t="s">
        <v>1652</v>
      </c>
      <c r="Q34" s="157"/>
      <c r="R34" s="175" t="s">
        <v>1610</v>
      </c>
      <c r="S34" s="191" t="s">
        <v>1635</v>
      </c>
      <c r="T34" s="197"/>
      <c r="Z34" s="63"/>
      <c r="AA34" s="157"/>
      <c r="AB34" s="175" t="s">
        <v>1610</v>
      </c>
      <c r="AC34" s="191" t="s">
        <v>1653</v>
      </c>
      <c r="AD34" s="164"/>
      <c r="AE34" s="165" t="s">
        <v>1610</v>
      </c>
      <c r="AF34" s="203" t="s">
        <v>1651</v>
      </c>
      <c r="AG34" s="164"/>
      <c r="AH34" s="165" t="s">
        <v>1610</v>
      </c>
      <c r="AI34" s="203" t="s">
        <v>1655</v>
      </c>
      <c r="AJ34" s="157"/>
      <c r="AK34" s="175" t="s">
        <v>1610</v>
      </c>
      <c r="AL34" s="191" t="s">
        <v>1656</v>
      </c>
      <c r="AM34" s="157"/>
      <c r="AN34" s="175" t="s">
        <v>1610</v>
      </c>
      <c r="AO34" s="193" t="s">
        <v>1657</v>
      </c>
      <c r="AV34" s="63"/>
      <c r="AW34" s="157"/>
      <c r="AX34" s="175" t="s">
        <v>1610</v>
      </c>
      <c r="AY34" s="191" t="s">
        <v>1658</v>
      </c>
      <c r="AZ34" s="164"/>
      <c r="BA34" s="165" t="s">
        <v>1610</v>
      </c>
      <c r="BB34" s="203" t="s">
        <v>1659</v>
      </c>
      <c r="BC34" s="164"/>
      <c r="BD34" s="165" t="s">
        <v>1610</v>
      </c>
      <c r="BE34" s="203" t="s">
        <v>1621</v>
      </c>
      <c r="BF34" s="157"/>
      <c r="BG34" s="175" t="s">
        <v>1610</v>
      </c>
      <c r="BH34" s="191" t="s">
        <v>1660</v>
      </c>
      <c r="BI34" s="217"/>
      <c r="BJ34" s="218" t="s">
        <v>1610</v>
      </c>
      <c r="BK34" s="219" t="s">
        <v>1661</v>
      </c>
      <c r="BL34" s="197"/>
    </row>
    <row r="35" ht="18.75" customHeight="1">
      <c r="B35" s="220" t="s">
        <v>1624</v>
      </c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X35" s="220" t="s">
        <v>1624</v>
      </c>
      <c r="Y35" s="177"/>
      <c r="Z35" s="177"/>
      <c r="AA35" s="177"/>
      <c r="AB35" s="177"/>
      <c r="AC35" s="177"/>
      <c r="AD35" s="177"/>
      <c r="AE35" s="177"/>
      <c r="AF35" s="177"/>
      <c r="AG35" s="177"/>
      <c r="AH35" s="177"/>
      <c r="AI35" s="177"/>
      <c r="AJ35" s="177"/>
      <c r="AK35" s="177"/>
      <c r="AL35" s="177"/>
      <c r="AM35" s="177"/>
      <c r="AN35" s="177"/>
      <c r="AO35" s="177"/>
      <c r="AP35" s="177"/>
      <c r="AQ35" s="177"/>
      <c r="AR35" s="177"/>
      <c r="AT35" s="220" t="s">
        <v>1624</v>
      </c>
      <c r="AU35" s="177"/>
      <c r="AV35" s="177"/>
      <c r="AW35" s="177"/>
      <c r="AX35" s="177"/>
      <c r="AY35" s="177"/>
      <c r="AZ35" s="177"/>
      <c r="BA35" s="177"/>
      <c r="BB35" s="177"/>
      <c r="BC35" s="177"/>
      <c r="BD35" s="177"/>
      <c r="BE35" s="177"/>
      <c r="BF35" s="177"/>
      <c r="BG35" s="177"/>
      <c r="BH35" s="177"/>
      <c r="BI35" s="177"/>
      <c r="BJ35" s="177"/>
      <c r="BK35" s="177"/>
      <c r="BL35" s="177"/>
      <c r="BM35" s="177"/>
      <c r="BN35" s="177"/>
    </row>
    <row r="36" ht="30.0" customHeight="1">
      <c r="B36" s="178"/>
      <c r="C36" s="179" t="s">
        <v>1665</v>
      </c>
      <c r="D36" s="180">
        <v>15.0</v>
      </c>
      <c r="E36" s="178"/>
      <c r="F36" s="179" t="s">
        <v>1662</v>
      </c>
      <c r="G36" s="180">
        <v>15.0</v>
      </c>
      <c r="H36" s="178"/>
      <c r="I36" s="179" t="s">
        <v>1664</v>
      </c>
      <c r="J36" s="180">
        <v>15.0</v>
      </c>
      <c r="K36" s="178"/>
      <c r="L36" s="182" t="s">
        <v>1648</v>
      </c>
      <c r="M36" s="181">
        <v>1850.0</v>
      </c>
      <c r="N36" s="178"/>
      <c r="O36" s="182" t="s">
        <v>1649</v>
      </c>
      <c r="P36" s="181">
        <v>25.0</v>
      </c>
      <c r="Q36" s="178"/>
      <c r="R36" s="182" t="s">
        <v>1610</v>
      </c>
      <c r="S36" s="221" t="s">
        <v>1666</v>
      </c>
      <c r="T36" s="222"/>
      <c r="X36" s="178"/>
      <c r="Y36" s="179" t="s">
        <v>1665</v>
      </c>
      <c r="Z36" s="180">
        <v>30.0</v>
      </c>
      <c r="AA36" s="178"/>
      <c r="AB36" s="179" t="s">
        <v>1662</v>
      </c>
      <c r="AC36" s="180">
        <v>30.0</v>
      </c>
      <c r="AD36" s="178"/>
      <c r="AE36" s="179" t="s">
        <v>1664</v>
      </c>
      <c r="AF36" s="180">
        <v>30.0</v>
      </c>
      <c r="AG36" s="178"/>
      <c r="AH36" s="182" t="s">
        <v>1648</v>
      </c>
      <c r="AI36" s="181">
        <v>1850.0</v>
      </c>
      <c r="AJ36" s="178"/>
      <c r="AK36" s="182" t="s">
        <v>1649</v>
      </c>
      <c r="AL36" s="181">
        <v>50.0</v>
      </c>
      <c r="AM36" s="178"/>
      <c r="AN36" s="182" t="s">
        <v>1610</v>
      </c>
      <c r="AO36" s="221" t="s">
        <v>1667</v>
      </c>
      <c r="AP36" s="222"/>
      <c r="AT36" s="178"/>
      <c r="AU36" s="179" t="s">
        <v>1665</v>
      </c>
      <c r="AV36" s="180">
        <v>150.0</v>
      </c>
      <c r="AW36" s="178"/>
      <c r="AX36" s="179" t="s">
        <v>1662</v>
      </c>
      <c r="AY36" s="180">
        <v>150.0</v>
      </c>
      <c r="AZ36" s="178"/>
      <c r="BA36" s="179" t="s">
        <v>1664</v>
      </c>
      <c r="BB36" s="180">
        <v>150.0</v>
      </c>
      <c r="BC36" s="178"/>
      <c r="BD36" s="182" t="s">
        <v>1648</v>
      </c>
      <c r="BE36" s="181">
        <v>1850.0</v>
      </c>
      <c r="BF36" s="178"/>
      <c r="BG36" s="182" t="s">
        <v>1649</v>
      </c>
      <c r="BH36" s="181">
        <v>775.0</v>
      </c>
      <c r="BI36" s="178"/>
      <c r="BJ36" s="182" t="s">
        <v>1610</v>
      </c>
      <c r="BK36" s="221" t="s">
        <v>1668</v>
      </c>
      <c r="BL36" s="222"/>
    </row>
    <row r="37" ht="11.25" customHeight="1">
      <c r="A37" s="153"/>
      <c r="B37" s="183"/>
      <c r="W37" s="153"/>
      <c r="X37" s="184"/>
      <c r="AS37" s="153"/>
      <c r="AT37" s="184"/>
      <c r="BO37" s="153"/>
    </row>
    <row r="38" ht="30.0" customHeight="1">
      <c r="A38" s="185"/>
      <c r="B38" s="223" t="s">
        <v>1669</v>
      </c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85"/>
      <c r="X38" s="223" t="s">
        <v>1669</v>
      </c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55"/>
      <c r="AM38" s="155"/>
      <c r="AN38" s="155"/>
      <c r="AO38" s="155"/>
      <c r="AP38" s="155"/>
      <c r="AQ38" s="155"/>
      <c r="AR38" s="155"/>
      <c r="AS38" s="153"/>
      <c r="AT38" s="223" t="s">
        <v>1669</v>
      </c>
      <c r="AU38" s="155"/>
      <c r="AV38" s="155"/>
      <c r="AW38" s="155"/>
      <c r="AX38" s="155"/>
      <c r="AY38" s="155"/>
      <c r="AZ38" s="155"/>
      <c r="BA38" s="155"/>
      <c r="BB38" s="155"/>
      <c r="BC38" s="155"/>
      <c r="BD38" s="155"/>
      <c r="BE38" s="155"/>
      <c r="BF38" s="155"/>
      <c r="BG38" s="155"/>
      <c r="BH38" s="155"/>
      <c r="BI38" s="155"/>
      <c r="BJ38" s="155"/>
      <c r="BK38" s="155"/>
      <c r="BL38" s="155"/>
      <c r="BM38" s="155"/>
      <c r="BN38" s="155"/>
      <c r="BO38" s="153"/>
    </row>
    <row r="39" ht="30.0" customHeight="1">
      <c r="B39" s="156" t="s">
        <v>1606</v>
      </c>
      <c r="D39" s="63"/>
      <c r="E39" s="189"/>
      <c r="F39" s="190" t="s">
        <v>1647</v>
      </c>
      <c r="G39" s="191">
        <v>6.0</v>
      </c>
      <c r="H39" s="189"/>
      <c r="I39" s="190" t="s">
        <v>1647</v>
      </c>
      <c r="J39" s="191">
        <v>7.0</v>
      </c>
      <c r="K39" s="189"/>
      <c r="L39" s="190" t="s">
        <v>1647</v>
      </c>
      <c r="M39" s="191">
        <v>8.0</v>
      </c>
      <c r="N39" s="189"/>
      <c r="O39" s="190" t="s">
        <v>1647</v>
      </c>
      <c r="P39" s="191">
        <v>9.0</v>
      </c>
      <c r="Q39" s="189"/>
      <c r="R39" s="190" t="s">
        <v>1647</v>
      </c>
      <c r="S39" s="191">
        <v>10.0</v>
      </c>
      <c r="T39" s="192"/>
      <c r="X39" s="156" t="s">
        <v>1606</v>
      </c>
      <c r="Z39" s="63"/>
      <c r="AA39" s="189"/>
      <c r="AB39" s="190" t="s">
        <v>1647</v>
      </c>
      <c r="AC39" s="191">
        <v>12.0</v>
      </c>
      <c r="AD39" s="189"/>
      <c r="AE39" s="190" t="s">
        <v>1647</v>
      </c>
      <c r="AF39" s="191">
        <v>14.0</v>
      </c>
      <c r="AG39" s="189"/>
      <c r="AH39" s="190" t="s">
        <v>1647</v>
      </c>
      <c r="AI39" s="191">
        <v>16.0</v>
      </c>
      <c r="AJ39" s="189"/>
      <c r="AK39" s="190" t="s">
        <v>1647</v>
      </c>
      <c r="AL39" s="191">
        <v>18.0</v>
      </c>
      <c r="AM39" s="189"/>
      <c r="AN39" s="190" t="s">
        <v>1647</v>
      </c>
      <c r="AO39" s="191">
        <v>20.0</v>
      </c>
      <c r="AP39" s="224"/>
      <c r="AT39" s="156" t="s">
        <v>1606</v>
      </c>
      <c r="AV39" s="63"/>
      <c r="AW39" s="189"/>
      <c r="AX39" s="190" t="s">
        <v>1647</v>
      </c>
      <c r="AY39" s="191">
        <v>60.0</v>
      </c>
      <c r="AZ39" s="189"/>
      <c r="BA39" s="190" t="s">
        <v>1647</v>
      </c>
      <c r="BB39" s="191">
        <v>70.0</v>
      </c>
      <c r="BC39" s="189"/>
      <c r="BD39" s="190" t="s">
        <v>1647</v>
      </c>
      <c r="BE39" s="191">
        <v>80.0</v>
      </c>
      <c r="BF39" s="189"/>
      <c r="BG39" s="190" t="s">
        <v>1647</v>
      </c>
      <c r="BH39" s="191">
        <v>90.0</v>
      </c>
      <c r="BI39" s="194"/>
      <c r="BJ39" s="195" t="s">
        <v>1647</v>
      </c>
      <c r="BK39" s="196">
        <v>100.0</v>
      </c>
      <c r="BL39" s="192"/>
    </row>
    <row r="40" ht="30.0" customHeight="1">
      <c r="D40" s="63"/>
      <c r="E40" s="189"/>
      <c r="F40" s="190" t="s">
        <v>1670</v>
      </c>
      <c r="G40" s="191">
        <v>1.0</v>
      </c>
      <c r="H40" s="189"/>
      <c r="I40" s="190" t="s">
        <v>1670</v>
      </c>
      <c r="J40" s="191">
        <v>1.0</v>
      </c>
      <c r="K40" s="189"/>
      <c r="L40" s="190" t="s">
        <v>1670</v>
      </c>
      <c r="M40" s="191">
        <v>1.0</v>
      </c>
      <c r="N40" s="189"/>
      <c r="O40" s="190" t="s">
        <v>1670</v>
      </c>
      <c r="P40" s="191">
        <v>1.0</v>
      </c>
      <c r="Q40" s="189"/>
      <c r="R40" s="190" t="s">
        <v>1670</v>
      </c>
      <c r="S40" s="191">
        <v>1.0</v>
      </c>
      <c r="T40" s="197"/>
      <c r="Z40" s="63"/>
      <c r="AA40" s="189"/>
      <c r="AB40" s="190" t="s">
        <v>1670</v>
      </c>
      <c r="AC40" s="191">
        <v>1.0</v>
      </c>
      <c r="AD40" s="189"/>
      <c r="AE40" s="190" t="s">
        <v>1670</v>
      </c>
      <c r="AF40" s="191">
        <v>1.0</v>
      </c>
      <c r="AG40" s="189"/>
      <c r="AH40" s="190" t="s">
        <v>1670</v>
      </c>
      <c r="AI40" s="191">
        <v>1.0</v>
      </c>
      <c r="AJ40" s="189"/>
      <c r="AK40" s="190" t="s">
        <v>1670</v>
      </c>
      <c r="AL40" s="191">
        <v>1.0</v>
      </c>
      <c r="AM40" s="189"/>
      <c r="AN40" s="190" t="s">
        <v>1670</v>
      </c>
      <c r="AO40" s="191">
        <v>1.0</v>
      </c>
      <c r="AP40" s="197"/>
      <c r="AV40" s="63"/>
      <c r="AW40" s="198"/>
      <c r="AX40" s="190" t="s">
        <v>1649</v>
      </c>
      <c r="AY40" s="191">
        <v>120.0</v>
      </c>
      <c r="AZ40" s="198"/>
      <c r="BA40" s="190" t="s">
        <v>1649</v>
      </c>
      <c r="BB40" s="191">
        <v>140.0</v>
      </c>
      <c r="BC40" s="198"/>
      <c r="BD40" s="190" t="s">
        <v>1649</v>
      </c>
      <c r="BE40" s="191">
        <v>160.0</v>
      </c>
      <c r="BF40" s="198"/>
      <c r="BG40" s="190" t="s">
        <v>1649</v>
      </c>
      <c r="BH40" s="191">
        <v>180.0</v>
      </c>
      <c r="BI40" s="199"/>
      <c r="BJ40" s="200" t="s">
        <v>1649</v>
      </c>
      <c r="BK40" s="201">
        <v>200.0</v>
      </c>
      <c r="BL40" s="197"/>
    </row>
    <row r="41" ht="30.0" customHeight="1">
      <c r="D41" s="63"/>
      <c r="G41" s="62"/>
      <c r="J41" s="62"/>
      <c r="M41" s="62"/>
      <c r="P41" s="62"/>
      <c r="S41" s="62"/>
      <c r="T41" s="197"/>
      <c r="Z41" s="63"/>
      <c r="AC41" s="62"/>
      <c r="AF41" s="62"/>
      <c r="AI41" s="62"/>
      <c r="AL41" s="62"/>
      <c r="AO41" s="62"/>
      <c r="AP41" s="197"/>
      <c r="AV41" s="63"/>
      <c r="AW41" s="189"/>
      <c r="AX41" s="190" t="s">
        <v>1670</v>
      </c>
      <c r="AY41" s="191">
        <v>10.0</v>
      </c>
      <c r="AZ41" s="189"/>
      <c r="BA41" s="190" t="s">
        <v>1670</v>
      </c>
      <c r="BB41" s="191">
        <v>10.0</v>
      </c>
      <c r="BC41" s="189"/>
      <c r="BD41" s="190" t="s">
        <v>1670</v>
      </c>
      <c r="BE41" s="191">
        <v>10.0</v>
      </c>
      <c r="BF41" s="189"/>
      <c r="BG41" s="190" t="s">
        <v>1670</v>
      </c>
      <c r="BH41" s="191">
        <v>10.0</v>
      </c>
      <c r="BI41" s="199"/>
      <c r="BJ41" s="200" t="s">
        <v>1670</v>
      </c>
      <c r="BK41" s="201">
        <v>10.0</v>
      </c>
      <c r="BL41" s="197"/>
    </row>
    <row r="42" ht="30.0" customHeight="1">
      <c r="B42" s="163"/>
      <c r="C42" s="163"/>
      <c r="D42" s="67"/>
      <c r="E42" s="164"/>
      <c r="F42" s="165" t="s">
        <v>1610</v>
      </c>
      <c r="G42" s="203" t="s">
        <v>1671</v>
      </c>
      <c r="H42" s="164"/>
      <c r="I42" s="165" t="s">
        <v>1610</v>
      </c>
      <c r="J42" s="203" t="s">
        <v>1655</v>
      </c>
      <c r="K42" s="164"/>
      <c r="L42" s="165" t="s">
        <v>1610</v>
      </c>
      <c r="M42" s="203" t="s">
        <v>1672</v>
      </c>
      <c r="N42" s="164"/>
      <c r="O42" s="165" t="s">
        <v>1610</v>
      </c>
      <c r="P42" s="203" t="s">
        <v>1673</v>
      </c>
      <c r="Q42" s="164"/>
      <c r="R42" s="165" t="s">
        <v>1610</v>
      </c>
      <c r="S42" s="203" t="s">
        <v>1657</v>
      </c>
      <c r="T42" s="204"/>
      <c r="U42" s="163"/>
      <c r="V42" s="163"/>
      <c r="X42" s="163"/>
      <c r="Y42" s="163"/>
      <c r="Z42" s="67"/>
      <c r="AA42" s="164"/>
      <c r="AB42" s="165" t="s">
        <v>1610</v>
      </c>
      <c r="AC42" s="203" t="s">
        <v>1674</v>
      </c>
      <c r="AD42" s="164"/>
      <c r="AE42" s="165" t="s">
        <v>1610</v>
      </c>
      <c r="AF42" s="203" t="s">
        <v>1675</v>
      </c>
      <c r="AG42" s="164"/>
      <c r="AH42" s="165" t="s">
        <v>1610</v>
      </c>
      <c r="AI42" s="203" t="s">
        <v>1676</v>
      </c>
      <c r="AJ42" s="164"/>
      <c r="AK42" s="165" t="s">
        <v>1610</v>
      </c>
      <c r="AL42" s="203" t="s">
        <v>1677</v>
      </c>
      <c r="AM42" s="164"/>
      <c r="AN42" s="165" t="s">
        <v>1610</v>
      </c>
      <c r="AO42" s="203" t="s">
        <v>1678</v>
      </c>
      <c r="AP42" s="204"/>
      <c r="AQ42" s="163"/>
      <c r="AR42" s="163"/>
      <c r="AT42" s="163"/>
      <c r="AU42" s="163"/>
      <c r="AV42" s="67"/>
      <c r="AW42" s="164"/>
      <c r="AX42" s="165" t="s">
        <v>1610</v>
      </c>
      <c r="AY42" s="203" t="s">
        <v>1658</v>
      </c>
      <c r="AZ42" s="164"/>
      <c r="BA42" s="165" t="s">
        <v>1610</v>
      </c>
      <c r="BB42" s="203" t="s">
        <v>1659</v>
      </c>
      <c r="BC42" s="164"/>
      <c r="BD42" s="165" t="s">
        <v>1610</v>
      </c>
      <c r="BE42" s="203" t="s">
        <v>1621</v>
      </c>
      <c r="BF42" s="164"/>
      <c r="BG42" s="165" t="s">
        <v>1610</v>
      </c>
      <c r="BH42" s="203" t="s">
        <v>1660</v>
      </c>
      <c r="BI42" s="206"/>
      <c r="BJ42" s="207" t="s">
        <v>1610</v>
      </c>
      <c r="BK42" s="208" t="s">
        <v>1661</v>
      </c>
      <c r="BL42" s="204"/>
      <c r="BM42" s="163"/>
      <c r="BN42" s="163"/>
    </row>
    <row r="43" ht="30.0" customHeight="1">
      <c r="B43" s="156" t="s">
        <v>1618</v>
      </c>
      <c r="D43" s="63"/>
      <c r="E43" s="189"/>
      <c r="F43" s="190" t="s">
        <v>1662</v>
      </c>
      <c r="G43" s="191">
        <v>6.0</v>
      </c>
      <c r="H43" s="189"/>
      <c r="I43" s="190" t="s">
        <v>1662</v>
      </c>
      <c r="J43" s="191">
        <v>7.0</v>
      </c>
      <c r="K43" s="189"/>
      <c r="L43" s="190" t="s">
        <v>1662</v>
      </c>
      <c r="M43" s="191">
        <v>8.0</v>
      </c>
      <c r="N43" s="189"/>
      <c r="O43" s="190" t="s">
        <v>1662</v>
      </c>
      <c r="P43" s="191">
        <v>9.0</v>
      </c>
      <c r="Q43" s="189"/>
      <c r="R43" s="190" t="s">
        <v>1662</v>
      </c>
      <c r="S43" s="193">
        <v>10.0</v>
      </c>
      <c r="T43" s="198"/>
      <c r="U43" s="190" t="s">
        <v>1649</v>
      </c>
      <c r="V43" s="209">
        <v>50.0</v>
      </c>
      <c r="X43" s="156" t="s">
        <v>1618</v>
      </c>
      <c r="Z43" s="63"/>
      <c r="AA43" s="189"/>
      <c r="AB43" s="190" t="s">
        <v>1662</v>
      </c>
      <c r="AC43" s="191">
        <v>12.0</v>
      </c>
      <c r="AD43" s="189"/>
      <c r="AE43" s="190" t="s">
        <v>1662</v>
      </c>
      <c r="AF43" s="191">
        <v>14.0</v>
      </c>
      <c r="AG43" s="189"/>
      <c r="AH43" s="190" t="s">
        <v>1662</v>
      </c>
      <c r="AI43" s="191">
        <v>16.0</v>
      </c>
      <c r="AJ43" s="189"/>
      <c r="AK43" s="190" t="s">
        <v>1662</v>
      </c>
      <c r="AL43" s="191">
        <v>18.0</v>
      </c>
      <c r="AM43" s="189"/>
      <c r="AN43" s="190" t="s">
        <v>1662</v>
      </c>
      <c r="AO43" s="193">
        <v>20.0</v>
      </c>
      <c r="AP43" s="189"/>
      <c r="AQ43" s="190" t="s">
        <v>1649</v>
      </c>
      <c r="AR43" s="209">
        <v>100.0</v>
      </c>
      <c r="AT43" s="156" t="s">
        <v>1618</v>
      </c>
      <c r="AV43" s="63"/>
      <c r="AW43" s="189"/>
      <c r="AX43" s="190" t="s">
        <v>1662</v>
      </c>
      <c r="AY43" s="191">
        <v>10.0</v>
      </c>
      <c r="AZ43" s="189"/>
      <c r="BA43" s="190" t="s">
        <v>1662</v>
      </c>
      <c r="BB43" s="191">
        <v>20.0</v>
      </c>
      <c r="BC43" s="189"/>
      <c r="BD43" s="190" t="s">
        <v>1662</v>
      </c>
      <c r="BE43" s="191">
        <v>30.0</v>
      </c>
      <c r="BF43" s="189"/>
      <c r="BG43" s="190" t="s">
        <v>1662</v>
      </c>
      <c r="BH43" s="191">
        <v>40.0</v>
      </c>
      <c r="BI43" s="199"/>
      <c r="BJ43" s="200" t="s">
        <v>1662</v>
      </c>
      <c r="BK43" s="213">
        <v>50.0</v>
      </c>
      <c r="BL43" s="198"/>
      <c r="BM43" s="190" t="s">
        <v>1649</v>
      </c>
      <c r="BN43" s="209">
        <v>300.0</v>
      </c>
    </row>
    <row r="44" ht="30.0" customHeight="1">
      <c r="D44" s="63"/>
      <c r="E44" s="189"/>
      <c r="F44" s="190" t="s">
        <v>1670</v>
      </c>
      <c r="G44" s="191">
        <v>1.0</v>
      </c>
      <c r="H44" s="189"/>
      <c r="I44" s="190" t="s">
        <v>1670</v>
      </c>
      <c r="J44" s="191">
        <v>1.0</v>
      </c>
      <c r="K44" s="189"/>
      <c r="L44" s="190" t="s">
        <v>1670</v>
      </c>
      <c r="M44" s="191">
        <v>1.0</v>
      </c>
      <c r="N44" s="189"/>
      <c r="O44" s="190" t="s">
        <v>1670</v>
      </c>
      <c r="P44" s="191">
        <v>1.0</v>
      </c>
      <c r="Q44" s="189"/>
      <c r="R44" s="190" t="s">
        <v>1670</v>
      </c>
      <c r="S44" s="193">
        <v>1.0</v>
      </c>
      <c r="T44" s="189"/>
      <c r="U44" s="190" t="s">
        <v>1648</v>
      </c>
      <c r="V44" s="209">
        <v>5.0</v>
      </c>
      <c r="Z44" s="63"/>
      <c r="AA44" s="189"/>
      <c r="AB44" s="190" t="s">
        <v>1670</v>
      </c>
      <c r="AC44" s="191">
        <v>1.0</v>
      </c>
      <c r="AD44" s="189"/>
      <c r="AE44" s="190" t="s">
        <v>1670</v>
      </c>
      <c r="AF44" s="191">
        <v>1.0</v>
      </c>
      <c r="AG44" s="189"/>
      <c r="AH44" s="190" t="s">
        <v>1670</v>
      </c>
      <c r="AI44" s="191">
        <v>1.0</v>
      </c>
      <c r="AJ44" s="189"/>
      <c r="AK44" s="190" t="s">
        <v>1670</v>
      </c>
      <c r="AL44" s="191">
        <v>1.0</v>
      </c>
      <c r="AM44" s="189"/>
      <c r="AN44" s="190" t="s">
        <v>1670</v>
      </c>
      <c r="AO44" s="193">
        <v>1.0</v>
      </c>
      <c r="AP44" s="189"/>
      <c r="AQ44" s="190" t="s">
        <v>1670</v>
      </c>
      <c r="AR44" s="209">
        <v>10.0</v>
      </c>
      <c r="AV44" s="63"/>
      <c r="AW44" s="198"/>
      <c r="AX44" s="190" t="s">
        <v>1649</v>
      </c>
      <c r="AY44" s="191">
        <v>15.0</v>
      </c>
      <c r="AZ44" s="198"/>
      <c r="BA44" s="190" t="s">
        <v>1649</v>
      </c>
      <c r="BB44" s="191">
        <v>30.0</v>
      </c>
      <c r="BC44" s="198"/>
      <c r="BD44" s="190" t="s">
        <v>1649</v>
      </c>
      <c r="BE44" s="191">
        <v>45.0</v>
      </c>
      <c r="BF44" s="198"/>
      <c r="BG44" s="190" t="s">
        <v>1649</v>
      </c>
      <c r="BH44" s="191">
        <v>60.0</v>
      </c>
      <c r="BI44" s="199"/>
      <c r="BJ44" s="200" t="s">
        <v>1649</v>
      </c>
      <c r="BK44" s="213">
        <v>75.0</v>
      </c>
      <c r="BL44" s="189"/>
      <c r="BM44" s="190" t="s">
        <v>1670</v>
      </c>
      <c r="BN44" s="209">
        <v>50.0</v>
      </c>
    </row>
    <row r="45" ht="30.0" customHeight="1">
      <c r="D45" s="63"/>
      <c r="G45" s="62"/>
      <c r="J45" s="62"/>
      <c r="M45" s="62"/>
      <c r="P45" s="62"/>
      <c r="S45" s="202"/>
      <c r="Z45" s="63"/>
      <c r="AC45" s="62"/>
      <c r="AF45" s="62"/>
      <c r="AI45" s="62"/>
      <c r="AL45" s="62"/>
      <c r="AO45" s="202"/>
      <c r="AV45" s="63"/>
      <c r="AW45" s="189"/>
      <c r="AX45" s="190" t="s">
        <v>1670</v>
      </c>
      <c r="AY45" s="191">
        <v>10.0</v>
      </c>
      <c r="AZ45" s="189"/>
      <c r="BA45" s="190" t="s">
        <v>1670</v>
      </c>
      <c r="BB45" s="191">
        <v>10.0</v>
      </c>
      <c r="BC45" s="189"/>
      <c r="BD45" s="190" t="s">
        <v>1670</v>
      </c>
      <c r="BE45" s="191">
        <v>10.0</v>
      </c>
      <c r="BF45" s="189"/>
      <c r="BG45" s="190" t="s">
        <v>1670</v>
      </c>
      <c r="BH45" s="191">
        <v>10.0</v>
      </c>
      <c r="BI45" s="199"/>
      <c r="BJ45" s="200" t="s">
        <v>1670</v>
      </c>
      <c r="BK45" s="193">
        <v>10.0</v>
      </c>
    </row>
    <row r="46" ht="30.0" customHeight="1">
      <c r="B46" s="163"/>
      <c r="C46" s="163"/>
      <c r="D46" s="67"/>
      <c r="E46" s="164"/>
      <c r="F46" s="165" t="s">
        <v>1610</v>
      </c>
      <c r="G46" s="203" t="s">
        <v>1671</v>
      </c>
      <c r="H46" s="164"/>
      <c r="I46" s="165" t="s">
        <v>1610</v>
      </c>
      <c r="J46" s="203" t="s">
        <v>1655</v>
      </c>
      <c r="K46" s="164"/>
      <c r="L46" s="165" t="s">
        <v>1610</v>
      </c>
      <c r="M46" s="203" t="s">
        <v>1672</v>
      </c>
      <c r="N46" s="164"/>
      <c r="O46" s="165" t="s">
        <v>1610</v>
      </c>
      <c r="P46" s="203" t="s">
        <v>1673</v>
      </c>
      <c r="Q46" s="164"/>
      <c r="R46" s="165" t="s">
        <v>1610</v>
      </c>
      <c r="S46" s="205" t="s">
        <v>1657</v>
      </c>
      <c r="T46" s="164"/>
      <c r="U46" s="165" t="s">
        <v>1610</v>
      </c>
      <c r="V46" s="209" t="s">
        <v>1679</v>
      </c>
      <c r="X46" s="163"/>
      <c r="Y46" s="163"/>
      <c r="Z46" s="67"/>
      <c r="AA46" s="164"/>
      <c r="AB46" s="165" t="s">
        <v>1610</v>
      </c>
      <c r="AC46" s="203" t="s">
        <v>1674</v>
      </c>
      <c r="AD46" s="164"/>
      <c r="AE46" s="165" t="s">
        <v>1610</v>
      </c>
      <c r="AF46" s="203" t="s">
        <v>1675</v>
      </c>
      <c r="AG46" s="164"/>
      <c r="AH46" s="165" t="s">
        <v>1610</v>
      </c>
      <c r="AI46" s="203" t="s">
        <v>1676</v>
      </c>
      <c r="AJ46" s="164"/>
      <c r="AK46" s="165" t="s">
        <v>1610</v>
      </c>
      <c r="AL46" s="203" t="s">
        <v>1677</v>
      </c>
      <c r="AM46" s="164"/>
      <c r="AN46" s="165" t="s">
        <v>1610</v>
      </c>
      <c r="AO46" s="205" t="s">
        <v>1678</v>
      </c>
      <c r="AP46" s="164"/>
      <c r="AQ46" s="165" t="s">
        <v>1610</v>
      </c>
      <c r="AR46" s="209" t="s">
        <v>1680</v>
      </c>
      <c r="AT46" s="163"/>
      <c r="AU46" s="163"/>
      <c r="AV46" s="67"/>
      <c r="AW46" s="164"/>
      <c r="AX46" s="165" t="s">
        <v>1610</v>
      </c>
      <c r="AY46" s="203" t="s">
        <v>1658</v>
      </c>
      <c r="AZ46" s="164"/>
      <c r="BA46" s="165" t="s">
        <v>1610</v>
      </c>
      <c r="BB46" s="203" t="s">
        <v>1659</v>
      </c>
      <c r="BC46" s="164"/>
      <c r="BD46" s="165" t="s">
        <v>1610</v>
      </c>
      <c r="BE46" s="203" t="s">
        <v>1621</v>
      </c>
      <c r="BF46" s="164"/>
      <c r="BG46" s="165" t="s">
        <v>1610</v>
      </c>
      <c r="BH46" s="203" t="s">
        <v>1660</v>
      </c>
      <c r="BI46" s="206"/>
      <c r="BJ46" s="207" t="s">
        <v>1610</v>
      </c>
      <c r="BK46" s="215" t="s">
        <v>1661</v>
      </c>
      <c r="BL46" s="164"/>
      <c r="BM46" s="165" t="s">
        <v>1610</v>
      </c>
      <c r="BN46" s="209" t="s">
        <v>1681</v>
      </c>
    </row>
    <row r="47" ht="30.0" customHeight="1">
      <c r="B47" s="156" t="s">
        <v>1622</v>
      </c>
      <c r="D47" s="63"/>
      <c r="E47" s="189"/>
      <c r="F47" s="190" t="s">
        <v>1664</v>
      </c>
      <c r="G47" s="191">
        <v>6.0</v>
      </c>
      <c r="H47" s="189"/>
      <c r="I47" s="190" t="s">
        <v>1664</v>
      </c>
      <c r="J47" s="191">
        <v>7.0</v>
      </c>
      <c r="K47" s="189"/>
      <c r="L47" s="190" t="s">
        <v>1664</v>
      </c>
      <c r="M47" s="191">
        <v>8.0</v>
      </c>
      <c r="N47" s="189"/>
      <c r="O47" s="190" t="s">
        <v>1664</v>
      </c>
      <c r="P47" s="191">
        <v>9.0</v>
      </c>
      <c r="Q47" s="189"/>
      <c r="R47" s="190" t="s">
        <v>1664</v>
      </c>
      <c r="S47" s="193">
        <v>10.0</v>
      </c>
      <c r="T47" s="216"/>
      <c r="U47" s="170"/>
      <c r="V47" s="170"/>
      <c r="X47" s="156" t="s">
        <v>1622</v>
      </c>
      <c r="Z47" s="63"/>
      <c r="AA47" s="189"/>
      <c r="AB47" s="190" t="s">
        <v>1664</v>
      </c>
      <c r="AC47" s="191">
        <v>12.0</v>
      </c>
      <c r="AD47" s="189"/>
      <c r="AE47" s="190" t="s">
        <v>1664</v>
      </c>
      <c r="AF47" s="191">
        <v>14.0</v>
      </c>
      <c r="AG47" s="189"/>
      <c r="AH47" s="190" t="s">
        <v>1664</v>
      </c>
      <c r="AI47" s="191">
        <v>16.0</v>
      </c>
      <c r="AJ47" s="189"/>
      <c r="AK47" s="190" t="s">
        <v>1664</v>
      </c>
      <c r="AL47" s="191">
        <v>18.0</v>
      </c>
      <c r="AM47" s="189"/>
      <c r="AN47" s="190" t="s">
        <v>1664</v>
      </c>
      <c r="AO47" s="193">
        <v>20.0</v>
      </c>
      <c r="AP47" s="225"/>
      <c r="AQ47" s="170"/>
      <c r="AR47" s="170"/>
      <c r="AT47" s="156" t="s">
        <v>1622</v>
      </c>
      <c r="AV47" s="63"/>
      <c r="AW47" s="189"/>
      <c r="AX47" s="190" t="s">
        <v>1664</v>
      </c>
      <c r="AY47" s="191">
        <v>10.0</v>
      </c>
      <c r="AZ47" s="189"/>
      <c r="BA47" s="190" t="s">
        <v>1664</v>
      </c>
      <c r="BB47" s="191">
        <v>20.0</v>
      </c>
      <c r="BC47" s="189"/>
      <c r="BD47" s="190" t="s">
        <v>1664</v>
      </c>
      <c r="BE47" s="191">
        <v>30.0</v>
      </c>
      <c r="BF47" s="189"/>
      <c r="BG47" s="190" t="s">
        <v>1664</v>
      </c>
      <c r="BH47" s="191">
        <v>40.0</v>
      </c>
      <c r="BI47" s="199"/>
      <c r="BJ47" s="200" t="s">
        <v>1664</v>
      </c>
      <c r="BK47" s="201">
        <v>50.0</v>
      </c>
      <c r="BL47" s="216"/>
      <c r="BM47" s="170"/>
      <c r="BN47" s="170"/>
    </row>
    <row r="48" ht="30.0" customHeight="1">
      <c r="D48" s="63"/>
      <c r="E48" s="189"/>
      <c r="F48" s="190" t="s">
        <v>1670</v>
      </c>
      <c r="G48" s="191">
        <v>1.0</v>
      </c>
      <c r="H48" s="189"/>
      <c r="I48" s="190" t="s">
        <v>1670</v>
      </c>
      <c r="J48" s="191">
        <v>1.0</v>
      </c>
      <c r="K48" s="189"/>
      <c r="L48" s="190" t="s">
        <v>1670</v>
      </c>
      <c r="M48" s="191">
        <v>1.0</v>
      </c>
      <c r="N48" s="189"/>
      <c r="O48" s="190" t="s">
        <v>1670</v>
      </c>
      <c r="P48" s="191">
        <v>1.0</v>
      </c>
      <c r="Q48" s="189"/>
      <c r="R48" s="190" t="s">
        <v>1670</v>
      </c>
      <c r="S48" s="191">
        <v>1.0</v>
      </c>
      <c r="T48" s="197"/>
      <c r="Z48" s="63"/>
      <c r="AA48" s="189"/>
      <c r="AB48" s="190" t="s">
        <v>1670</v>
      </c>
      <c r="AC48" s="191">
        <v>1.0</v>
      </c>
      <c r="AD48" s="189"/>
      <c r="AE48" s="190" t="s">
        <v>1670</v>
      </c>
      <c r="AF48" s="191">
        <v>1.0</v>
      </c>
      <c r="AG48" s="189"/>
      <c r="AH48" s="190" t="s">
        <v>1670</v>
      </c>
      <c r="AI48" s="191">
        <v>1.0</v>
      </c>
      <c r="AJ48" s="189"/>
      <c r="AK48" s="190" t="s">
        <v>1670</v>
      </c>
      <c r="AL48" s="191">
        <v>1.0</v>
      </c>
      <c r="AM48" s="189"/>
      <c r="AN48" s="190" t="s">
        <v>1670</v>
      </c>
      <c r="AO48" s="191">
        <v>1.0</v>
      </c>
      <c r="AP48" s="197"/>
      <c r="AV48" s="63"/>
      <c r="AW48" s="198"/>
      <c r="AX48" s="190" t="s">
        <v>1649</v>
      </c>
      <c r="AY48" s="191">
        <v>15.0</v>
      </c>
      <c r="AZ48" s="198"/>
      <c r="BA48" s="190" t="s">
        <v>1649</v>
      </c>
      <c r="BB48" s="191">
        <v>30.0</v>
      </c>
      <c r="BC48" s="198"/>
      <c r="BD48" s="190" t="s">
        <v>1649</v>
      </c>
      <c r="BE48" s="191">
        <v>45.0</v>
      </c>
      <c r="BF48" s="198"/>
      <c r="BG48" s="190" t="s">
        <v>1649</v>
      </c>
      <c r="BH48" s="191">
        <v>60.0</v>
      </c>
      <c r="BI48" s="199"/>
      <c r="BJ48" s="200" t="s">
        <v>1649</v>
      </c>
      <c r="BK48" s="201">
        <v>75.0</v>
      </c>
      <c r="BL48" s="197"/>
    </row>
    <row r="49" ht="30.0" customHeight="1">
      <c r="D49" s="63"/>
      <c r="G49" s="62"/>
      <c r="J49" s="62"/>
      <c r="M49" s="62"/>
      <c r="P49" s="62"/>
      <c r="S49" s="62"/>
      <c r="T49" s="197"/>
      <c r="Z49" s="63"/>
      <c r="AC49" s="62"/>
      <c r="AF49" s="62"/>
      <c r="AI49" s="62"/>
      <c r="AL49" s="62"/>
      <c r="AO49" s="62"/>
      <c r="AP49" s="197"/>
      <c r="AV49" s="63"/>
      <c r="AW49" s="189"/>
      <c r="AX49" s="190" t="s">
        <v>1670</v>
      </c>
      <c r="AY49" s="191">
        <v>10.0</v>
      </c>
      <c r="AZ49" s="189"/>
      <c r="BA49" s="190" t="s">
        <v>1670</v>
      </c>
      <c r="BB49" s="191">
        <v>10.0</v>
      </c>
      <c r="BC49" s="189"/>
      <c r="BD49" s="190" t="s">
        <v>1670</v>
      </c>
      <c r="BE49" s="191">
        <v>10.0</v>
      </c>
      <c r="BF49" s="189"/>
      <c r="BG49" s="190" t="s">
        <v>1670</v>
      </c>
      <c r="BH49" s="191">
        <v>10.0</v>
      </c>
      <c r="BI49" s="199"/>
      <c r="BJ49" s="200" t="s">
        <v>1670</v>
      </c>
      <c r="BK49" s="191">
        <v>10.0</v>
      </c>
      <c r="BL49" s="197"/>
    </row>
    <row r="50" ht="30.0" customHeight="1">
      <c r="D50" s="63"/>
      <c r="E50" s="157"/>
      <c r="F50" s="175" t="s">
        <v>1610</v>
      </c>
      <c r="G50" s="191" t="s">
        <v>1671</v>
      </c>
      <c r="H50" s="157"/>
      <c r="I50" s="175" t="s">
        <v>1610</v>
      </c>
      <c r="J50" s="191" t="s">
        <v>1655</v>
      </c>
      <c r="K50" s="157"/>
      <c r="L50" s="175" t="s">
        <v>1610</v>
      </c>
      <c r="M50" s="191" t="s">
        <v>1672</v>
      </c>
      <c r="N50" s="157"/>
      <c r="O50" s="175" t="s">
        <v>1610</v>
      </c>
      <c r="P50" s="191" t="s">
        <v>1673</v>
      </c>
      <c r="Q50" s="157"/>
      <c r="R50" s="175" t="s">
        <v>1610</v>
      </c>
      <c r="S50" s="191" t="s">
        <v>1657</v>
      </c>
      <c r="T50" s="197"/>
      <c r="Z50" s="63"/>
      <c r="AA50" s="157"/>
      <c r="AB50" s="175" t="s">
        <v>1610</v>
      </c>
      <c r="AC50" s="191" t="s">
        <v>1674</v>
      </c>
      <c r="AD50" s="157"/>
      <c r="AE50" s="175" t="s">
        <v>1610</v>
      </c>
      <c r="AF50" s="191" t="s">
        <v>1675</v>
      </c>
      <c r="AG50" s="157"/>
      <c r="AH50" s="175" t="s">
        <v>1610</v>
      </c>
      <c r="AI50" s="191" t="s">
        <v>1676</v>
      </c>
      <c r="AJ50" s="157"/>
      <c r="AK50" s="175" t="s">
        <v>1610</v>
      </c>
      <c r="AL50" s="191" t="s">
        <v>1677</v>
      </c>
      <c r="AM50" s="157"/>
      <c r="AN50" s="175" t="s">
        <v>1610</v>
      </c>
      <c r="AO50" s="191" t="s">
        <v>1678</v>
      </c>
      <c r="AP50" s="197"/>
      <c r="AV50" s="63"/>
      <c r="AW50" s="157"/>
      <c r="AX50" s="175" t="s">
        <v>1610</v>
      </c>
      <c r="AY50" s="191" t="s">
        <v>1658</v>
      </c>
      <c r="AZ50" s="164"/>
      <c r="BA50" s="165" t="s">
        <v>1610</v>
      </c>
      <c r="BB50" s="203" t="s">
        <v>1659</v>
      </c>
      <c r="BC50" s="164"/>
      <c r="BD50" s="165" t="s">
        <v>1610</v>
      </c>
      <c r="BE50" s="203" t="s">
        <v>1621</v>
      </c>
      <c r="BF50" s="157"/>
      <c r="BG50" s="175" t="s">
        <v>1610</v>
      </c>
      <c r="BH50" s="191" t="s">
        <v>1660</v>
      </c>
      <c r="BI50" s="217"/>
      <c r="BJ50" s="218" t="s">
        <v>1610</v>
      </c>
      <c r="BK50" s="219" t="s">
        <v>1661</v>
      </c>
      <c r="BL50" s="197"/>
    </row>
    <row r="51" ht="18.75" customHeight="1">
      <c r="B51" s="226" t="s">
        <v>1624</v>
      </c>
      <c r="C51" s="177"/>
      <c r="D51" s="177"/>
      <c r="E51" s="177"/>
      <c r="F51" s="177"/>
      <c r="G51" s="177"/>
      <c r="H51" s="177"/>
      <c r="I51" s="177"/>
      <c r="J51" s="177"/>
      <c r="K51" s="177"/>
      <c r="L51" s="177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X51" s="226" t="s">
        <v>1624</v>
      </c>
      <c r="Y51" s="177"/>
      <c r="Z51" s="177"/>
      <c r="AA51" s="177"/>
      <c r="AB51" s="177"/>
      <c r="AC51" s="177"/>
      <c r="AD51" s="177"/>
      <c r="AE51" s="177"/>
      <c r="AF51" s="177"/>
      <c r="AG51" s="177"/>
      <c r="AH51" s="177"/>
      <c r="AI51" s="177"/>
      <c r="AJ51" s="177"/>
      <c r="AK51" s="177"/>
      <c r="AL51" s="177"/>
      <c r="AM51" s="177"/>
      <c r="AN51" s="177"/>
      <c r="AO51" s="177"/>
      <c r="AP51" s="177"/>
      <c r="AQ51" s="177"/>
      <c r="AR51" s="177"/>
      <c r="AT51" s="226" t="s">
        <v>1624</v>
      </c>
      <c r="AU51" s="177"/>
      <c r="AV51" s="177"/>
      <c r="AW51" s="177"/>
      <c r="AX51" s="177"/>
      <c r="AY51" s="177"/>
      <c r="AZ51" s="177"/>
      <c r="BA51" s="177"/>
      <c r="BB51" s="177"/>
      <c r="BC51" s="177"/>
      <c r="BD51" s="177"/>
      <c r="BE51" s="177"/>
      <c r="BF51" s="177"/>
      <c r="BG51" s="177"/>
      <c r="BH51" s="177"/>
      <c r="BI51" s="177"/>
      <c r="BJ51" s="177"/>
      <c r="BK51" s="177"/>
      <c r="BL51" s="177"/>
      <c r="BM51" s="177"/>
      <c r="BN51" s="177"/>
    </row>
    <row r="52" ht="30.0" customHeight="1">
      <c r="B52" s="178"/>
      <c r="C52" s="179" t="s">
        <v>1665</v>
      </c>
      <c r="D52" s="180">
        <v>40.0</v>
      </c>
      <c r="E52" s="178"/>
      <c r="F52" s="179" t="s">
        <v>1662</v>
      </c>
      <c r="G52" s="180">
        <v>40.0</v>
      </c>
      <c r="H52" s="178"/>
      <c r="I52" s="179" t="s">
        <v>1664</v>
      </c>
      <c r="J52" s="180">
        <v>40.0</v>
      </c>
      <c r="K52" s="178"/>
      <c r="L52" s="179" t="s">
        <v>1670</v>
      </c>
      <c r="M52" s="181">
        <v>20.0</v>
      </c>
      <c r="N52" s="178"/>
      <c r="O52" s="182" t="s">
        <v>1649</v>
      </c>
      <c r="P52" s="181">
        <v>50.0</v>
      </c>
      <c r="Q52" s="178"/>
      <c r="R52" s="182" t="s">
        <v>1610</v>
      </c>
      <c r="S52" s="221" t="s">
        <v>1682</v>
      </c>
      <c r="T52" s="222"/>
      <c r="X52" s="178"/>
      <c r="Y52" s="179" t="s">
        <v>1665</v>
      </c>
      <c r="Z52" s="180">
        <v>80.0</v>
      </c>
      <c r="AA52" s="178"/>
      <c r="AB52" s="179" t="s">
        <v>1662</v>
      </c>
      <c r="AC52" s="180">
        <v>80.0</v>
      </c>
      <c r="AD52" s="178"/>
      <c r="AE52" s="179" t="s">
        <v>1664</v>
      </c>
      <c r="AF52" s="180">
        <v>80.0</v>
      </c>
      <c r="AG52" s="178"/>
      <c r="AH52" s="179" t="s">
        <v>1670</v>
      </c>
      <c r="AI52" s="181">
        <v>40.0</v>
      </c>
      <c r="AJ52" s="178"/>
      <c r="AK52" s="182" t="s">
        <v>1649</v>
      </c>
      <c r="AL52" s="181">
        <v>100.0</v>
      </c>
      <c r="AM52" s="178"/>
      <c r="AN52" s="182" t="s">
        <v>1610</v>
      </c>
      <c r="AO52" s="221" t="s">
        <v>1683</v>
      </c>
      <c r="AP52" s="222"/>
      <c r="AT52" s="227"/>
      <c r="AU52" s="179" t="s">
        <v>1665</v>
      </c>
      <c r="AV52" s="228">
        <v>200.0</v>
      </c>
      <c r="AW52" s="227"/>
      <c r="AX52" s="179" t="s">
        <v>1662</v>
      </c>
      <c r="AY52" s="228">
        <v>200.0</v>
      </c>
      <c r="AZ52" s="227"/>
      <c r="BA52" s="179" t="s">
        <v>1664</v>
      </c>
      <c r="BB52" s="228">
        <v>200.0</v>
      </c>
      <c r="BC52" s="227"/>
      <c r="BD52" s="179" t="s">
        <v>1670</v>
      </c>
      <c r="BE52" s="181">
        <v>200.0</v>
      </c>
      <c r="BF52" s="227"/>
      <c r="BG52" s="182" t="s">
        <v>1649</v>
      </c>
      <c r="BH52" s="229">
        <v>2700.0</v>
      </c>
      <c r="BI52" s="227"/>
      <c r="BJ52" s="182" t="s">
        <v>1610</v>
      </c>
      <c r="BK52" s="229" t="s">
        <v>1684</v>
      </c>
      <c r="BL52" s="222"/>
    </row>
    <row r="53" ht="26.25" customHeight="1">
      <c r="A53" s="185"/>
      <c r="B53" s="230"/>
      <c r="W53" s="185"/>
      <c r="X53" s="230"/>
      <c r="AS53" s="185"/>
      <c r="AT53" s="230"/>
      <c r="BO53" s="185"/>
    </row>
    <row r="54" ht="30.0" customHeight="1">
      <c r="A54" s="185"/>
      <c r="B54" s="231"/>
      <c r="E54" s="232" t="s">
        <v>1685</v>
      </c>
      <c r="F54" s="155"/>
      <c r="G54" s="155"/>
      <c r="H54" s="155"/>
      <c r="I54" s="155"/>
      <c r="J54" s="155"/>
      <c r="K54" s="155"/>
      <c r="L54" s="155"/>
      <c r="M54" s="155"/>
      <c r="N54" s="155"/>
      <c r="O54" s="155"/>
      <c r="P54" s="155"/>
      <c r="Q54" s="155"/>
      <c r="R54" s="155"/>
      <c r="S54" s="155"/>
      <c r="T54" s="231"/>
      <c r="W54" s="185"/>
      <c r="X54" s="231"/>
      <c r="AA54" s="232" t="s">
        <v>1685</v>
      </c>
      <c r="AB54" s="155"/>
      <c r="AC54" s="155"/>
      <c r="AD54" s="155"/>
      <c r="AE54" s="155"/>
      <c r="AF54" s="155"/>
      <c r="AG54" s="155"/>
      <c r="AH54" s="155"/>
      <c r="AI54" s="155"/>
      <c r="AJ54" s="155"/>
      <c r="AK54" s="155"/>
      <c r="AL54" s="155"/>
      <c r="AM54" s="155"/>
      <c r="AN54" s="155"/>
      <c r="AO54" s="155"/>
      <c r="AP54" s="231"/>
      <c r="AS54" s="185"/>
      <c r="AT54" s="231"/>
      <c r="AW54" s="232" t="s">
        <v>1685</v>
      </c>
      <c r="AX54" s="155"/>
      <c r="AY54" s="155"/>
      <c r="AZ54" s="155"/>
      <c r="BA54" s="155"/>
      <c r="BB54" s="155"/>
      <c r="BC54" s="155"/>
      <c r="BD54" s="155"/>
      <c r="BE54" s="155"/>
      <c r="BF54" s="155"/>
      <c r="BG54" s="155"/>
      <c r="BH54" s="155"/>
      <c r="BI54" s="155"/>
      <c r="BJ54" s="155"/>
      <c r="BK54" s="155"/>
      <c r="BL54" s="231"/>
      <c r="BO54" s="185"/>
    </row>
    <row r="55" ht="22.5" customHeight="1">
      <c r="E55" s="233" t="s">
        <v>1686</v>
      </c>
      <c r="F55" s="155"/>
      <c r="G55" s="155"/>
      <c r="H55" s="155"/>
      <c r="I55" s="155"/>
      <c r="J55" s="155"/>
      <c r="K55" s="234"/>
      <c r="L55" s="235"/>
      <c r="M55" s="236"/>
      <c r="N55" s="233" t="s">
        <v>1687</v>
      </c>
      <c r="O55" s="155"/>
      <c r="P55" s="155"/>
      <c r="Q55" s="155"/>
      <c r="R55" s="155"/>
      <c r="S55" s="155"/>
      <c r="AA55" s="233" t="s">
        <v>1686</v>
      </c>
      <c r="AB55" s="155"/>
      <c r="AC55" s="155"/>
      <c r="AD55" s="155"/>
      <c r="AE55" s="155"/>
      <c r="AF55" s="155"/>
      <c r="AG55" s="234"/>
      <c r="AH55" s="235"/>
      <c r="AI55" s="236"/>
      <c r="AJ55" s="233" t="s">
        <v>1687</v>
      </c>
      <c r="AK55" s="155"/>
      <c r="AL55" s="155"/>
      <c r="AM55" s="155"/>
      <c r="AN55" s="155"/>
      <c r="AO55" s="155"/>
      <c r="AW55" s="233" t="s">
        <v>1686</v>
      </c>
      <c r="AX55" s="155"/>
      <c r="AY55" s="155"/>
      <c r="AZ55" s="155"/>
      <c r="BA55" s="155"/>
      <c r="BB55" s="155"/>
      <c r="BC55" s="234"/>
      <c r="BD55" s="235"/>
      <c r="BE55" s="236"/>
      <c r="BF55" s="233" t="s">
        <v>1687</v>
      </c>
      <c r="BG55" s="155"/>
      <c r="BH55" s="155"/>
      <c r="BI55" s="155"/>
      <c r="BJ55" s="155"/>
      <c r="BK55" s="155"/>
    </row>
    <row r="56" ht="15.0" customHeight="1">
      <c r="E56" s="237" t="s">
        <v>1688</v>
      </c>
      <c r="G56" s="63"/>
      <c r="H56" s="238"/>
      <c r="I56" s="239" t="s">
        <v>1689</v>
      </c>
      <c r="J56" s="159">
        <v>5.0</v>
      </c>
      <c r="M56" s="62"/>
      <c r="N56" s="237" t="s">
        <v>1688</v>
      </c>
      <c r="P56" s="63"/>
      <c r="Q56" s="238"/>
      <c r="R56" s="239" t="s">
        <v>1690</v>
      </c>
      <c r="S56" s="159">
        <v>5.0</v>
      </c>
      <c r="AA56" s="237" t="s">
        <v>1688</v>
      </c>
      <c r="AC56" s="63"/>
      <c r="AD56" s="238"/>
      <c r="AE56" s="239" t="s">
        <v>1691</v>
      </c>
      <c r="AF56" s="159">
        <v>10.0</v>
      </c>
      <c r="AI56" s="62"/>
      <c r="AJ56" s="237" t="s">
        <v>1688</v>
      </c>
      <c r="AL56" s="63"/>
      <c r="AM56" s="238"/>
      <c r="AN56" s="239" t="s">
        <v>1692</v>
      </c>
      <c r="AO56" s="159">
        <v>10.0</v>
      </c>
      <c r="AW56" s="237" t="s">
        <v>1688</v>
      </c>
      <c r="AY56" s="63"/>
      <c r="AZ56" s="238"/>
      <c r="BA56" s="239" t="s">
        <v>1693</v>
      </c>
      <c r="BB56" s="159">
        <v>20.0</v>
      </c>
      <c r="BE56" s="62"/>
      <c r="BF56" s="237" t="s">
        <v>1688</v>
      </c>
      <c r="BH56" s="63"/>
      <c r="BI56" s="238"/>
      <c r="BJ56" s="239" t="s">
        <v>1694</v>
      </c>
      <c r="BK56" s="159">
        <v>20.0</v>
      </c>
    </row>
    <row r="57" ht="15.0" customHeight="1">
      <c r="G57" s="63"/>
      <c r="H57" s="238"/>
      <c r="J57" s="62"/>
      <c r="M57" s="62"/>
      <c r="P57" s="63"/>
      <c r="Q57" s="238"/>
      <c r="S57" s="62"/>
      <c r="AC57" s="63"/>
      <c r="AD57" s="238"/>
      <c r="AF57" s="62"/>
      <c r="AI57" s="62"/>
      <c r="AL57" s="63"/>
      <c r="AM57" s="238"/>
      <c r="AO57" s="62"/>
      <c r="AY57" s="63"/>
      <c r="AZ57" s="238"/>
      <c r="BB57" s="62"/>
      <c r="BE57" s="62"/>
      <c r="BH57" s="63"/>
      <c r="BI57" s="238"/>
      <c r="BK57" s="62"/>
    </row>
    <row r="58" ht="15.0" customHeight="1">
      <c r="G58" s="63"/>
      <c r="H58" s="240"/>
      <c r="I58" s="241"/>
      <c r="J58" s="242"/>
      <c r="M58" s="62"/>
      <c r="P58" s="63"/>
      <c r="Q58" s="240"/>
      <c r="R58" s="241"/>
      <c r="S58" s="242"/>
      <c r="AC58" s="63"/>
      <c r="AD58" s="240"/>
      <c r="AE58" s="241"/>
      <c r="AF58" s="242"/>
      <c r="AI58" s="62"/>
      <c r="AL58" s="63"/>
      <c r="AM58" s="240"/>
      <c r="AN58" s="241"/>
      <c r="AO58" s="242"/>
      <c r="AY58" s="63"/>
      <c r="AZ58" s="240"/>
      <c r="BA58" s="241"/>
      <c r="BB58" s="242"/>
      <c r="BE58" s="62"/>
      <c r="BH58" s="63"/>
      <c r="BI58" s="240"/>
      <c r="BJ58" s="241"/>
      <c r="BK58" s="242"/>
    </row>
    <row r="59" ht="15.0" customHeight="1">
      <c r="G59" s="63"/>
      <c r="H59" s="238"/>
      <c r="I59" s="239" t="s">
        <v>1695</v>
      </c>
      <c r="J59" s="159">
        <v>5.0</v>
      </c>
      <c r="M59" s="62"/>
      <c r="P59" s="63"/>
      <c r="Q59" s="238"/>
      <c r="R59" s="239" t="s">
        <v>1696</v>
      </c>
      <c r="S59" s="159">
        <v>5.0</v>
      </c>
      <c r="AC59" s="63"/>
      <c r="AD59" s="238"/>
      <c r="AE59" s="239" t="s">
        <v>1697</v>
      </c>
      <c r="AF59" s="159">
        <v>10.0</v>
      </c>
      <c r="AI59" s="62"/>
      <c r="AL59" s="63"/>
      <c r="AM59" s="238"/>
      <c r="AN59" s="239" t="s">
        <v>1698</v>
      </c>
      <c r="AO59" s="159">
        <v>10.0</v>
      </c>
      <c r="AY59" s="63"/>
      <c r="AZ59" s="238"/>
      <c r="BA59" s="239" t="s">
        <v>1699</v>
      </c>
      <c r="BB59" s="159">
        <v>20.0</v>
      </c>
      <c r="BE59" s="62"/>
      <c r="BH59" s="63"/>
      <c r="BI59" s="238"/>
      <c r="BJ59" s="239" t="s">
        <v>1700</v>
      </c>
      <c r="BK59" s="159">
        <v>20.0</v>
      </c>
    </row>
    <row r="60" ht="15.0" customHeight="1">
      <c r="G60" s="63"/>
      <c r="H60" s="238"/>
      <c r="J60" s="62"/>
      <c r="M60" s="62"/>
      <c r="P60" s="63"/>
      <c r="Q60" s="238"/>
      <c r="S60" s="62"/>
      <c r="AC60" s="63"/>
      <c r="AD60" s="238"/>
      <c r="AF60" s="62"/>
      <c r="AI60" s="62"/>
      <c r="AL60" s="63"/>
      <c r="AM60" s="238"/>
      <c r="AO60" s="62"/>
      <c r="AY60" s="63"/>
      <c r="AZ60" s="238"/>
      <c r="BB60" s="62"/>
      <c r="BE60" s="62"/>
      <c r="BH60" s="63"/>
      <c r="BI60" s="238"/>
      <c r="BK60" s="62"/>
    </row>
    <row r="61" ht="15.0" customHeight="1">
      <c r="G61" s="63"/>
      <c r="H61" s="240"/>
      <c r="I61" s="241"/>
      <c r="J61" s="242"/>
      <c r="M61" s="62"/>
      <c r="P61" s="63"/>
      <c r="Q61" s="240"/>
      <c r="R61" s="241"/>
      <c r="S61" s="242"/>
      <c r="AC61" s="63"/>
      <c r="AD61" s="240"/>
      <c r="AE61" s="241"/>
      <c r="AF61" s="242"/>
      <c r="AI61" s="62"/>
      <c r="AL61" s="63"/>
      <c r="AM61" s="240"/>
      <c r="AN61" s="241"/>
      <c r="AO61" s="242"/>
      <c r="AY61" s="63"/>
      <c r="AZ61" s="240"/>
      <c r="BA61" s="241"/>
      <c r="BB61" s="242"/>
      <c r="BE61" s="62"/>
      <c r="BH61" s="63"/>
      <c r="BI61" s="240"/>
      <c r="BJ61" s="241"/>
      <c r="BK61" s="242"/>
    </row>
    <row r="62" ht="30.0" customHeight="1">
      <c r="G62" s="63"/>
      <c r="H62" s="157"/>
      <c r="I62" s="175" t="s">
        <v>1610</v>
      </c>
      <c r="J62" s="159" t="s">
        <v>1701</v>
      </c>
      <c r="M62" s="62"/>
      <c r="P62" s="63"/>
      <c r="Q62" s="157"/>
      <c r="R62" s="175" t="s">
        <v>1610</v>
      </c>
      <c r="S62" s="159" t="s">
        <v>1701</v>
      </c>
      <c r="AC62" s="63"/>
      <c r="AD62" s="157"/>
      <c r="AE62" s="175" t="s">
        <v>1610</v>
      </c>
      <c r="AF62" s="159" t="s">
        <v>1702</v>
      </c>
      <c r="AI62" s="62"/>
      <c r="AL62" s="63"/>
      <c r="AM62" s="157"/>
      <c r="AN62" s="175" t="s">
        <v>1610</v>
      </c>
      <c r="AO62" s="159" t="s">
        <v>1702</v>
      </c>
      <c r="AY62" s="63"/>
      <c r="AZ62" s="157"/>
      <c r="BA62" s="175" t="s">
        <v>1610</v>
      </c>
      <c r="BB62" s="159" t="s">
        <v>1615</v>
      </c>
      <c r="BE62" s="62"/>
      <c r="BH62" s="63"/>
      <c r="BI62" s="157"/>
      <c r="BJ62" s="175" t="s">
        <v>1610</v>
      </c>
      <c r="BK62" s="159" t="s">
        <v>1615</v>
      </c>
    </row>
    <row r="63" ht="15.0" customHeight="1">
      <c r="E63" s="243"/>
      <c r="M63" s="62"/>
      <c r="N63" s="243"/>
      <c r="AA63" s="243"/>
      <c r="AI63" s="62"/>
      <c r="AJ63" s="243"/>
      <c r="AW63" s="243"/>
      <c r="BE63" s="62"/>
      <c r="BF63" s="243"/>
    </row>
    <row r="64" ht="15.0" customHeight="1">
      <c r="E64" s="237" t="s">
        <v>1703</v>
      </c>
      <c r="G64" s="63"/>
      <c r="H64" s="238"/>
      <c r="I64" s="239" t="s">
        <v>1704</v>
      </c>
      <c r="J64" s="159">
        <v>10.0</v>
      </c>
      <c r="M64" s="62"/>
      <c r="N64" s="237" t="s">
        <v>1703</v>
      </c>
      <c r="P64" s="63"/>
      <c r="Q64" s="238"/>
      <c r="R64" s="239" t="s">
        <v>1705</v>
      </c>
      <c r="S64" s="159">
        <v>10.0</v>
      </c>
      <c r="AA64" s="237" t="s">
        <v>1703</v>
      </c>
      <c r="AC64" s="63"/>
      <c r="AD64" s="238"/>
      <c r="AE64" s="239" t="s">
        <v>1706</v>
      </c>
      <c r="AF64" s="159">
        <v>15.0</v>
      </c>
      <c r="AI64" s="62"/>
      <c r="AJ64" s="237" t="s">
        <v>1703</v>
      </c>
      <c r="AL64" s="63"/>
      <c r="AM64" s="238"/>
      <c r="AN64" s="239" t="s">
        <v>1707</v>
      </c>
      <c r="AO64" s="159">
        <v>15.0</v>
      </c>
      <c r="AW64" s="237" t="s">
        <v>1703</v>
      </c>
      <c r="AY64" s="63"/>
      <c r="AZ64" s="238"/>
      <c r="BA64" s="239" t="s">
        <v>1708</v>
      </c>
      <c r="BB64" s="159">
        <v>30.0</v>
      </c>
      <c r="BE64" s="62"/>
      <c r="BF64" s="237" t="s">
        <v>1703</v>
      </c>
      <c r="BH64" s="63"/>
      <c r="BI64" s="238"/>
      <c r="BJ64" s="239" t="s">
        <v>1709</v>
      </c>
      <c r="BK64" s="159">
        <v>30.0</v>
      </c>
    </row>
    <row r="65" ht="15.0" customHeight="1">
      <c r="G65" s="63"/>
      <c r="H65" s="238"/>
      <c r="J65" s="62"/>
      <c r="M65" s="62"/>
      <c r="P65" s="63"/>
      <c r="Q65" s="238"/>
      <c r="S65" s="62"/>
      <c r="AC65" s="63"/>
      <c r="AD65" s="238"/>
      <c r="AF65" s="62"/>
      <c r="AI65" s="62"/>
      <c r="AL65" s="63"/>
      <c r="AM65" s="238"/>
      <c r="AO65" s="62"/>
      <c r="AY65" s="63"/>
      <c r="AZ65" s="238"/>
      <c r="BB65" s="62"/>
      <c r="BE65" s="62"/>
      <c r="BH65" s="63"/>
      <c r="BI65" s="238"/>
      <c r="BK65" s="62"/>
    </row>
    <row r="66" ht="15.0" customHeight="1">
      <c r="G66" s="63"/>
      <c r="H66" s="240"/>
      <c r="I66" s="241"/>
      <c r="J66" s="242"/>
      <c r="M66" s="62"/>
      <c r="P66" s="63"/>
      <c r="Q66" s="240"/>
      <c r="R66" s="241"/>
      <c r="S66" s="242"/>
      <c r="AC66" s="63"/>
      <c r="AD66" s="240"/>
      <c r="AE66" s="241"/>
      <c r="AF66" s="242"/>
      <c r="AI66" s="62"/>
      <c r="AL66" s="63"/>
      <c r="AM66" s="240"/>
      <c r="AN66" s="241"/>
      <c r="AO66" s="242"/>
      <c r="AY66" s="63"/>
      <c r="AZ66" s="240"/>
      <c r="BA66" s="241"/>
      <c r="BB66" s="242"/>
      <c r="BE66" s="62"/>
      <c r="BH66" s="63"/>
      <c r="BI66" s="240"/>
      <c r="BJ66" s="241"/>
      <c r="BK66" s="242"/>
    </row>
    <row r="67" ht="15.0" customHeight="1">
      <c r="G67" s="63"/>
      <c r="H67" s="238"/>
      <c r="I67" s="239" t="s">
        <v>1710</v>
      </c>
      <c r="J67" s="159">
        <v>10.0</v>
      </c>
      <c r="M67" s="62"/>
      <c r="P67" s="63"/>
      <c r="Q67" s="238"/>
      <c r="R67" s="239" t="s">
        <v>1711</v>
      </c>
      <c r="S67" s="159">
        <v>10.0</v>
      </c>
      <c r="AC67" s="63"/>
      <c r="AD67" s="238"/>
      <c r="AE67" s="239" t="s">
        <v>1712</v>
      </c>
      <c r="AF67" s="159">
        <v>15.0</v>
      </c>
      <c r="AI67" s="62"/>
      <c r="AL67" s="63"/>
      <c r="AM67" s="238"/>
      <c r="AN67" s="239" t="s">
        <v>1713</v>
      </c>
      <c r="AO67" s="159">
        <v>15.0</v>
      </c>
      <c r="AY67" s="63"/>
      <c r="AZ67" s="238"/>
      <c r="BA67" s="239" t="s">
        <v>1714</v>
      </c>
      <c r="BB67" s="159">
        <v>30.0</v>
      </c>
      <c r="BE67" s="62"/>
      <c r="BH67" s="63"/>
      <c r="BI67" s="238"/>
      <c r="BJ67" s="239" t="s">
        <v>1715</v>
      </c>
      <c r="BK67" s="159">
        <v>30.0</v>
      </c>
    </row>
    <row r="68" ht="15.0" customHeight="1">
      <c r="G68" s="63"/>
      <c r="H68" s="238"/>
      <c r="J68" s="62"/>
      <c r="M68" s="62"/>
      <c r="P68" s="63"/>
      <c r="Q68" s="238"/>
      <c r="S68" s="62"/>
      <c r="AC68" s="63"/>
      <c r="AD68" s="238"/>
      <c r="AF68" s="62"/>
      <c r="AI68" s="62"/>
      <c r="AL68" s="63"/>
      <c r="AM68" s="238"/>
      <c r="AO68" s="62"/>
      <c r="AY68" s="63"/>
      <c r="AZ68" s="238"/>
      <c r="BB68" s="62"/>
      <c r="BE68" s="62"/>
      <c r="BH68" s="63"/>
      <c r="BI68" s="238"/>
      <c r="BK68" s="62"/>
    </row>
    <row r="69" ht="15.0" customHeight="1">
      <c r="G69" s="63"/>
      <c r="H69" s="240"/>
      <c r="I69" s="241"/>
      <c r="J69" s="242"/>
      <c r="M69" s="62"/>
      <c r="P69" s="63"/>
      <c r="Q69" s="240"/>
      <c r="R69" s="241"/>
      <c r="S69" s="242"/>
      <c r="AC69" s="63"/>
      <c r="AD69" s="240"/>
      <c r="AE69" s="241"/>
      <c r="AF69" s="242"/>
      <c r="AI69" s="62"/>
      <c r="AL69" s="63"/>
      <c r="AM69" s="240"/>
      <c r="AN69" s="241"/>
      <c r="AO69" s="242"/>
      <c r="AY69" s="63"/>
      <c r="AZ69" s="240"/>
      <c r="BA69" s="241"/>
      <c r="BB69" s="242"/>
      <c r="BE69" s="62"/>
      <c r="BH69" s="63"/>
      <c r="BI69" s="240"/>
      <c r="BJ69" s="241"/>
      <c r="BK69" s="242"/>
    </row>
    <row r="70" ht="15.0" customHeight="1">
      <c r="G70" s="63"/>
      <c r="H70" s="238"/>
      <c r="I70" s="239" t="s">
        <v>1716</v>
      </c>
      <c r="J70" s="159">
        <v>1.0</v>
      </c>
      <c r="M70" s="62"/>
      <c r="P70" s="63"/>
      <c r="Q70" s="238"/>
      <c r="R70" s="239" t="s">
        <v>1717</v>
      </c>
      <c r="S70" s="159">
        <v>1.0</v>
      </c>
      <c r="AC70" s="63"/>
      <c r="AD70" s="238"/>
      <c r="AE70" s="239" t="s">
        <v>1718</v>
      </c>
      <c r="AF70" s="159">
        <v>5.0</v>
      </c>
      <c r="AI70" s="62"/>
      <c r="AL70" s="63"/>
      <c r="AM70" s="238"/>
      <c r="AN70" s="239" t="s">
        <v>1719</v>
      </c>
      <c r="AO70" s="159">
        <v>5.0</v>
      </c>
      <c r="AY70" s="63"/>
      <c r="AZ70" s="238"/>
      <c r="BA70" s="239" t="s">
        <v>1720</v>
      </c>
      <c r="BB70" s="159">
        <v>10.0</v>
      </c>
      <c r="BE70" s="62"/>
      <c r="BH70" s="63"/>
      <c r="BI70" s="238"/>
      <c r="BJ70" s="239" t="s">
        <v>1721</v>
      </c>
      <c r="BK70" s="159">
        <v>10.0</v>
      </c>
    </row>
    <row r="71" ht="15.0" customHeight="1">
      <c r="G71" s="63"/>
      <c r="H71" s="238"/>
      <c r="J71" s="62"/>
      <c r="M71" s="62"/>
      <c r="P71" s="63"/>
      <c r="Q71" s="238"/>
      <c r="S71" s="62"/>
      <c r="AC71" s="63"/>
      <c r="AD71" s="238"/>
      <c r="AF71" s="62"/>
      <c r="AI71" s="62"/>
      <c r="AL71" s="63"/>
      <c r="AM71" s="238"/>
      <c r="AO71" s="62"/>
      <c r="AY71" s="63"/>
      <c r="AZ71" s="238"/>
      <c r="BB71" s="62"/>
      <c r="BE71" s="62"/>
      <c r="BH71" s="63"/>
      <c r="BI71" s="238"/>
      <c r="BK71" s="62"/>
    </row>
    <row r="72" ht="15.0" customHeight="1">
      <c r="G72" s="63"/>
      <c r="H72" s="240"/>
      <c r="I72" s="241"/>
      <c r="J72" s="242"/>
      <c r="M72" s="62"/>
      <c r="P72" s="63"/>
      <c r="Q72" s="240"/>
      <c r="R72" s="241"/>
      <c r="S72" s="242"/>
      <c r="AC72" s="63"/>
      <c r="AD72" s="240"/>
      <c r="AE72" s="241"/>
      <c r="AF72" s="242"/>
      <c r="AI72" s="62"/>
      <c r="AL72" s="63"/>
      <c r="AM72" s="240"/>
      <c r="AN72" s="241"/>
      <c r="AO72" s="242"/>
      <c r="AY72" s="63"/>
      <c r="AZ72" s="240"/>
      <c r="BA72" s="241"/>
      <c r="BB72" s="242"/>
      <c r="BE72" s="62"/>
      <c r="BH72" s="63"/>
      <c r="BI72" s="240"/>
      <c r="BJ72" s="241"/>
      <c r="BK72" s="242"/>
    </row>
    <row r="73" ht="15.0" customHeight="1">
      <c r="G73" s="63"/>
      <c r="H73" s="238"/>
      <c r="I73" s="239" t="s">
        <v>1722</v>
      </c>
      <c r="J73" s="159">
        <v>1.0</v>
      </c>
      <c r="M73" s="62"/>
      <c r="P73" s="63"/>
      <c r="Q73" s="238"/>
      <c r="R73" s="239" t="s">
        <v>1723</v>
      </c>
      <c r="S73" s="159">
        <v>1.0</v>
      </c>
      <c r="AC73" s="63"/>
      <c r="AD73" s="238"/>
      <c r="AE73" s="239" t="s">
        <v>1724</v>
      </c>
      <c r="AF73" s="159">
        <v>5.0</v>
      </c>
      <c r="AI73" s="62"/>
      <c r="AL73" s="63"/>
      <c r="AM73" s="238"/>
      <c r="AN73" s="239" t="s">
        <v>1725</v>
      </c>
      <c r="AO73" s="159">
        <v>5.0</v>
      </c>
      <c r="AY73" s="63"/>
      <c r="AZ73" s="238"/>
      <c r="BA73" s="239" t="s">
        <v>1726</v>
      </c>
      <c r="BB73" s="159">
        <v>10.0</v>
      </c>
      <c r="BE73" s="62"/>
      <c r="BH73" s="63"/>
      <c r="BI73" s="238"/>
      <c r="BJ73" s="239" t="s">
        <v>1727</v>
      </c>
      <c r="BK73" s="159">
        <v>10.0</v>
      </c>
    </row>
    <row r="74" ht="15.0" customHeight="1">
      <c r="G74" s="63"/>
      <c r="H74" s="238"/>
      <c r="J74" s="62"/>
      <c r="M74" s="62"/>
      <c r="P74" s="63"/>
      <c r="Q74" s="238"/>
      <c r="S74" s="62"/>
      <c r="AC74" s="63"/>
      <c r="AD74" s="238"/>
      <c r="AF74" s="62"/>
      <c r="AI74" s="62"/>
      <c r="AL74" s="63"/>
      <c r="AM74" s="238"/>
      <c r="AO74" s="62"/>
      <c r="AY74" s="63"/>
      <c r="AZ74" s="238"/>
      <c r="BB74" s="62"/>
      <c r="BE74" s="62"/>
      <c r="BH74" s="63"/>
      <c r="BI74" s="238"/>
      <c r="BK74" s="62"/>
    </row>
    <row r="75" ht="15.0" customHeight="1">
      <c r="G75" s="63"/>
      <c r="H75" s="240"/>
      <c r="I75" s="241"/>
      <c r="J75" s="242"/>
      <c r="M75" s="62"/>
      <c r="P75" s="63"/>
      <c r="Q75" s="240"/>
      <c r="R75" s="241"/>
      <c r="S75" s="242"/>
      <c r="AC75" s="63"/>
      <c r="AD75" s="240"/>
      <c r="AE75" s="241"/>
      <c r="AF75" s="242"/>
      <c r="AI75" s="62"/>
      <c r="AL75" s="63"/>
      <c r="AM75" s="240"/>
      <c r="AN75" s="241"/>
      <c r="AO75" s="242"/>
      <c r="AY75" s="63"/>
      <c r="AZ75" s="240"/>
      <c r="BA75" s="241"/>
      <c r="BB75" s="242"/>
      <c r="BE75" s="62"/>
      <c r="BH75" s="63"/>
      <c r="BI75" s="240"/>
      <c r="BJ75" s="241"/>
      <c r="BK75" s="242"/>
    </row>
    <row r="76" ht="30.0" customHeight="1">
      <c r="G76" s="63"/>
      <c r="H76" s="157"/>
      <c r="I76" s="175" t="s">
        <v>1610</v>
      </c>
      <c r="J76" s="159" t="s">
        <v>1702</v>
      </c>
      <c r="M76" s="62"/>
      <c r="P76" s="63"/>
      <c r="Q76" s="157"/>
      <c r="R76" s="175" t="s">
        <v>1610</v>
      </c>
      <c r="S76" s="159" t="s">
        <v>1702</v>
      </c>
      <c r="AC76" s="63"/>
      <c r="AD76" s="157"/>
      <c r="AE76" s="175" t="s">
        <v>1610</v>
      </c>
      <c r="AF76" s="159" t="s">
        <v>1615</v>
      </c>
      <c r="AI76" s="62"/>
      <c r="AL76" s="63"/>
      <c r="AM76" s="157"/>
      <c r="AN76" s="175" t="s">
        <v>1610</v>
      </c>
      <c r="AO76" s="159" t="s">
        <v>1615</v>
      </c>
      <c r="AY76" s="63"/>
      <c r="AZ76" s="157"/>
      <c r="BA76" s="175" t="s">
        <v>1610</v>
      </c>
      <c r="BB76" s="159" t="s">
        <v>1616</v>
      </c>
      <c r="BE76" s="62"/>
      <c r="BH76" s="63"/>
      <c r="BI76" s="157"/>
      <c r="BJ76" s="175" t="s">
        <v>1610</v>
      </c>
      <c r="BK76" s="159" t="s">
        <v>1616</v>
      </c>
    </row>
    <row r="77" ht="15.0" customHeight="1">
      <c r="E77" s="243"/>
      <c r="M77" s="62"/>
      <c r="N77" s="243"/>
      <c r="AA77" s="243"/>
      <c r="AI77" s="62"/>
      <c r="AJ77" s="243"/>
      <c r="AW77" s="243"/>
      <c r="BE77" s="62"/>
      <c r="BF77" s="243"/>
    </row>
    <row r="78" ht="15.0" customHeight="1">
      <c r="E78" s="237" t="s">
        <v>1728</v>
      </c>
      <c r="G78" s="63"/>
      <c r="H78" s="238"/>
      <c r="I78" s="239" t="s">
        <v>1729</v>
      </c>
      <c r="J78" s="159">
        <v>15.0</v>
      </c>
      <c r="M78" s="62"/>
      <c r="N78" s="237" t="s">
        <v>1728</v>
      </c>
      <c r="P78" s="63"/>
      <c r="Q78" s="238"/>
      <c r="R78" s="239" t="s">
        <v>1730</v>
      </c>
      <c r="S78" s="159">
        <v>15.0</v>
      </c>
      <c r="AA78" s="237" t="s">
        <v>1728</v>
      </c>
      <c r="AC78" s="63"/>
      <c r="AD78" s="238"/>
      <c r="AE78" s="239" t="s">
        <v>1731</v>
      </c>
      <c r="AF78" s="159">
        <v>20.0</v>
      </c>
      <c r="AI78" s="62"/>
      <c r="AJ78" s="237" t="s">
        <v>1728</v>
      </c>
      <c r="AL78" s="63"/>
      <c r="AM78" s="238"/>
      <c r="AN78" s="239" t="s">
        <v>1732</v>
      </c>
      <c r="AO78" s="159">
        <v>20.0</v>
      </c>
      <c r="AW78" s="237" t="s">
        <v>1728</v>
      </c>
      <c r="AY78" s="63"/>
      <c r="AZ78" s="238"/>
      <c r="BA78" s="239" t="s">
        <v>1733</v>
      </c>
      <c r="BB78" s="159">
        <v>40.0</v>
      </c>
      <c r="BE78" s="62"/>
      <c r="BF78" s="237" t="s">
        <v>1728</v>
      </c>
      <c r="BH78" s="63"/>
      <c r="BI78" s="238"/>
      <c r="BJ78" s="239" t="s">
        <v>1734</v>
      </c>
      <c r="BK78" s="159">
        <v>40.0</v>
      </c>
    </row>
    <row r="79" ht="15.0" customHeight="1">
      <c r="G79" s="63"/>
      <c r="H79" s="238"/>
      <c r="J79" s="62"/>
      <c r="M79" s="62"/>
      <c r="P79" s="63"/>
      <c r="Q79" s="238"/>
      <c r="S79" s="62"/>
      <c r="AC79" s="63"/>
      <c r="AD79" s="238"/>
      <c r="AF79" s="62"/>
      <c r="AI79" s="62"/>
      <c r="AL79" s="63"/>
      <c r="AM79" s="238"/>
      <c r="AO79" s="62"/>
      <c r="AY79" s="63"/>
      <c r="AZ79" s="238"/>
      <c r="BB79" s="62"/>
      <c r="BE79" s="62"/>
      <c r="BH79" s="63"/>
      <c r="BI79" s="238"/>
      <c r="BK79" s="62"/>
    </row>
    <row r="80" ht="15.0" customHeight="1">
      <c r="G80" s="63"/>
      <c r="H80" s="240"/>
      <c r="I80" s="241"/>
      <c r="J80" s="242"/>
      <c r="M80" s="62"/>
      <c r="P80" s="63"/>
      <c r="Q80" s="240"/>
      <c r="R80" s="241"/>
      <c r="S80" s="242"/>
      <c r="AC80" s="63"/>
      <c r="AD80" s="240"/>
      <c r="AE80" s="241"/>
      <c r="AF80" s="242"/>
      <c r="AI80" s="62"/>
      <c r="AL80" s="63"/>
      <c r="AM80" s="240"/>
      <c r="AN80" s="241"/>
      <c r="AO80" s="242"/>
      <c r="AY80" s="63"/>
      <c r="AZ80" s="240"/>
      <c r="BA80" s="241"/>
      <c r="BB80" s="242"/>
      <c r="BE80" s="62"/>
      <c r="BH80" s="63"/>
      <c r="BI80" s="240"/>
      <c r="BJ80" s="241"/>
      <c r="BK80" s="242"/>
    </row>
    <row r="81" ht="15.0" customHeight="1">
      <c r="G81" s="63"/>
      <c r="H81" s="238"/>
      <c r="I81" s="239" t="s">
        <v>1735</v>
      </c>
      <c r="J81" s="159">
        <v>15.0</v>
      </c>
      <c r="M81" s="62"/>
      <c r="P81" s="63"/>
      <c r="Q81" s="238"/>
      <c r="R81" s="239" t="s">
        <v>1736</v>
      </c>
      <c r="S81" s="159">
        <v>15.0</v>
      </c>
      <c r="AC81" s="63"/>
      <c r="AD81" s="238"/>
      <c r="AE81" s="239" t="s">
        <v>1737</v>
      </c>
      <c r="AF81" s="159">
        <v>20.0</v>
      </c>
      <c r="AI81" s="62"/>
      <c r="AL81" s="63"/>
      <c r="AM81" s="238"/>
      <c r="AN81" s="239" t="s">
        <v>1738</v>
      </c>
      <c r="AO81" s="159">
        <v>20.0</v>
      </c>
      <c r="AY81" s="63"/>
      <c r="AZ81" s="238"/>
      <c r="BA81" s="239" t="s">
        <v>1739</v>
      </c>
      <c r="BB81" s="159">
        <v>40.0</v>
      </c>
      <c r="BE81" s="62"/>
      <c r="BH81" s="63"/>
      <c r="BI81" s="238"/>
      <c r="BJ81" s="239" t="s">
        <v>1740</v>
      </c>
      <c r="BK81" s="159">
        <v>40.0</v>
      </c>
    </row>
    <row r="82" ht="15.0" customHeight="1">
      <c r="G82" s="63"/>
      <c r="H82" s="238"/>
      <c r="J82" s="62"/>
      <c r="M82" s="62"/>
      <c r="P82" s="63"/>
      <c r="Q82" s="238"/>
      <c r="S82" s="62"/>
      <c r="AC82" s="63"/>
      <c r="AD82" s="238"/>
      <c r="AF82" s="62"/>
      <c r="AI82" s="62"/>
      <c r="AL82" s="63"/>
      <c r="AM82" s="238"/>
      <c r="AO82" s="62"/>
      <c r="AY82" s="63"/>
      <c r="AZ82" s="238"/>
      <c r="BB82" s="62"/>
      <c r="BE82" s="62"/>
      <c r="BH82" s="63"/>
      <c r="BI82" s="238"/>
      <c r="BK82" s="62"/>
    </row>
    <row r="83" ht="15.0" customHeight="1">
      <c r="G83" s="63"/>
      <c r="H83" s="240"/>
      <c r="I83" s="241"/>
      <c r="J83" s="242"/>
      <c r="M83" s="62"/>
      <c r="P83" s="63"/>
      <c r="Q83" s="240"/>
      <c r="R83" s="241"/>
      <c r="S83" s="242"/>
      <c r="AC83" s="63"/>
      <c r="AD83" s="240"/>
      <c r="AE83" s="241"/>
      <c r="AF83" s="242"/>
      <c r="AI83" s="62"/>
      <c r="AL83" s="63"/>
      <c r="AM83" s="240"/>
      <c r="AN83" s="241"/>
      <c r="AO83" s="242"/>
      <c r="AY83" s="63"/>
      <c r="AZ83" s="240"/>
      <c r="BA83" s="241"/>
      <c r="BB83" s="242"/>
      <c r="BE83" s="62"/>
      <c r="BH83" s="63"/>
      <c r="BI83" s="240"/>
      <c r="BJ83" s="241"/>
      <c r="BK83" s="242"/>
    </row>
    <row r="84" ht="15.0" customHeight="1">
      <c r="G84" s="63"/>
      <c r="H84" s="238"/>
      <c r="I84" s="239" t="s">
        <v>1741</v>
      </c>
      <c r="J84" s="159">
        <v>3.0</v>
      </c>
      <c r="M84" s="62"/>
      <c r="P84" s="63"/>
      <c r="Q84" s="238"/>
      <c r="R84" s="239" t="s">
        <v>1742</v>
      </c>
      <c r="S84" s="159">
        <v>3.0</v>
      </c>
      <c r="AC84" s="63"/>
      <c r="AD84" s="238"/>
      <c r="AE84" s="239" t="s">
        <v>1743</v>
      </c>
      <c r="AF84" s="159">
        <v>10.0</v>
      </c>
      <c r="AI84" s="62"/>
      <c r="AL84" s="63"/>
      <c r="AM84" s="238"/>
      <c r="AN84" s="239" t="s">
        <v>1744</v>
      </c>
      <c r="AO84" s="159">
        <v>10.0</v>
      </c>
      <c r="AY84" s="63"/>
      <c r="AZ84" s="238"/>
      <c r="BA84" s="239" t="s">
        <v>1745</v>
      </c>
      <c r="BB84" s="159">
        <v>20.0</v>
      </c>
      <c r="BE84" s="62"/>
      <c r="BH84" s="63"/>
      <c r="BI84" s="238"/>
      <c r="BJ84" s="239" t="s">
        <v>1746</v>
      </c>
      <c r="BK84" s="159">
        <v>20.0</v>
      </c>
    </row>
    <row r="85" ht="15.0" customHeight="1">
      <c r="G85" s="63"/>
      <c r="H85" s="238"/>
      <c r="J85" s="62"/>
      <c r="M85" s="62"/>
      <c r="P85" s="63"/>
      <c r="Q85" s="238"/>
      <c r="S85" s="62"/>
      <c r="AC85" s="63"/>
      <c r="AD85" s="238"/>
      <c r="AF85" s="62"/>
      <c r="AI85" s="62"/>
      <c r="AL85" s="63"/>
      <c r="AM85" s="238"/>
      <c r="AO85" s="62"/>
      <c r="AY85" s="63"/>
      <c r="AZ85" s="238"/>
      <c r="BB85" s="62"/>
      <c r="BE85" s="62"/>
      <c r="BH85" s="63"/>
      <c r="BI85" s="238"/>
      <c r="BK85" s="62"/>
    </row>
    <row r="86" ht="15.0" customHeight="1">
      <c r="G86" s="63"/>
      <c r="H86" s="240"/>
      <c r="I86" s="241"/>
      <c r="J86" s="242"/>
      <c r="M86" s="62"/>
      <c r="P86" s="63"/>
      <c r="Q86" s="240"/>
      <c r="R86" s="241"/>
      <c r="S86" s="242"/>
      <c r="AC86" s="63"/>
      <c r="AD86" s="240"/>
      <c r="AE86" s="241"/>
      <c r="AF86" s="242"/>
      <c r="AI86" s="62"/>
      <c r="AL86" s="63"/>
      <c r="AM86" s="240"/>
      <c r="AN86" s="241"/>
      <c r="AO86" s="242"/>
      <c r="AY86" s="63"/>
      <c r="AZ86" s="240"/>
      <c r="BA86" s="241"/>
      <c r="BB86" s="242"/>
      <c r="BE86" s="62"/>
      <c r="BH86" s="63"/>
      <c r="BI86" s="240"/>
      <c r="BJ86" s="241"/>
      <c r="BK86" s="242"/>
    </row>
    <row r="87" ht="15.0" customHeight="1">
      <c r="G87" s="63"/>
      <c r="H87" s="238"/>
      <c r="I87" s="239" t="s">
        <v>1747</v>
      </c>
      <c r="J87" s="159">
        <v>3.0</v>
      </c>
      <c r="M87" s="62"/>
      <c r="P87" s="63"/>
      <c r="Q87" s="238"/>
      <c r="R87" s="239" t="s">
        <v>1748</v>
      </c>
      <c r="S87" s="159">
        <v>3.0</v>
      </c>
      <c r="AC87" s="63"/>
      <c r="AD87" s="238"/>
      <c r="AE87" s="239" t="s">
        <v>1749</v>
      </c>
      <c r="AF87" s="159">
        <v>10.0</v>
      </c>
      <c r="AI87" s="62"/>
      <c r="AL87" s="63"/>
      <c r="AM87" s="238"/>
      <c r="AN87" s="239" t="s">
        <v>1750</v>
      </c>
      <c r="AO87" s="159">
        <v>10.0</v>
      </c>
      <c r="AY87" s="63"/>
      <c r="AZ87" s="238"/>
      <c r="BA87" s="239" t="s">
        <v>1751</v>
      </c>
      <c r="BB87" s="159">
        <v>20.0</v>
      </c>
      <c r="BE87" s="62"/>
      <c r="BH87" s="63"/>
      <c r="BI87" s="238"/>
      <c r="BJ87" s="239" t="s">
        <v>1752</v>
      </c>
      <c r="BK87" s="159">
        <v>20.0</v>
      </c>
    </row>
    <row r="88" ht="15.0" customHeight="1">
      <c r="G88" s="63"/>
      <c r="H88" s="238"/>
      <c r="J88" s="62"/>
      <c r="M88" s="62"/>
      <c r="P88" s="63"/>
      <c r="Q88" s="238"/>
      <c r="S88" s="62"/>
      <c r="AC88" s="63"/>
      <c r="AD88" s="238"/>
      <c r="AF88" s="62"/>
      <c r="AI88" s="62"/>
      <c r="AL88" s="63"/>
      <c r="AM88" s="238"/>
      <c r="AO88" s="62"/>
      <c r="AY88" s="63"/>
      <c r="AZ88" s="238"/>
      <c r="BB88" s="62"/>
      <c r="BE88" s="62"/>
      <c r="BH88" s="63"/>
      <c r="BI88" s="238"/>
      <c r="BK88" s="62"/>
    </row>
    <row r="89" ht="15.0" customHeight="1">
      <c r="G89" s="63"/>
      <c r="H89" s="240"/>
      <c r="I89" s="241"/>
      <c r="J89" s="242"/>
      <c r="M89" s="62"/>
      <c r="P89" s="63"/>
      <c r="Q89" s="240"/>
      <c r="R89" s="241"/>
      <c r="S89" s="242"/>
      <c r="AC89" s="63"/>
      <c r="AD89" s="240"/>
      <c r="AE89" s="241"/>
      <c r="AF89" s="242"/>
      <c r="AI89" s="62"/>
      <c r="AL89" s="63"/>
      <c r="AM89" s="240"/>
      <c r="AN89" s="241"/>
      <c r="AO89" s="242"/>
      <c r="AY89" s="63"/>
      <c r="AZ89" s="240"/>
      <c r="BA89" s="241"/>
      <c r="BB89" s="242"/>
      <c r="BE89" s="62"/>
      <c r="BH89" s="63"/>
      <c r="BI89" s="240"/>
      <c r="BJ89" s="241"/>
      <c r="BK89" s="242"/>
    </row>
    <row r="90" ht="30.0" customHeight="1">
      <c r="G90" s="63"/>
      <c r="H90" s="157"/>
      <c r="I90" s="175" t="s">
        <v>1610</v>
      </c>
      <c r="J90" s="159" t="s">
        <v>1615</v>
      </c>
      <c r="M90" s="62"/>
      <c r="P90" s="63"/>
      <c r="Q90" s="157"/>
      <c r="R90" s="175" t="s">
        <v>1610</v>
      </c>
      <c r="S90" s="159" t="s">
        <v>1615</v>
      </c>
      <c r="AC90" s="63"/>
      <c r="AD90" s="157"/>
      <c r="AE90" s="175" t="s">
        <v>1610</v>
      </c>
      <c r="AF90" s="159" t="s">
        <v>1616</v>
      </c>
      <c r="AI90" s="62"/>
      <c r="AL90" s="63"/>
      <c r="AM90" s="157"/>
      <c r="AN90" s="175" t="s">
        <v>1610</v>
      </c>
      <c r="AO90" s="159" t="s">
        <v>1616</v>
      </c>
      <c r="AY90" s="63"/>
      <c r="AZ90" s="157"/>
      <c r="BA90" s="175" t="s">
        <v>1610</v>
      </c>
      <c r="BB90" s="159" t="s">
        <v>1617</v>
      </c>
      <c r="BE90" s="62"/>
      <c r="BH90" s="63"/>
      <c r="BI90" s="157"/>
      <c r="BJ90" s="175" t="s">
        <v>1610</v>
      </c>
      <c r="BK90" s="159" t="s">
        <v>1617</v>
      </c>
    </row>
    <row r="91" ht="15.0" customHeight="1">
      <c r="E91" s="243"/>
      <c r="M91" s="62"/>
      <c r="N91" s="243"/>
      <c r="AA91" s="243"/>
      <c r="AI91" s="62"/>
      <c r="AJ91" s="243"/>
      <c r="AW91" s="243"/>
      <c r="BE91" s="62"/>
      <c r="BF91" s="243"/>
    </row>
    <row r="92" ht="15.0" customHeight="1">
      <c r="E92" s="237" t="s">
        <v>1753</v>
      </c>
      <c r="G92" s="63"/>
      <c r="H92" s="238"/>
      <c r="I92" s="239" t="s">
        <v>1754</v>
      </c>
      <c r="J92" s="159">
        <v>3.0</v>
      </c>
      <c r="M92" s="62"/>
      <c r="N92" s="237" t="s">
        <v>1753</v>
      </c>
      <c r="P92" s="63"/>
      <c r="Q92" s="238"/>
      <c r="R92" s="239" t="s">
        <v>1755</v>
      </c>
      <c r="S92" s="159">
        <v>3.0</v>
      </c>
      <c r="AA92" s="237" t="s">
        <v>1753</v>
      </c>
      <c r="AC92" s="63"/>
      <c r="AD92" s="238"/>
      <c r="AE92" s="239" t="s">
        <v>1756</v>
      </c>
      <c r="AF92" s="159">
        <v>15.0</v>
      </c>
      <c r="AI92" s="62"/>
      <c r="AJ92" s="237" t="s">
        <v>1753</v>
      </c>
      <c r="AL92" s="63"/>
      <c r="AM92" s="238"/>
      <c r="AN92" s="239" t="s">
        <v>1757</v>
      </c>
      <c r="AO92" s="159">
        <v>15.0</v>
      </c>
      <c r="AW92" s="237" t="s">
        <v>1753</v>
      </c>
      <c r="AY92" s="63"/>
      <c r="AZ92" s="238"/>
      <c r="BA92" s="239" t="s">
        <v>1758</v>
      </c>
      <c r="BB92" s="159">
        <v>30.0</v>
      </c>
      <c r="BE92" s="62"/>
      <c r="BF92" s="237" t="s">
        <v>1753</v>
      </c>
      <c r="BH92" s="63"/>
      <c r="BI92" s="238"/>
      <c r="BJ92" s="239" t="s">
        <v>1759</v>
      </c>
      <c r="BK92" s="159">
        <v>30.0</v>
      </c>
    </row>
    <row r="93" ht="15.0" customHeight="1">
      <c r="G93" s="63"/>
      <c r="H93" s="238"/>
      <c r="J93" s="62"/>
      <c r="M93" s="62"/>
      <c r="P93" s="63"/>
      <c r="Q93" s="238"/>
      <c r="S93" s="62"/>
      <c r="AC93" s="63"/>
      <c r="AD93" s="238"/>
      <c r="AF93" s="62"/>
      <c r="AI93" s="62"/>
      <c r="AL93" s="63"/>
      <c r="AM93" s="238"/>
      <c r="AO93" s="62"/>
      <c r="AY93" s="63"/>
      <c r="AZ93" s="238"/>
      <c r="BB93" s="62"/>
      <c r="BE93" s="62"/>
      <c r="BH93" s="63"/>
      <c r="BI93" s="238"/>
      <c r="BK93" s="62"/>
    </row>
    <row r="94" ht="15.0" customHeight="1">
      <c r="G94" s="63"/>
      <c r="H94" s="240"/>
      <c r="I94" s="241"/>
      <c r="J94" s="242"/>
      <c r="M94" s="62"/>
      <c r="P94" s="63"/>
      <c r="Q94" s="240"/>
      <c r="R94" s="241"/>
      <c r="S94" s="242"/>
      <c r="AC94" s="63"/>
      <c r="AD94" s="240"/>
      <c r="AE94" s="241"/>
      <c r="AF94" s="242"/>
      <c r="AI94" s="62"/>
      <c r="AL94" s="63"/>
      <c r="AM94" s="240"/>
      <c r="AN94" s="241"/>
      <c r="AO94" s="242"/>
      <c r="AY94" s="63"/>
      <c r="AZ94" s="240"/>
      <c r="BA94" s="241"/>
      <c r="BB94" s="242"/>
      <c r="BE94" s="62"/>
      <c r="BH94" s="63"/>
      <c r="BI94" s="240"/>
      <c r="BJ94" s="241"/>
      <c r="BK94" s="242"/>
    </row>
    <row r="95" ht="15.0" customHeight="1">
      <c r="G95" s="63"/>
      <c r="H95" s="238"/>
      <c r="I95" s="239" t="s">
        <v>1760</v>
      </c>
      <c r="J95" s="159">
        <v>3.0</v>
      </c>
      <c r="M95" s="62"/>
      <c r="P95" s="63"/>
      <c r="Q95" s="238"/>
      <c r="R95" s="239" t="s">
        <v>1761</v>
      </c>
      <c r="S95" s="159">
        <v>3.0</v>
      </c>
      <c r="AC95" s="63"/>
      <c r="AD95" s="238"/>
      <c r="AE95" s="239" t="s">
        <v>1762</v>
      </c>
      <c r="AF95" s="159">
        <v>15.0</v>
      </c>
      <c r="AI95" s="62"/>
      <c r="AL95" s="63"/>
      <c r="AM95" s="238"/>
      <c r="AN95" s="239" t="s">
        <v>1763</v>
      </c>
      <c r="AO95" s="159">
        <v>15.0</v>
      </c>
      <c r="AY95" s="63"/>
      <c r="AZ95" s="238"/>
      <c r="BA95" s="239" t="s">
        <v>1764</v>
      </c>
      <c r="BB95" s="159">
        <v>30.0</v>
      </c>
      <c r="BE95" s="62"/>
      <c r="BH95" s="63"/>
      <c r="BI95" s="238"/>
      <c r="BJ95" s="239" t="s">
        <v>1765</v>
      </c>
      <c r="BK95" s="159">
        <v>30.0</v>
      </c>
    </row>
    <row r="96" ht="15.0" customHeight="1">
      <c r="G96" s="63"/>
      <c r="H96" s="238"/>
      <c r="J96" s="62"/>
      <c r="M96" s="62"/>
      <c r="P96" s="63"/>
      <c r="Q96" s="238"/>
      <c r="S96" s="62"/>
      <c r="AC96" s="63"/>
      <c r="AD96" s="238"/>
      <c r="AF96" s="62"/>
      <c r="AI96" s="62"/>
      <c r="AL96" s="63"/>
      <c r="AM96" s="238"/>
      <c r="AO96" s="62"/>
      <c r="AY96" s="63"/>
      <c r="AZ96" s="238"/>
      <c r="BB96" s="62"/>
      <c r="BE96" s="62"/>
      <c r="BH96" s="63"/>
      <c r="BI96" s="238"/>
      <c r="BK96" s="62"/>
    </row>
    <row r="97" ht="15.0" customHeight="1">
      <c r="G97" s="63"/>
      <c r="H97" s="240"/>
      <c r="I97" s="241"/>
      <c r="J97" s="242"/>
      <c r="M97" s="62"/>
      <c r="P97" s="63"/>
      <c r="Q97" s="240"/>
      <c r="R97" s="241"/>
      <c r="S97" s="242"/>
      <c r="AC97" s="63"/>
      <c r="AD97" s="240"/>
      <c r="AE97" s="241"/>
      <c r="AF97" s="242"/>
      <c r="AI97" s="62"/>
      <c r="AL97" s="63"/>
      <c r="AM97" s="240"/>
      <c r="AN97" s="241"/>
      <c r="AO97" s="242"/>
      <c r="AY97" s="63"/>
      <c r="AZ97" s="240"/>
      <c r="BA97" s="241"/>
      <c r="BB97" s="242"/>
      <c r="BE97" s="62"/>
      <c r="BH97" s="63"/>
      <c r="BI97" s="240"/>
      <c r="BJ97" s="241"/>
      <c r="BK97" s="242"/>
    </row>
    <row r="98" ht="30.0" customHeight="1">
      <c r="G98" s="63"/>
      <c r="H98" s="244"/>
      <c r="I98" s="245" t="s">
        <v>1766</v>
      </c>
      <c r="J98" s="246">
        <v>1.0</v>
      </c>
      <c r="M98" s="62"/>
      <c r="P98" s="63"/>
      <c r="Q98" s="244"/>
      <c r="R98" s="245" t="s">
        <v>1766</v>
      </c>
      <c r="S98" s="246">
        <v>1.0</v>
      </c>
      <c r="AC98" s="63"/>
      <c r="AD98" s="244"/>
      <c r="AE98" s="245" t="s">
        <v>1766</v>
      </c>
      <c r="AF98" s="246">
        <v>5.0</v>
      </c>
      <c r="AI98" s="62"/>
      <c r="AL98" s="63"/>
      <c r="AM98" s="244"/>
      <c r="AN98" s="245" t="s">
        <v>1766</v>
      </c>
      <c r="AO98" s="246">
        <v>5.0</v>
      </c>
      <c r="AY98" s="63"/>
      <c r="AZ98" s="244"/>
      <c r="BA98" s="245" t="s">
        <v>1766</v>
      </c>
      <c r="BB98" s="246">
        <v>10.0</v>
      </c>
      <c r="BE98" s="62"/>
      <c r="BH98" s="63"/>
      <c r="BI98" s="244"/>
      <c r="BJ98" s="245" t="s">
        <v>1766</v>
      </c>
      <c r="BK98" s="246">
        <v>10.0</v>
      </c>
    </row>
    <row r="99" ht="30.0" customHeight="1">
      <c r="G99" s="63"/>
      <c r="H99" s="157"/>
      <c r="I99" s="175" t="s">
        <v>1610</v>
      </c>
      <c r="J99" s="159" t="s">
        <v>1616</v>
      </c>
      <c r="M99" s="62"/>
      <c r="P99" s="63"/>
      <c r="Q99" s="157"/>
      <c r="R99" s="175" t="s">
        <v>1610</v>
      </c>
      <c r="S99" s="159" t="s">
        <v>1616</v>
      </c>
      <c r="AC99" s="63"/>
      <c r="AD99" s="157"/>
      <c r="AE99" s="175" t="s">
        <v>1610</v>
      </c>
      <c r="AF99" s="159" t="s">
        <v>1617</v>
      </c>
      <c r="AI99" s="62"/>
      <c r="AL99" s="63"/>
      <c r="AM99" s="157"/>
      <c r="AN99" s="175" t="s">
        <v>1610</v>
      </c>
      <c r="AO99" s="159" t="s">
        <v>1617</v>
      </c>
      <c r="AY99" s="63"/>
      <c r="AZ99" s="157"/>
      <c r="BA99" s="175" t="s">
        <v>1610</v>
      </c>
      <c r="BB99" s="159" t="s">
        <v>1767</v>
      </c>
      <c r="BE99" s="62"/>
      <c r="BH99" s="63"/>
      <c r="BI99" s="157"/>
      <c r="BJ99" s="175" t="s">
        <v>1610</v>
      </c>
      <c r="BK99" s="159" t="s">
        <v>1767</v>
      </c>
    </row>
    <row r="100" ht="18.75" customHeight="1">
      <c r="E100" s="247" t="s">
        <v>1768</v>
      </c>
      <c r="F100" s="177"/>
      <c r="G100" s="177"/>
      <c r="H100" s="177"/>
      <c r="I100" s="177"/>
      <c r="J100" s="177"/>
      <c r="K100" s="177"/>
      <c r="L100" s="177"/>
      <c r="M100" s="177"/>
      <c r="N100" s="177"/>
      <c r="O100" s="177"/>
      <c r="P100" s="177"/>
      <c r="Q100" s="177"/>
      <c r="R100" s="177"/>
      <c r="S100" s="177"/>
      <c r="AA100" s="247" t="s">
        <v>1768</v>
      </c>
      <c r="AB100" s="177"/>
      <c r="AC100" s="177"/>
      <c r="AD100" s="177"/>
      <c r="AE100" s="177"/>
      <c r="AF100" s="177"/>
      <c r="AG100" s="177"/>
      <c r="AH100" s="177"/>
      <c r="AI100" s="177"/>
      <c r="AJ100" s="177"/>
      <c r="AK100" s="177"/>
      <c r="AL100" s="177"/>
      <c r="AM100" s="177"/>
      <c r="AN100" s="177"/>
      <c r="AO100" s="177"/>
      <c r="AW100" s="247" t="s">
        <v>1768</v>
      </c>
      <c r="AX100" s="177"/>
      <c r="AY100" s="177"/>
      <c r="AZ100" s="177"/>
      <c r="BA100" s="177"/>
      <c r="BB100" s="177"/>
      <c r="BC100" s="177"/>
      <c r="BD100" s="177"/>
      <c r="BE100" s="177"/>
      <c r="BF100" s="177"/>
      <c r="BG100" s="177"/>
      <c r="BH100" s="177"/>
      <c r="BI100" s="177"/>
      <c r="BJ100" s="177"/>
      <c r="BK100" s="177"/>
    </row>
    <row r="101" ht="15.0" customHeight="1">
      <c r="E101" s="248"/>
      <c r="H101" s="189"/>
      <c r="I101" s="190" t="s">
        <v>1769</v>
      </c>
      <c r="J101" s="191">
        <v>60.0</v>
      </c>
      <c r="K101" s="189"/>
      <c r="L101" s="190" t="s">
        <v>1770</v>
      </c>
      <c r="M101" s="191">
        <v>18.0</v>
      </c>
      <c r="N101" s="157"/>
      <c r="O101" s="175" t="s">
        <v>1766</v>
      </c>
      <c r="P101" s="191">
        <v>2.0</v>
      </c>
      <c r="Q101" s="231"/>
      <c r="AA101" s="248"/>
      <c r="AD101" s="189"/>
      <c r="AE101" s="190" t="s">
        <v>1771</v>
      </c>
      <c r="AF101" s="191">
        <v>90.0</v>
      </c>
      <c r="AG101" s="189"/>
      <c r="AH101" s="190" t="s">
        <v>1772</v>
      </c>
      <c r="AI101" s="191">
        <v>60.0</v>
      </c>
      <c r="AJ101" s="157"/>
      <c r="AK101" s="175" t="s">
        <v>1766</v>
      </c>
      <c r="AL101" s="191">
        <v>10.0</v>
      </c>
      <c r="AM101" s="231"/>
      <c r="AW101" s="248"/>
      <c r="AZ101" s="189"/>
      <c r="BA101" s="190" t="s">
        <v>1773</v>
      </c>
      <c r="BB101" s="191">
        <v>180.0</v>
      </c>
      <c r="BC101" s="189"/>
      <c r="BD101" s="190" t="s">
        <v>1774</v>
      </c>
      <c r="BE101" s="191">
        <v>120.0</v>
      </c>
      <c r="BF101" s="157"/>
      <c r="BG101" s="175" t="s">
        <v>1766</v>
      </c>
      <c r="BH101" s="191">
        <v>20.0</v>
      </c>
      <c r="BI101" s="231"/>
    </row>
    <row r="102" ht="15.0" customHeight="1">
      <c r="H102" s="189"/>
      <c r="J102" s="62"/>
      <c r="K102" s="189"/>
      <c r="M102" s="62"/>
      <c r="P102" s="62"/>
      <c r="AD102" s="189"/>
      <c r="AF102" s="62"/>
      <c r="AG102" s="189"/>
      <c r="AI102" s="62"/>
      <c r="AL102" s="62"/>
      <c r="AZ102" s="189"/>
      <c r="BB102" s="62"/>
      <c r="BC102" s="189"/>
      <c r="BE102" s="62"/>
      <c r="BH102" s="62"/>
    </row>
    <row r="103" ht="15.0" customHeight="1">
      <c r="H103" s="249"/>
      <c r="I103" s="241"/>
      <c r="J103" s="242"/>
      <c r="K103" s="249"/>
      <c r="L103" s="241"/>
      <c r="M103" s="242"/>
      <c r="N103" s="241"/>
      <c r="O103" s="241"/>
      <c r="P103" s="242"/>
      <c r="AD103" s="249"/>
      <c r="AE103" s="241"/>
      <c r="AF103" s="242"/>
      <c r="AG103" s="249"/>
      <c r="AH103" s="241"/>
      <c r="AI103" s="242"/>
      <c r="AJ103" s="241"/>
      <c r="AK103" s="241"/>
      <c r="AL103" s="242"/>
      <c r="AZ103" s="249"/>
      <c r="BA103" s="241"/>
      <c r="BB103" s="242"/>
      <c r="BC103" s="249"/>
      <c r="BD103" s="241"/>
      <c r="BE103" s="242"/>
      <c r="BF103" s="241"/>
      <c r="BG103" s="241"/>
      <c r="BH103" s="242"/>
    </row>
    <row r="104" ht="15.0" customHeight="1">
      <c r="H104" s="189"/>
      <c r="I104" s="190" t="s">
        <v>1775</v>
      </c>
      <c r="J104" s="191">
        <v>60.0</v>
      </c>
      <c r="K104" s="189"/>
      <c r="L104" s="190" t="s">
        <v>1776</v>
      </c>
      <c r="M104" s="191">
        <v>18.0</v>
      </c>
      <c r="N104" s="157"/>
      <c r="O104" s="175" t="s">
        <v>1610</v>
      </c>
      <c r="P104" s="191" t="s">
        <v>1658</v>
      </c>
      <c r="AD104" s="189"/>
      <c r="AE104" s="190" t="s">
        <v>1777</v>
      </c>
      <c r="AF104" s="191">
        <v>90.0</v>
      </c>
      <c r="AG104" s="189"/>
      <c r="AH104" s="190" t="s">
        <v>1778</v>
      </c>
      <c r="AI104" s="191">
        <v>60.0</v>
      </c>
      <c r="AJ104" s="157"/>
      <c r="AK104" s="175" t="s">
        <v>1610</v>
      </c>
      <c r="AL104" s="191" t="s">
        <v>1779</v>
      </c>
      <c r="AZ104" s="189"/>
      <c r="BA104" s="190" t="s">
        <v>1780</v>
      </c>
      <c r="BB104" s="191">
        <v>180.0</v>
      </c>
      <c r="BC104" s="189"/>
      <c r="BD104" s="190" t="s">
        <v>1781</v>
      </c>
      <c r="BE104" s="191">
        <v>120.0</v>
      </c>
      <c r="BF104" s="157"/>
      <c r="BG104" s="175" t="s">
        <v>1610</v>
      </c>
      <c r="BH104" s="191" t="s">
        <v>1641</v>
      </c>
    </row>
    <row r="105" ht="15.0" customHeight="1">
      <c r="H105" s="189"/>
      <c r="J105" s="62"/>
      <c r="K105" s="189"/>
      <c r="M105" s="62"/>
      <c r="P105" s="62"/>
      <c r="AD105" s="189"/>
      <c r="AF105" s="62"/>
      <c r="AG105" s="189"/>
      <c r="AI105" s="62"/>
      <c r="AL105" s="62"/>
      <c r="AZ105" s="189"/>
      <c r="BB105" s="62"/>
      <c r="BC105" s="189"/>
      <c r="BE105" s="62"/>
      <c r="BH105" s="62"/>
    </row>
    <row r="106" ht="15.0" customHeight="1">
      <c r="H106" s="249"/>
      <c r="I106" s="241"/>
      <c r="J106" s="242"/>
      <c r="K106" s="249"/>
      <c r="L106" s="241"/>
      <c r="M106" s="242"/>
      <c r="P106" s="62"/>
      <c r="AD106" s="249"/>
      <c r="AE106" s="241"/>
      <c r="AF106" s="242"/>
      <c r="AG106" s="249"/>
      <c r="AH106" s="241"/>
      <c r="AI106" s="242"/>
      <c r="AL106" s="62"/>
      <c r="AZ106" s="249"/>
      <c r="BA106" s="241"/>
      <c r="BB106" s="242"/>
      <c r="BC106" s="249"/>
      <c r="BD106" s="241"/>
      <c r="BE106" s="242"/>
      <c r="BH106" s="62"/>
    </row>
    <row r="107" ht="26.25" customHeight="1">
      <c r="A107" s="185"/>
      <c r="B107" s="185"/>
      <c r="E107" s="137"/>
      <c r="T107" s="185"/>
      <c r="W107" s="185"/>
      <c r="X107" s="185"/>
      <c r="AA107" s="137"/>
      <c r="AP107" s="185"/>
      <c r="AS107" s="185"/>
      <c r="AT107" s="185"/>
      <c r="AW107" s="137"/>
      <c r="BL107" s="185"/>
      <c r="BO107" s="250"/>
    </row>
  </sheetData>
  <mergeCells count="599">
    <mergeCell ref="X23:Z26"/>
    <mergeCell ref="X27:Z30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X7:Z8"/>
    <mergeCell ref="AJ7:AR8"/>
    <mergeCell ref="AS12:AS20"/>
    <mergeCell ref="X13:Z14"/>
    <mergeCell ref="AJ13:AR14"/>
    <mergeCell ref="X15:Z16"/>
    <mergeCell ref="X17:Z18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X35:AR35"/>
    <mergeCell ref="X19:AR19"/>
    <mergeCell ref="AM20:AR20"/>
    <mergeCell ref="X21:AR21"/>
    <mergeCell ref="X22:AR22"/>
    <mergeCell ref="AS22:AS36"/>
    <mergeCell ref="AO24:AO25"/>
    <mergeCell ref="X31:Z34"/>
    <mergeCell ref="AP36:AR36"/>
    <mergeCell ref="AM28:AM29"/>
    <mergeCell ref="AN28:AN29"/>
    <mergeCell ref="AO28:AO29"/>
    <mergeCell ref="AP28:AP29"/>
    <mergeCell ref="AQ28:AQ29"/>
    <mergeCell ref="AR28:AR29"/>
    <mergeCell ref="AP23:AR26"/>
    <mergeCell ref="AP31:AR34"/>
    <mergeCell ref="AA32:AA33"/>
    <mergeCell ref="AB32:AB33"/>
    <mergeCell ref="AC32:AC33"/>
    <mergeCell ref="AD32:AD33"/>
    <mergeCell ref="AE32:AE33"/>
    <mergeCell ref="AF32:AF33"/>
    <mergeCell ref="B9:V9"/>
    <mergeCell ref="X9:AR9"/>
    <mergeCell ref="C1:V1"/>
    <mergeCell ref="X1:AR1"/>
    <mergeCell ref="A2:A10"/>
    <mergeCell ref="B2:V2"/>
    <mergeCell ref="W2:W10"/>
    <mergeCell ref="X2:AR2"/>
    <mergeCell ref="AS2:AS10"/>
    <mergeCell ref="B3:D4"/>
    <mergeCell ref="N3:V4"/>
    <mergeCell ref="X3:Z4"/>
    <mergeCell ref="AJ3:AR4"/>
    <mergeCell ref="B5:D6"/>
    <mergeCell ref="Q5:V6"/>
    <mergeCell ref="X5:Z6"/>
    <mergeCell ref="AM5:AR6"/>
    <mergeCell ref="Q10:V10"/>
    <mergeCell ref="AM10:AR10"/>
    <mergeCell ref="B11:V11"/>
    <mergeCell ref="X11:AR11"/>
    <mergeCell ref="X12:AR12"/>
    <mergeCell ref="N13:V14"/>
    <mergeCell ref="Q15:V16"/>
    <mergeCell ref="AM15:AR16"/>
    <mergeCell ref="AJ17:AR18"/>
    <mergeCell ref="B17:D18"/>
    <mergeCell ref="N17:V18"/>
    <mergeCell ref="B23:D26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B27:D30"/>
    <mergeCell ref="E28:E29"/>
    <mergeCell ref="F28:F29"/>
    <mergeCell ref="G28:G29"/>
    <mergeCell ref="H28:H29"/>
    <mergeCell ref="I28:I29"/>
    <mergeCell ref="J28:J29"/>
    <mergeCell ref="K28:K29"/>
    <mergeCell ref="L28:L29"/>
    <mergeCell ref="M28:M29"/>
    <mergeCell ref="L40:L41"/>
    <mergeCell ref="M40:M41"/>
    <mergeCell ref="M32:M33"/>
    <mergeCell ref="N32:N33"/>
    <mergeCell ref="A38:A52"/>
    <mergeCell ref="B39:D42"/>
    <mergeCell ref="E40:E41"/>
    <mergeCell ref="F40:F41"/>
    <mergeCell ref="G40:G41"/>
    <mergeCell ref="AA24:AA25"/>
    <mergeCell ref="AB24:AB25"/>
    <mergeCell ref="AC24:AC25"/>
    <mergeCell ref="AD24:AD25"/>
    <mergeCell ref="AE24:AE25"/>
    <mergeCell ref="AF24:AF25"/>
    <mergeCell ref="AG24:AG25"/>
    <mergeCell ref="AH24:AH25"/>
    <mergeCell ref="AI24:AI25"/>
    <mergeCell ref="AJ24:AJ25"/>
    <mergeCell ref="AC40:AC41"/>
    <mergeCell ref="AD40:AD41"/>
    <mergeCell ref="AE40:AE41"/>
    <mergeCell ref="AF40:AF41"/>
    <mergeCell ref="BL47:BN50"/>
    <mergeCell ref="BL52:BN52"/>
    <mergeCell ref="BO12:BO20"/>
    <mergeCell ref="BO22:BO36"/>
    <mergeCell ref="BL31:BN34"/>
    <mergeCell ref="BL36:BN36"/>
    <mergeCell ref="BO38:BO52"/>
    <mergeCell ref="BL39:BN42"/>
    <mergeCell ref="BL44:BL45"/>
    <mergeCell ref="AT1:BN1"/>
    <mergeCell ref="AT2:BN2"/>
    <mergeCell ref="BO2:BO8"/>
    <mergeCell ref="AT3:AV4"/>
    <mergeCell ref="BF3:BN4"/>
    <mergeCell ref="AT5:AV6"/>
    <mergeCell ref="AT7:AV8"/>
    <mergeCell ref="AT9:BN9"/>
    <mergeCell ref="AT11:BN11"/>
    <mergeCell ref="AT12:BN12"/>
    <mergeCell ref="AT13:AV14"/>
    <mergeCell ref="AT15:AV16"/>
    <mergeCell ref="AT17:AV18"/>
    <mergeCell ref="AT19:BN19"/>
    <mergeCell ref="BI5:BN6"/>
    <mergeCell ref="BF7:BN8"/>
    <mergeCell ref="BI10:BN10"/>
    <mergeCell ref="BF13:BN14"/>
    <mergeCell ref="BI15:BN16"/>
    <mergeCell ref="BF17:BN18"/>
    <mergeCell ref="BI20:BN20"/>
    <mergeCell ref="AT27:AV30"/>
    <mergeCell ref="AT31:AV34"/>
    <mergeCell ref="AT39:AV42"/>
    <mergeCell ref="AT43:AV46"/>
    <mergeCell ref="AT47:AV50"/>
    <mergeCell ref="AT35:BN35"/>
    <mergeCell ref="AT37:BN37"/>
    <mergeCell ref="AT38:BN38"/>
    <mergeCell ref="AT21:BN21"/>
    <mergeCell ref="AT22:BN22"/>
    <mergeCell ref="AT23:AV26"/>
    <mergeCell ref="BL23:BN26"/>
    <mergeCell ref="BL28:BL29"/>
    <mergeCell ref="BM28:BM29"/>
    <mergeCell ref="BN28:BN29"/>
    <mergeCell ref="BM44:BM45"/>
    <mergeCell ref="BN44:BN45"/>
    <mergeCell ref="AT51:BN51"/>
    <mergeCell ref="AT53:BN53"/>
    <mergeCell ref="AW54:BK54"/>
    <mergeCell ref="AO87:AO89"/>
    <mergeCell ref="AJ91:AO91"/>
    <mergeCell ref="AJ56:AL62"/>
    <mergeCell ref="AJ64:AL76"/>
    <mergeCell ref="AN73:AN75"/>
    <mergeCell ref="AO73:AO75"/>
    <mergeCell ref="AJ77:AO77"/>
    <mergeCell ref="AJ78:AL90"/>
    <mergeCell ref="AO78:AO80"/>
    <mergeCell ref="BF77:BK77"/>
    <mergeCell ref="BA78:BA80"/>
    <mergeCell ref="BJ78:BJ80"/>
    <mergeCell ref="BK78:BK80"/>
    <mergeCell ref="BF78:BH90"/>
    <mergeCell ref="BJ81:BJ83"/>
    <mergeCell ref="BJ84:BJ86"/>
    <mergeCell ref="BJ87:BJ89"/>
    <mergeCell ref="BK81:BK83"/>
    <mergeCell ref="BK84:BK86"/>
    <mergeCell ref="BA87:BA89"/>
    <mergeCell ref="BB87:BB89"/>
    <mergeCell ref="AW77:BB77"/>
    <mergeCell ref="AW78:AY90"/>
    <mergeCell ref="BB78:BB80"/>
    <mergeCell ref="BA81:BA83"/>
    <mergeCell ref="BB81:BB83"/>
    <mergeCell ref="BA84:BA86"/>
    <mergeCell ref="BB84:BB86"/>
    <mergeCell ref="BK87:BK89"/>
    <mergeCell ref="BF91:BK91"/>
    <mergeCell ref="AW91:BB91"/>
    <mergeCell ref="AW92:AY99"/>
    <mergeCell ref="BJ92:BJ94"/>
    <mergeCell ref="BK92:BK94"/>
    <mergeCell ref="BF55:BK55"/>
    <mergeCell ref="BF56:BH62"/>
    <mergeCell ref="BJ70:BJ72"/>
    <mergeCell ref="BK70:BK72"/>
    <mergeCell ref="BJ73:BJ75"/>
    <mergeCell ref="BK73:BK75"/>
    <mergeCell ref="BF92:BH99"/>
    <mergeCell ref="AN92:AN94"/>
    <mergeCell ref="AN95:AN97"/>
    <mergeCell ref="AA91:AF91"/>
    <mergeCell ref="AE92:AE94"/>
    <mergeCell ref="AF92:AF94"/>
    <mergeCell ref="AJ92:AL99"/>
    <mergeCell ref="AE95:AE97"/>
    <mergeCell ref="AF95:AF97"/>
    <mergeCell ref="AA100:AO100"/>
    <mergeCell ref="AE104:AE106"/>
    <mergeCell ref="AF104:AF106"/>
    <mergeCell ref="AH104:AH106"/>
    <mergeCell ref="AI104:AI106"/>
    <mergeCell ref="AA92:AC99"/>
    <mergeCell ref="AA101:AC106"/>
    <mergeCell ref="AE101:AE103"/>
    <mergeCell ref="AF101:AF103"/>
    <mergeCell ref="AH101:AH103"/>
    <mergeCell ref="AI101:AI103"/>
    <mergeCell ref="AJ101:AJ103"/>
    <mergeCell ref="AJ104:AJ106"/>
    <mergeCell ref="AM24:AM25"/>
    <mergeCell ref="AN24:AN25"/>
    <mergeCell ref="X37:AR37"/>
    <mergeCell ref="X38:AR38"/>
    <mergeCell ref="X39:Z42"/>
    <mergeCell ref="AA40:AA41"/>
    <mergeCell ref="AB40:AB41"/>
    <mergeCell ref="AI48:AI49"/>
    <mergeCell ref="AJ48:AJ49"/>
    <mergeCell ref="X51:AR51"/>
    <mergeCell ref="X53:AR53"/>
    <mergeCell ref="AA54:AO54"/>
    <mergeCell ref="AA55:AF55"/>
    <mergeCell ref="AJ55:AO55"/>
    <mergeCell ref="BA70:BA72"/>
    <mergeCell ref="BA73:BA75"/>
    <mergeCell ref="BB73:BB75"/>
    <mergeCell ref="BA92:BA94"/>
    <mergeCell ref="BB92:BB94"/>
    <mergeCell ref="AN64:AN66"/>
    <mergeCell ref="AO64:AO66"/>
    <mergeCell ref="AN67:AN69"/>
    <mergeCell ref="AO67:AO69"/>
    <mergeCell ref="AN70:AN72"/>
    <mergeCell ref="AO70:AO72"/>
    <mergeCell ref="BB70:BB72"/>
    <mergeCell ref="AO81:AO83"/>
    <mergeCell ref="AO84:AO86"/>
    <mergeCell ref="AO92:AO94"/>
    <mergeCell ref="AO95:AO97"/>
    <mergeCell ref="AN78:AN80"/>
    <mergeCell ref="AN81:AN83"/>
    <mergeCell ref="AF84:AF86"/>
    <mergeCell ref="AN84:AN86"/>
    <mergeCell ref="AE87:AE89"/>
    <mergeCell ref="AF87:AF89"/>
    <mergeCell ref="AN87:AN89"/>
    <mergeCell ref="AK101:AK103"/>
    <mergeCell ref="AL101:AL103"/>
    <mergeCell ref="AM101:AO106"/>
    <mergeCell ref="AK104:AK106"/>
    <mergeCell ref="AL104:AL106"/>
    <mergeCell ref="AA107:AO107"/>
    <mergeCell ref="AP107:AR107"/>
    <mergeCell ref="AT107:AV107"/>
    <mergeCell ref="AQ44:AQ45"/>
    <mergeCell ref="AR44:AR45"/>
    <mergeCell ref="AP54:AR106"/>
    <mergeCell ref="AS54:AS106"/>
    <mergeCell ref="AT54:AV106"/>
    <mergeCell ref="BL54:BN106"/>
    <mergeCell ref="BO54:BO106"/>
    <mergeCell ref="AW100:BK100"/>
    <mergeCell ref="AW101:AY106"/>
    <mergeCell ref="BA101:BA103"/>
    <mergeCell ref="BB101:BB103"/>
    <mergeCell ref="BE101:BE103"/>
    <mergeCell ref="BF101:BF103"/>
    <mergeCell ref="BB104:BB106"/>
    <mergeCell ref="AW55:BB55"/>
    <mergeCell ref="BC55:BE99"/>
    <mergeCell ref="BA56:BA58"/>
    <mergeCell ref="BB56:BB58"/>
    <mergeCell ref="BB59:BB61"/>
    <mergeCell ref="AW63:BB63"/>
    <mergeCell ref="BB64:BB66"/>
    <mergeCell ref="BA95:BA97"/>
    <mergeCell ref="BB95:BB97"/>
    <mergeCell ref="BJ95:BJ97"/>
    <mergeCell ref="BK95:BK97"/>
    <mergeCell ref="BG101:BG103"/>
    <mergeCell ref="BH101:BH103"/>
    <mergeCell ref="BI101:BK106"/>
    <mergeCell ref="BA104:BA106"/>
    <mergeCell ref="BE104:BE106"/>
    <mergeCell ref="BF104:BF106"/>
    <mergeCell ref="BG104:BG106"/>
    <mergeCell ref="BH104:BH106"/>
    <mergeCell ref="BD101:BD103"/>
    <mergeCell ref="BD104:BD106"/>
    <mergeCell ref="AW107:BK107"/>
    <mergeCell ref="BL107:BN107"/>
    <mergeCell ref="AI40:AI41"/>
    <mergeCell ref="AJ40:AJ41"/>
    <mergeCell ref="AN40:AN41"/>
    <mergeCell ref="AO40:AO41"/>
    <mergeCell ref="AE44:AE45"/>
    <mergeCell ref="AF44:AF45"/>
    <mergeCell ref="AG44:AG45"/>
    <mergeCell ref="AH44:AH45"/>
    <mergeCell ref="AI44:AI45"/>
    <mergeCell ref="AJ44:AJ45"/>
    <mergeCell ref="AG40:AG41"/>
    <mergeCell ref="AH40:AH41"/>
    <mergeCell ref="X43:Z46"/>
    <mergeCell ref="AA44:AA45"/>
    <mergeCell ref="AB44:AB45"/>
    <mergeCell ref="AC44:AC45"/>
    <mergeCell ref="AD44:AD45"/>
    <mergeCell ref="AK44:AK45"/>
    <mergeCell ref="AL44:AL45"/>
    <mergeCell ref="AM44:AM45"/>
    <mergeCell ref="AN44:AN45"/>
    <mergeCell ref="AL48:AL49"/>
    <mergeCell ref="AM48:AM49"/>
    <mergeCell ref="AN48:AN49"/>
    <mergeCell ref="AO48:AO49"/>
    <mergeCell ref="AO44:AO45"/>
    <mergeCell ref="AP44:AP45"/>
    <mergeCell ref="X47:Z50"/>
    <mergeCell ref="AA48:AA49"/>
    <mergeCell ref="AB48:AB49"/>
    <mergeCell ref="AC48:AC49"/>
    <mergeCell ref="AD48:AD49"/>
    <mergeCell ref="AE64:AE66"/>
    <mergeCell ref="AF64:AF66"/>
    <mergeCell ref="AE48:AE49"/>
    <mergeCell ref="AF48:AF49"/>
    <mergeCell ref="AE56:AE58"/>
    <mergeCell ref="AF56:AF58"/>
    <mergeCell ref="AE59:AE61"/>
    <mergeCell ref="AF59:AF61"/>
    <mergeCell ref="AA63:AF63"/>
    <mergeCell ref="AK24:AK25"/>
    <mergeCell ref="AL24:AL25"/>
    <mergeCell ref="AS38:AS52"/>
    <mergeCell ref="AP39:AR42"/>
    <mergeCell ref="AL40:AL41"/>
    <mergeCell ref="AM40:AM41"/>
    <mergeCell ref="AP47:AR50"/>
    <mergeCell ref="AP52:AR52"/>
    <mergeCell ref="AK40:AK41"/>
    <mergeCell ref="AK48:AK49"/>
    <mergeCell ref="AN56:AN58"/>
    <mergeCell ref="AO56:AO58"/>
    <mergeCell ref="AN59:AN61"/>
    <mergeCell ref="AO59:AO61"/>
    <mergeCell ref="AJ63:AO63"/>
    <mergeCell ref="BJ56:BJ58"/>
    <mergeCell ref="BK56:BK58"/>
    <mergeCell ref="BJ59:BJ61"/>
    <mergeCell ref="BK59:BK61"/>
    <mergeCell ref="AW56:AY62"/>
    <mergeCell ref="AW64:AY76"/>
    <mergeCell ref="BF63:BK63"/>
    <mergeCell ref="BA64:BA66"/>
    <mergeCell ref="BJ64:BJ66"/>
    <mergeCell ref="BK64:BK66"/>
    <mergeCell ref="BA59:BA61"/>
    <mergeCell ref="BA67:BA69"/>
    <mergeCell ref="BF64:BH76"/>
    <mergeCell ref="BB67:BB69"/>
    <mergeCell ref="BJ67:BJ69"/>
    <mergeCell ref="BK67:BK69"/>
    <mergeCell ref="AF73:AF75"/>
    <mergeCell ref="AA77:AF77"/>
    <mergeCell ref="AA56:AC62"/>
    <mergeCell ref="AA64:AC76"/>
    <mergeCell ref="AE67:AE69"/>
    <mergeCell ref="AF67:AF69"/>
    <mergeCell ref="AE70:AE72"/>
    <mergeCell ref="AF70:AF72"/>
    <mergeCell ref="AE73:AE75"/>
    <mergeCell ref="AE81:AE83"/>
    <mergeCell ref="AE84:AE86"/>
    <mergeCell ref="AG48:AG49"/>
    <mergeCell ref="AH48:AH49"/>
    <mergeCell ref="AG55:AI99"/>
    <mergeCell ref="AA78:AC90"/>
    <mergeCell ref="AE78:AE80"/>
    <mergeCell ref="AF78:AF80"/>
    <mergeCell ref="AF81:AF83"/>
    <mergeCell ref="N64:P76"/>
    <mergeCell ref="R64:R66"/>
    <mergeCell ref="R67:R69"/>
    <mergeCell ref="R70:R72"/>
    <mergeCell ref="R73:R75"/>
    <mergeCell ref="S64:S66"/>
    <mergeCell ref="S67:S69"/>
    <mergeCell ref="S70:S72"/>
    <mergeCell ref="S73:S75"/>
    <mergeCell ref="R84:R86"/>
    <mergeCell ref="R87:R89"/>
    <mergeCell ref="S87:S89"/>
    <mergeCell ref="N91:S91"/>
    <mergeCell ref="N92:P99"/>
    <mergeCell ref="R92:R94"/>
    <mergeCell ref="R95:R97"/>
    <mergeCell ref="S92:S94"/>
    <mergeCell ref="S95:S97"/>
    <mergeCell ref="I95:I97"/>
    <mergeCell ref="I101:I103"/>
    <mergeCell ref="J101:J103"/>
    <mergeCell ref="I104:I106"/>
    <mergeCell ref="J104:J106"/>
    <mergeCell ref="I81:I83"/>
    <mergeCell ref="I84:I86"/>
    <mergeCell ref="E91:J91"/>
    <mergeCell ref="E92:G99"/>
    <mergeCell ref="I92:I94"/>
    <mergeCell ref="J92:J94"/>
    <mergeCell ref="E101:G106"/>
    <mergeCell ref="M104:M106"/>
    <mergeCell ref="N104:N106"/>
    <mergeCell ref="O104:O106"/>
    <mergeCell ref="P104:P106"/>
    <mergeCell ref="J95:J97"/>
    <mergeCell ref="E100:S100"/>
    <mergeCell ref="M101:M103"/>
    <mergeCell ref="N101:N103"/>
    <mergeCell ref="O101:O103"/>
    <mergeCell ref="P101:P103"/>
    <mergeCell ref="Q101:S106"/>
    <mergeCell ref="B51:V51"/>
    <mergeCell ref="B53:V53"/>
    <mergeCell ref="E54:S54"/>
    <mergeCell ref="E55:J55"/>
    <mergeCell ref="N55:S55"/>
    <mergeCell ref="A54:A106"/>
    <mergeCell ref="B54:D106"/>
    <mergeCell ref="W54:W106"/>
    <mergeCell ref="X54:Z106"/>
    <mergeCell ref="X107:Z107"/>
    <mergeCell ref="P48:P49"/>
    <mergeCell ref="N56:P62"/>
    <mergeCell ref="R56:R58"/>
    <mergeCell ref="S56:S58"/>
    <mergeCell ref="R59:R61"/>
    <mergeCell ref="S59:S61"/>
    <mergeCell ref="E63:J63"/>
    <mergeCell ref="N63:S63"/>
    <mergeCell ref="L101:L103"/>
    <mergeCell ref="L104:L106"/>
    <mergeCell ref="B7:D8"/>
    <mergeCell ref="N7:V8"/>
    <mergeCell ref="A12:A20"/>
    <mergeCell ref="B12:V12"/>
    <mergeCell ref="W12:W20"/>
    <mergeCell ref="B13:D14"/>
    <mergeCell ref="B15:D16"/>
    <mergeCell ref="N28:N29"/>
    <mergeCell ref="O28:O29"/>
    <mergeCell ref="P28:P29"/>
    <mergeCell ref="Q28:Q29"/>
    <mergeCell ref="R28:R29"/>
    <mergeCell ref="S28:S29"/>
    <mergeCell ref="T28:T29"/>
    <mergeCell ref="U28:U29"/>
    <mergeCell ref="A22:A36"/>
    <mergeCell ref="B31:D34"/>
    <mergeCell ref="K32:K33"/>
    <mergeCell ref="L32:L33"/>
    <mergeCell ref="Q44:Q45"/>
    <mergeCell ref="R44:R45"/>
    <mergeCell ref="S44:S45"/>
    <mergeCell ref="T44:T45"/>
    <mergeCell ref="U44:U45"/>
    <mergeCell ref="V44:V45"/>
    <mergeCell ref="Q40:Q41"/>
    <mergeCell ref="Q48:Q49"/>
    <mergeCell ref="R48:R49"/>
    <mergeCell ref="S48:S49"/>
    <mergeCell ref="Q32:Q33"/>
    <mergeCell ref="R32:R33"/>
    <mergeCell ref="W38:W52"/>
    <mergeCell ref="T39:V42"/>
    <mergeCell ref="R40:R41"/>
    <mergeCell ref="S40:S41"/>
    <mergeCell ref="T47:V50"/>
    <mergeCell ref="T52:V52"/>
    <mergeCell ref="O32:O33"/>
    <mergeCell ref="P32:P33"/>
    <mergeCell ref="T31:V34"/>
    <mergeCell ref="E32:E33"/>
    <mergeCell ref="F32:F33"/>
    <mergeCell ref="G32:G33"/>
    <mergeCell ref="H32:H33"/>
    <mergeCell ref="I32:I33"/>
    <mergeCell ref="J32:J33"/>
    <mergeCell ref="S32:S33"/>
    <mergeCell ref="B35:V35"/>
    <mergeCell ref="T36:V36"/>
    <mergeCell ref="B37:V37"/>
    <mergeCell ref="B38:V38"/>
    <mergeCell ref="B19:V19"/>
    <mergeCell ref="Q20:V20"/>
    <mergeCell ref="B21:V21"/>
    <mergeCell ref="B22:V22"/>
    <mergeCell ref="W22:W36"/>
    <mergeCell ref="T23:V26"/>
    <mergeCell ref="V28:V29"/>
    <mergeCell ref="J40:J41"/>
    <mergeCell ref="K40:K41"/>
    <mergeCell ref="N40:N41"/>
    <mergeCell ref="O40:O41"/>
    <mergeCell ref="P40:P41"/>
    <mergeCell ref="I44:I45"/>
    <mergeCell ref="J44:J45"/>
    <mergeCell ref="K44:K45"/>
    <mergeCell ref="L44:L45"/>
    <mergeCell ref="M44:M45"/>
    <mergeCell ref="N44:N45"/>
    <mergeCell ref="O44:O45"/>
    <mergeCell ref="P44:P45"/>
    <mergeCell ref="H40:H41"/>
    <mergeCell ref="I40:I41"/>
    <mergeCell ref="B43:D46"/>
    <mergeCell ref="E44:E45"/>
    <mergeCell ref="F44:F45"/>
    <mergeCell ref="G44:G45"/>
    <mergeCell ref="H44:H45"/>
    <mergeCell ref="J56:J58"/>
    <mergeCell ref="I59:I61"/>
    <mergeCell ref="J59:J61"/>
    <mergeCell ref="B47:D50"/>
    <mergeCell ref="E48:E49"/>
    <mergeCell ref="F48:F49"/>
    <mergeCell ref="G48:G49"/>
    <mergeCell ref="H48:H49"/>
    <mergeCell ref="J48:J49"/>
    <mergeCell ref="E56:G62"/>
    <mergeCell ref="I73:I75"/>
    <mergeCell ref="J73:J75"/>
    <mergeCell ref="I48:I49"/>
    <mergeCell ref="I56:I58"/>
    <mergeCell ref="E64:G76"/>
    <mergeCell ref="I64:I66"/>
    <mergeCell ref="J64:J66"/>
    <mergeCell ref="I67:I69"/>
    <mergeCell ref="J67:J69"/>
    <mergeCell ref="J84:J86"/>
    <mergeCell ref="I87:I89"/>
    <mergeCell ref="J87:J89"/>
    <mergeCell ref="B107:D107"/>
    <mergeCell ref="E107:S107"/>
    <mergeCell ref="I70:I72"/>
    <mergeCell ref="J70:J72"/>
    <mergeCell ref="E77:J77"/>
    <mergeCell ref="E78:G90"/>
    <mergeCell ref="I78:I80"/>
    <mergeCell ref="J78:J80"/>
    <mergeCell ref="J81:J83"/>
    <mergeCell ref="N77:S77"/>
    <mergeCell ref="N78:P90"/>
    <mergeCell ref="R78:R80"/>
    <mergeCell ref="S78:S80"/>
    <mergeCell ref="R81:R83"/>
    <mergeCell ref="S81:S83"/>
    <mergeCell ref="S84:S86"/>
    <mergeCell ref="K48:K49"/>
    <mergeCell ref="L48:L49"/>
    <mergeCell ref="M48:M49"/>
    <mergeCell ref="N48:N49"/>
    <mergeCell ref="O48:O49"/>
    <mergeCell ref="T54:V106"/>
    <mergeCell ref="K55:M99"/>
    <mergeCell ref="T107:V10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5.13"/>
    <col customWidth="1" min="3" max="3" width="31.38"/>
    <col customWidth="1" min="4" max="4" width="162.63"/>
    <col customWidth="1" min="5" max="5" width="6.38"/>
  </cols>
  <sheetData>
    <row r="1" ht="37.5" customHeight="1">
      <c r="A1" s="137"/>
      <c r="B1" s="251"/>
      <c r="C1" s="137"/>
      <c r="D1" s="252"/>
      <c r="E1" s="137"/>
    </row>
    <row r="2">
      <c r="A2" s="137"/>
      <c r="B2" s="253">
        <v>46049.0</v>
      </c>
      <c r="C2" s="254" t="s">
        <v>1782</v>
      </c>
      <c r="D2" s="255" t="s">
        <v>1783</v>
      </c>
      <c r="E2" s="137"/>
    </row>
    <row r="3">
      <c r="A3" s="137"/>
      <c r="B3" s="256"/>
      <c r="C3" s="257"/>
      <c r="D3" s="258"/>
      <c r="E3" s="137"/>
    </row>
    <row r="4">
      <c r="A4" s="137"/>
      <c r="B4" s="253">
        <v>46048.0</v>
      </c>
      <c r="C4" s="254" t="s">
        <v>1784</v>
      </c>
      <c r="D4" s="255" t="s">
        <v>1785</v>
      </c>
      <c r="E4" s="137"/>
    </row>
    <row r="5">
      <c r="A5" s="137"/>
      <c r="B5" s="256"/>
      <c r="C5" s="257"/>
      <c r="D5" s="258"/>
      <c r="E5" s="137"/>
    </row>
    <row r="6">
      <c r="A6" s="137"/>
      <c r="B6" s="253">
        <v>46023.0</v>
      </c>
      <c r="C6" s="254" t="s">
        <v>1782</v>
      </c>
      <c r="D6" s="255" t="s">
        <v>1786</v>
      </c>
      <c r="E6" s="137"/>
    </row>
    <row r="7">
      <c r="A7" s="137"/>
      <c r="C7" s="254" t="s">
        <v>1784</v>
      </c>
      <c r="D7" s="255" t="s">
        <v>1787</v>
      </c>
      <c r="E7" s="137"/>
    </row>
    <row r="8">
      <c r="A8" s="137"/>
      <c r="B8" s="256"/>
      <c r="C8" s="257"/>
      <c r="D8" s="258"/>
      <c r="E8" s="137"/>
    </row>
    <row r="9">
      <c r="A9" s="137"/>
      <c r="B9" s="253">
        <v>46009.0</v>
      </c>
      <c r="C9" s="254" t="s">
        <v>1782</v>
      </c>
      <c r="D9" s="255" t="s">
        <v>1788</v>
      </c>
      <c r="E9" s="137"/>
    </row>
    <row r="10">
      <c r="A10" s="137"/>
      <c r="B10" s="256"/>
      <c r="C10" s="257"/>
      <c r="D10" s="258"/>
      <c r="E10" s="137"/>
    </row>
    <row r="11">
      <c r="A11" s="137"/>
      <c r="B11" s="253">
        <v>46000.0</v>
      </c>
      <c r="C11" s="254" t="s">
        <v>1782</v>
      </c>
      <c r="D11" s="255" t="s">
        <v>1789</v>
      </c>
      <c r="E11" s="137"/>
    </row>
    <row r="12">
      <c r="A12" s="137"/>
      <c r="B12" s="256"/>
      <c r="C12" s="257"/>
      <c r="D12" s="258"/>
      <c r="E12" s="137"/>
    </row>
    <row r="13">
      <c r="A13" s="137"/>
      <c r="B13" s="253">
        <v>45986.0</v>
      </c>
      <c r="C13" s="254" t="s">
        <v>1782</v>
      </c>
      <c r="D13" s="255" t="s">
        <v>1790</v>
      </c>
      <c r="E13" s="137"/>
    </row>
    <row r="14">
      <c r="A14" s="137"/>
      <c r="C14" s="254" t="s">
        <v>1784</v>
      </c>
      <c r="D14" s="255" t="s">
        <v>1791</v>
      </c>
      <c r="E14" s="137"/>
    </row>
    <row r="15">
      <c r="A15" s="137"/>
      <c r="B15" s="256"/>
      <c r="C15" s="257"/>
      <c r="D15" s="258"/>
      <c r="E15" s="137"/>
    </row>
    <row r="16">
      <c r="A16" s="137"/>
      <c r="B16" s="253">
        <v>45959.0</v>
      </c>
      <c r="C16" s="254" t="s">
        <v>1782</v>
      </c>
      <c r="D16" s="255" t="s">
        <v>1792</v>
      </c>
      <c r="E16" s="137"/>
    </row>
    <row r="17">
      <c r="A17" s="137"/>
      <c r="C17" s="254" t="s">
        <v>1784</v>
      </c>
      <c r="D17" s="255" t="s">
        <v>1793</v>
      </c>
      <c r="E17" s="137"/>
    </row>
    <row r="18">
      <c r="A18" s="137"/>
      <c r="B18" s="256"/>
      <c r="C18" s="257"/>
      <c r="D18" s="258"/>
      <c r="E18" s="137"/>
    </row>
    <row r="19">
      <c r="A19" s="137"/>
      <c r="B19" s="253">
        <v>45946.0</v>
      </c>
      <c r="C19" s="254" t="s">
        <v>1782</v>
      </c>
      <c r="D19" s="255" t="s">
        <v>1794</v>
      </c>
      <c r="E19" s="137"/>
    </row>
    <row r="20">
      <c r="A20" s="137"/>
      <c r="B20" s="256"/>
      <c r="C20" s="257"/>
      <c r="D20" s="258"/>
      <c r="E20" s="137"/>
    </row>
    <row r="21">
      <c r="A21" s="137"/>
      <c r="B21" s="253">
        <v>45929.0</v>
      </c>
      <c r="C21" s="254" t="s">
        <v>1782</v>
      </c>
      <c r="D21" s="255" t="s">
        <v>1795</v>
      </c>
      <c r="E21" s="137"/>
    </row>
    <row r="22">
      <c r="A22" s="137"/>
      <c r="C22" s="254" t="s">
        <v>1784</v>
      </c>
      <c r="D22" s="255" t="s">
        <v>1796</v>
      </c>
      <c r="E22" s="137"/>
    </row>
    <row r="23">
      <c r="A23" s="137"/>
      <c r="B23" s="256"/>
      <c r="C23" s="257"/>
      <c r="D23" s="258"/>
      <c r="E23" s="137"/>
    </row>
    <row r="24">
      <c r="A24" s="137"/>
      <c r="B24" s="253">
        <v>45919.0</v>
      </c>
      <c r="C24" s="254" t="s">
        <v>1782</v>
      </c>
      <c r="D24" s="255" t="s">
        <v>1797</v>
      </c>
      <c r="E24" s="137"/>
    </row>
    <row r="25">
      <c r="A25" s="137"/>
      <c r="B25" s="256"/>
      <c r="C25" s="257"/>
      <c r="D25" s="258"/>
      <c r="E25" s="137"/>
    </row>
    <row r="26">
      <c r="A26" s="137"/>
      <c r="B26" s="253">
        <v>45897.0</v>
      </c>
      <c r="C26" s="254" t="s">
        <v>1782</v>
      </c>
      <c r="D26" s="255" t="s">
        <v>1798</v>
      </c>
      <c r="E26" s="137"/>
    </row>
    <row r="27">
      <c r="A27" s="137"/>
      <c r="C27" s="254" t="s">
        <v>1784</v>
      </c>
      <c r="D27" s="255" t="s">
        <v>1799</v>
      </c>
      <c r="E27" s="137"/>
    </row>
    <row r="28">
      <c r="A28" s="137"/>
      <c r="B28" s="256"/>
      <c r="C28" s="257"/>
      <c r="D28" s="258"/>
      <c r="E28" s="137"/>
    </row>
    <row r="29">
      <c r="A29" s="137"/>
      <c r="B29" s="253">
        <v>45876.0</v>
      </c>
      <c r="C29" s="254" t="s">
        <v>1782</v>
      </c>
      <c r="D29" s="255" t="s">
        <v>1800</v>
      </c>
      <c r="E29" s="137"/>
    </row>
    <row r="30">
      <c r="A30" s="137"/>
      <c r="B30" s="256"/>
      <c r="C30" s="257"/>
      <c r="D30" s="258"/>
      <c r="E30" s="137"/>
    </row>
    <row r="31">
      <c r="A31" s="137"/>
      <c r="B31" s="253">
        <v>45867.0</v>
      </c>
      <c r="C31" s="254" t="s">
        <v>1784</v>
      </c>
      <c r="D31" s="255" t="s">
        <v>1801</v>
      </c>
      <c r="E31" s="137"/>
    </row>
    <row r="32">
      <c r="A32" s="137"/>
      <c r="B32" s="251"/>
      <c r="C32" s="259"/>
      <c r="D32" s="260"/>
      <c r="E32" s="137"/>
    </row>
  </sheetData>
  <mergeCells count="5">
    <mergeCell ref="B6:B7"/>
    <mergeCell ref="B13:B14"/>
    <mergeCell ref="B16:B17"/>
    <mergeCell ref="B21:B22"/>
    <mergeCell ref="B26:B27"/>
  </mergeCells>
  <printOptions gridLines="1" horizontalCentered="1"/>
  <pageMargins bottom="0.0" footer="0.0" header="0.0" left="0.0" right="0.0" top="0.0"/>
  <pageSetup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8.75"/>
    <col customWidth="1" min="3" max="3" width="63.38"/>
    <col customWidth="1" min="4" max="4" width="42.38"/>
    <col customWidth="1" min="5" max="5" width="10.63"/>
    <col customWidth="1" min="6" max="7" width="16.63"/>
    <col customWidth="1" min="8" max="8" width="20.75"/>
    <col customWidth="1" min="9" max="9" width="25.13"/>
    <col customWidth="1" min="10" max="10" width="14.25"/>
    <col customWidth="1" min="11" max="11" width="6.38"/>
  </cols>
  <sheetData>
    <row r="1">
      <c r="A1" s="261"/>
      <c r="B1" s="262" t="s">
        <v>1802</v>
      </c>
      <c r="C1" s="262" t="s">
        <v>1803</v>
      </c>
      <c r="D1" s="262" t="s">
        <v>1804</v>
      </c>
      <c r="E1" s="262" t="s">
        <v>1805</v>
      </c>
      <c r="F1" s="262" t="s">
        <v>1806</v>
      </c>
      <c r="G1" s="262" t="s">
        <v>1807</v>
      </c>
      <c r="H1" s="262" t="s">
        <v>1808</v>
      </c>
      <c r="I1" s="262" t="s">
        <v>1809</v>
      </c>
      <c r="J1" s="262" t="s">
        <v>1810</v>
      </c>
      <c r="K1" s="261"/>
    </row>
    <row r="2">
      <c r="A2" s="263"/>
      <c r="B2" s="264">
        <f>IFERROR(__xludf.DUMMYFUNCTION("LET(
RANGE , ARRAYFORMULA(INDIRECT(""Database_"" &amp; B1)),
MAXLEN, MAX(ARRAYFORMULA({LEN(RANGE); LEN(B1)})),
FILTER(
  ARRAYFORMULA(
    RANGE
  ),
  Database_Character_ID &lt;&gt; """"
)
)"),343.0)</f>
        <v>343</v>
      </c>
      <c r="C2" s="265" t="str">
        <f>IFERROR(__xludf.DUMMYFUNCTION("LET(
RANGE , ARRAYFORMULA(REGEXREPLACE(INDIRECT(""Database_"" &amp; C1), ""\n"", "" ~ "")),
MAXLEN, MAX(ARRAYFORMULA({LEN(RANGE); LEN(C1)})),
FILTER(
  ARRAYFORMULA(
    RANGE
  ),
  Database_Character_ID &lt;&gt; """"
)
)"),"https://i.postimg.cc/MZLRHkwV/343-Baroque-Works-Officer-Agent-Mr-3.png")</f>
        <v>https://i.postimg.cc/MZLRHkwV/343-Baroque-Works-Officer-Agent-Mr-3.png</v>
      </c>
      <c r="D2" s="266" t="str">
        <f>IFERROR(__xludf.DUMMYFUNCTION("LET(
RANGE , ARRAYFORMULA(REGEXREPLACE(INDIRECT(""Database_"" &amp; D1), ""\n"", "" ~ "")),
MAXLEN, MAX(ARRAYFORMULA({LEN(RANGE); LEN(D1)})),
FILTER(
  ARRAYFORMULA(
    RANGE
  ),
  Database_Character_ID &lt;&gt; """"
)
)"),"Baroque Works / Officer Agent ~ Mr. 5")</f>
        <v>Baroque Works / Officer Agent ~ Mr. 5</v>
      </c>
      <c r="E2" s="266" t="str">
        <f>IFERROR(__xludf.DUMMYFUNCTION("LET(
RANGE , ARRAYFORMULA(REGEXREPLACE(INDIRECT(""Database_"" &amp; E1), ""\n"", "" ~ "")),
MAXLEN, MAX(ARRAYFORMULA({LEN(RANGE); LEN(E1)})),
FILTER(
  ARRAYFORMULA(
    RANGE
  ),
  Database_Character_ID &lt;&gt; """"
)
)"),"4 Stars")</f>
        <v>4 Stars</v>
      </c>
      <c r="F2" s="266" t="str">
        <f>IFERROR(__xludf.DUMMYFUNCTION("LET(
RANGE , ARRAYFORMULA(REGEXREPLACE(INDIRECT(""Database_"" &amp; F1), ""\n"", "" ~ "")),
MAXLEN, MAX(ARRAYFORMULA({LEN(RANGE); LEN(F1)})),
FILTER(
  ARRAYFORMULA(
    RANGE
  ),
  Database_Character_ID &lt;&gt; """"
)
)"),"Step Up")</f>
        <v>Step Up</v>
      </c>
      <c r="G2" s="266" t="str">
        <f>IFERROR(__xludf.DUMMYFUNCTION("LET(
RANGE , ARRAYFORMULA(REGEXREPLACE(INDIRECT(""Database_"" &amp; G1), ""\n"", "" ~ "")),
MAXLEN, MAX(ARRAYFORMULA({LEN(RANGE); LEN(G1)})),
FILTER(
  ARRAYFORMULA(
    RANGE
  ),
  Database_Character_ID &lt;&gt; """"
)
)"),"Defender(s) ~ Baroque Works ~ Paramecia ~ Power users ~ The Grand Line")</f>
        <v>Defender(s) ~ Baroque Works ~ Paramecia ~ Power users ~ The Grand Line</v>
      </c>
      <c r="H2" s="266" t="str">
        <f>IFERROR(__xludf.DUMMYFUNCTION("LET(
RANGE , ARRAYFORMULA(REGEXREPLACE(INDIRECT(""Database_"" &amp; H1), ""\n"", "" ~ "")),
MAXLEN, MAX(ARRAYFORMULA({LEN(RANGE); LEN(H1)})),
FILTER(
  ARRAYFORMULA(
    RANGE
  ),
  Database_Character_ID &lt;&gt; """"
)
)"),"Dark ~ Defender")</f>
        <v>Dark ~ Defender</v>
      </c>
      <c r="I2" s="265" t="str">
        <f>IFERROR(__xludf.DUMMYFUNCTION("LET(
RANGE , ARRAYFORMULA(REGEXREPLACE(INDIRECT(""Database_"" &amp; I1), ""\n"", "" ~ "")),
MAXLEN, MAX(ARRAYFORMULA({LEN(RANGE); LEN(I1)})),
FILTER(
  ARRAYFORMULA(
    RANGE
  ),
  Database_Character_ID &lt;&gt; """"
)
)"),"https://i.postimg.cc/qv4MdVVj/Dark-Defender.png")</f>
        <v>https://i.postimg.cc/qv4MdVVj/Dark-Defender.png</v>
      </c>
      <c r="J2" s="267" t="str">
        <f>IFERROR(__xludf.DUMMYFUNCTION("LET(
RANGE , ARRAYFORMULA(INDIRECT(""Database_"" &amp; J1)),
MAXLEN, MAX(ARRAYFORMULA({LEN(RANGE); LEN(J1)})),
FILTER(
  ARRAYFORMULA(
    TEXT(RANGE, ""yyyy-mm-dd"")
  ),
  Database_Character_ID &lt;&gt; """"
)
)"),"2026-02-10")</f>
        <v>2026-02-10</v>
      </c>
      <c r="K2" s="263"/>
    </row>
    <row r="3">
      <c r="A3" s="268"/>
      <c r="B3" s="264">
        <f>IFERROR(__xludf.DUMMYFUNCTION("""COMPUTED_VALUE"""),342.0)</f>
        <v>342</v>
      </c>
      <c r="C3" s="265" t="str">
        <f>IFERROR(__xludf.DUMMYFUNCTION("""COMPUTED_VALUE"""),"https://i.postimg.cc/KcWLjXbt/342-Baroque-Works-Officer-Agent-Ms-Valentine.png")</f>
        <v>https://i.postimg.cc/KcWLjXbt/342-Baroque-Works-Officer-Agent-Ms-Valentine.png</v>
      </c>
      <c r="D3" s="266" t="str">
        <f>IFERROR(__xludf.DUMMYFUNCTION("""COMPUTED_VALUE"""),"Baroque Works / Officer Agent ~ Ms. Valentine")</f>
        <v>Baroque Works / Officer Agent ~ Ms. Valentine</v>
      </c>
      <c r="E3" s="266" t="str">
        <f>IFERROR(__xludf.DUMMYFUNCTION("""COMPUTED_VALUE"""),"4 Stars")</f>
        <v>4 Stars</v>
      </c>
      <c r="F3" s="266" t="str">
        <f>IFERROR(__xludf.DUMMYFUNCTION("""COMPUTED_VALUE"""),"Step Up")</f>
        <v>Step Up</v>
      </c>
      <c r="G3" s="266" t="str">
        <f>IFERROR(__xludf.DUMMYFUNCTION("""COMPUTED_VALUE"""),"Runner(s) ~ Baroque Works ~ Paramecia ~ Power users ~ The Grand Line")</f>
        <v>Runner(s) ~ Baroque Works ~ Paramecia ~ Power users ~ The Grand Line</v>
      </c>
      <c r="H3" s="266" t="str">
        <f>IFERROR(__xludf.DUMMYFUNCTION("""COMPUTED_VALUE"""),"Green ~ Runner")</f>
        <v>Green ~ Runner</v>
      </c>
      <c r="I3" s="265" t="str">
        <f>IFERROR(__xludf.DUMMYFUNCTION("""COMPUTED_VALUE"""),"https://i.postimg.cc/PxgT30Qb/Green-Runner.png")</f>
        <v>https://i.postimg.cc/PxgT30Qb/Green-Runner.png</v>
      </c>
      <c r="J3" s="267" t="str">
        <f>IFERROR(__xludf.DUMMYFUNCTION("""COMPUTED_VALUE"""),"2026-02-10")</f>
        <v>2026-02-10</v>
      </c>
      <c r="K3" s="263"/>
    </row>
    <row r="4">
      <c r="A4" s="268"/>
      <c r="B4" s="264">
        <f>IFERROR(__xludf.DUMMYFUNCTION("""COMPUTED_VALUE"""),341.0)</f>
        <v>341</v>
      </c>
      <c r="C4" s="265" t="str">
        <f>IFERROR(__xludf.DUMMYFUNCTION("""COMPUTED_VALUE"""),"https://i.postimg.cc/2ST14Lhy/341-The-Four-Emperors-Marshall-D-Teach.png")</f>
        <v>https://i.postimg.cc/2ST14Lhy/341-The-Four-Emperors-Marshall-D-Teach.png</v>
      </c>
      <c r="D4" s="266" t="str">
        <f>IFERROR(__xludf.DUMMYFUNCTION("""COMPUTED_VALUE"""),"The Four Emperors ~ Marshall D. Teach")</f>
        <v>The Four Emperors ~ Marshall D. Teach</v>
      </c>
      <c r="E4" s="266" t="str">
        <f>IFERROR(__xludf.DUMMYFUNCTION("""COMPUTED_VALUE"""),"4 Stars")</f>
        <v>4 Stars</v>
      </c>
      <c r="F4" s="266" t="str">
        <f>IFERROR(__xludf.DUMMYFUNCTION("""COMPUTED_VALUE"""),"Extreme")</f>
        <v>Extreme</v>
      </c>
      <c r="G4" s="266" t="str">
        <f>IFERROR(__xludf.DUMMYFUNCTION("""COMPUTED_VALUE"""),"Attacker(s) ~ The Seven Warlords of the Sea / Former Warlords of the Sea ~ Paramecia ~ Logia ~ Captain ~ Power users ~ New World ~ Worst Generation ~ Blackbeard Pirates")</f>
        <v>Attacker(s) ~ The Seven Warlords of the Sea / Former Warlords of the Sea ~ Paramecia ~ Logia ~ Captain ~ Power users ~ New World ~ Worst Generation ~ Blackbeard Pirates</v>
      </c>
      <c r="H4" s="266" t="str">
        <f>IFERROR(__xludf.DUMMYFUNCTION("""COMPUTED_VALUE"""),"Dark-Light ~ Attacker")</f>
        <v>Dark-Light ~ Attacker</v>
      </c>
      <c r="I4" s="265" t="str">
        <f>IFERROR(__xludf.DUMMYFUNCTION("""COMPUTED_VALUE"""),"https://i.postimg.cc/nLHLrFW9/Transforming-Element-Dark-Attacker.png")</f>
        <v>https://i.postimg.cc/nLHLrFW9/Transforming-Element-Dark-Attacker.png</v>
      </c>
      <c r="J4" s="267" t="str">
        <f>IFERROR(__xludf.DUMMYFUNCTION("""COMPUTED_VALUE"""),"2026-01-27")</f>
        <v>2026-01-27</v>
      </c>
      <c r="K4" s="263"/>
    </row>
    <row r="5">
      <c r="A5" s="263"/>
      <c r="B5" s="264">
        <f>IFERROR(__xludf.DUMMYFUNCTION("""COMPUTED_VALUE"""),340.0)</f>
        <v>340</v>
      </c>
      <c r="C5" s="265" t="str">
        <f>IFERROR(__xludf.DUMMYFUNCTION("""COMPUTED_VALUE"""),"https://i.postimg.cc/Jz7CBYLG/340-ASL-Ace-Sabo-Luffy.png")</f>
        <v>https://i.postimg.cc/Jz7CBYLG/340-ASL-Ace-Sabo-Luffy.png</v>
      </c>
      <c r="D5" s="266" t="str">
        <f>IFERROR(__xludf.DUMMYFUNCTION("""COMPUTED_VALUE"""),"ASL ~ Ace &amp; Sabo &amp; Luffy")</f>
        <v>ASL ~ Ace &amp; Sabo &amp; Luffy</v>
      </c>
      <c r="E5" s="266" t="str">
        <f>IFERROR(__xludf.DUMMYFUNCTION("""COMPUTED_VALUE"""),"4 Stars")</f>
        <v>4 Stars</v>
      </c>
      <c r="F5" s="266" t="str">
        <f>IFERROR(__xludf.DUMMYFUNCTION("""COMPUTED_VALUE"""),"Bounty Festival")</f>
        <v>Bounty Festival</v>
      </c>
      <c r="G5" s="266" t="str">
        <f>IFERROR(__xludf.DUMMYFUNCTION("""COMPUTED_VALUE"""),"Attacker(s) ~ East Blue ~ Paramecia ~ Power users")</f>
        <v>Attacker(s) ~ East Blue ~ Paramecia ~ Power users</v>
      </c>
      <c r="H5" s="266" t="str">
        <f>IFERROR(__xludf.DUMMYFUNCTION("""COMPUTED_VALUE"""),"Light ~ Attacker-Defender-Runner")</f>
        <v>Light ~ Attacker-Defender-Runner</v>
      </c>
      <c r="I5" s="265" t="str">
        <f>IFERROR(__xludf.DUMMYFUNCTION("""COMPUTED_VALUE"""),"https://i.postimg.cc/0j0ZVpyR/Transforming-Class-Light-Attacker.png")</f>
        <v>https://i.postimg.cc/0j0ZVpyR/Transforming-Class-Light-Attacker.png</v>
      </c>
      <c r="J5" s="267" t="str">
        <f>IFERROR(__xludf.DUMMYFUNCTION("""COMPUTED_VALUE"""),"2026-01-01")</f>
        <v>2026-01-01</v>
      </c>
      <c r="K5" s="263"/>
    </row>
    <row r="6">
      <c r="A6" s="263"/>
      <c r="B6" s="264">
        <f>IFERROR(__xludf.DUMMYFUNCTION("""COMPUTED_VALUE"""),339.0)</f>
        <v>339</v>
      </c>
      <c r="C6" s="265" t="str">
        <f>IFERROR(__xludf.DUMMYFUNCTION("""COMPUTED_VALUE"""),"https://i.postimg.cc/DZzPtPj6/339-Winner-Island-Trafalgar-Law.png")</f>
        <v>https://i.postimg.cc/DZzPtPj6/339-Winner-Island-Trafalgar-Law.png</v>
      </c>
      <c r="D6" s="266" t="str">
        <f>IFERROR(__xludf.DUMMYFUNCTION("""COMPUTED_VALUE"""),"Winner Island ~ Trafalgar Law")</f>
        <v>Winner Island ~ Trafalgar Law</v>
      </c>
      <c r="E6" s="266" t="str">
        <f>IFERROR(__xludf.DUMMYFUNCTION("""COMPUTED_VALUE"""),"4 Stars")</f>
        <v>4 Stars</v>
      </c>
      <c r="F6" s="266" t="str">
        <f>IFERROR(__xludf.DUMMYFUNCTION("""COMPUTED_VALUE"""),"Extreme")</f>
        <v>Extreme</v>
      </c>
      <c r="G6" s="266" t="str">
        <f>IFERROR(__xludf.DUMMYFUNCTION("""COMPUTED_VALUE"""),"Runner(s) ~ The Seven Warlords of the Sea / Former Warlords of the Sea ~ Paramecia ~ Captain ~ Power users ~ New World ~ Worst Generation")</f>
        <v>Runner(s) ~ The Seven Warlords of the Sea / Former Warlords of the Sea ~ Paramecia ~ Captain ~ Power users ~ New World ~ Worst Generation</v>
      </c>
      <c r="H6" s="266" t="str">
        <f>IFERROR(__xludf.DUMMYFUNCTION("""COMPUTED_VALUE"""),"Red ~ Runner")</f>
        <v>Red ~ Runner</v>
      </c>
      <c r="I6" s="265" t="str">
        <f>IFERROR(__xludf.DUMMYFUNCTION("""COMPUTED_VALUE"""),"https://i.postimg.cc/Hk6HDrtk/Red-Runner.png")</f>
        <v>https://i.postimg.cc/Hk6HDrtk/Red-Runner.png</v>
      </c>
      <c r="J6" s="267" t="str">
        <f>IFERROR(__xludf.DUMMYFUNCTION("""COMPUTED_VALUE"""),"2025-12-18")</f>
        <v>2025-12-18</v>
      </c>
      <c r="K6" s="263"/>
    </row>
    <row r="7">
      <c r="A7" s="263"/>
      <c r="B7" s="264">
        <f>IFERROR(__xludf.DUMMYFUNCTION("""COMPUTED_VALUE"""),338.0)</f>
        <v>338</v>
      </c>
      <c r="C7" s="265" t="str">
        <f>IFERROR(__xludf.DUMMYFUNCTION("""COMPUTED_VALUE"""),"https://i.postimg.cc/tC85ZhVM/338-Winner-Island-Bepo.png")</f>
        <v>https://i.postimg.cc/tC85ZhVM/338-Winner-Island-Bepo.png</v>
      </c>
      <c r="D7" s="266" t="str">
        <f>IFERROR(__xludf.DUMMYFUNCTION("""COMPUTED_VALUE"""),"Winner Island ~ Bepo")</f>
        <v>Winner Island ~ Bepo</v>
      </c>
      <c r="E7" s="266" t="str">
        <f>IFERROR(__xludf.DUMMYFUNCTION("""COMPUTED_VALUE"""),"4 Stars")</f>
        <v>4 Stars</v>
      </c>
      <c r="F7" s="266" t="str">
        <f>IFERROR(__xludf.DUMMYFUNCTION("""COMPUTED_VALUE"""),"Bounty Festival")</f>
        <v>Bounty Festival</v>
      </c>
      <c r="G7" s="266" t="str">
        <f>IFERROR(__xludf.DUMMYFUNCTION("""COMPUTED_VALUE"""),"Defender(s) ~ New World ~ Minks")</f>
        <v>Defender(s) ~ New World ~ Minks</v>
      </c>
      <c r="H7" s="266" t="str">
        <f>IFERROR(__xludf.DUMMYFUNCTION("""COMPUTED_VALUE"""),"Light ~ Defender")</f>
        <v>Light ~ Defender</v>
      </c>
      <c r="I7" s="265" t="str">
        <f>IFERROR(__xludf.DUMMYFUNCTION("""COMPUTED_VALUE"""),"https://i.postimg.cc/0j7xLZVT/Light-Defender.png")</f>
        <v>https://i.postimg.cc/0j7xLZVT/Light-Defender.png</v>
      </c>
      <c r="J7" s="267" t="str">
        <f>IFERROR(__xludf.DUMMYFUNCTION("""COMPUTED_VALUE"""),"2025-12-09")</f>
        <v>2025-12-09</v>
      </c>
      <c r="K7" s="263"/>
    </row>
    <row r="8">
      <c r="A8" s="263"/>
      <c r="B8" s="264">
        <f>IFERROR(__xludf.DUMMYFUNCTION("""COMPUTED_VALUE"""),337.0)</f>
        <v>337</v>
      </c>
      <c r="C8" s="265" t="str">
        <f>IFERROR(__xludf.DUMMYFUNCTION("""COMPUTED_VALUE"""),"https://i.postimg.cc/XvHRZRhz/337-Genius-Scientist-Vegapunk.png")</f>
        <v>https://i.postimg.cc/XvHRZRhz/337-Genius-Scientist-Vegapunk.png</v>
      </c>
      <c r="D8" s="266" t="str">
        <f>IFERROR(__xludf.DUMMYFUNCTION("""COMPUTED_VALUE"""),"Genius Scientist ~ Vegapunk")</f>
        <v>Genius Scientist ~ Vegapunk</v>
      </c>
      <c r="E8" s="266" t="str">
        <f>IFERROR(__xludf.DUMMYFUNCTION("""COMPUTED_VALUE"""),"4 Stars")</f>
        <v>4 Stars</v>
      </c>
      <c r="F8" s="266" t="str">
        <f>IFERROR(__xludf.DUMMYFUNCTION("""COMPUTED_VALUE"""),"Bounty Festival")</f>
        <v>Bounty Festival</v>
      </c>
      <c r="G8" s="266" t="str">
        <f>IFERROR(__xludf.DUMMYFUNCTION("""COMPUTED_VALUE"""),"Runner(s) ~ Navy ~ Paramecia ~ Power users ~ New World ~ Long-Range Normal Attacks")</f>
        <v>Runner(s) ~ Navy ~ Paramecia ~ Power users ~ New World ~ Long-Range Normal Attacks</v>
      </c>
      <c r="H8" s="266" t="str">
        <f>IFERROR(__xludf.DUMMYFUNCTION("""COMPUTED_VALUE"""),"Green ~ Runner")</f>
        <v>Green ~ Runner</v>
      </c>
      <c r="I8" s="265" t="str">
        <f>IFERROR(__xludf.DUMMYFUNCTION("""COMPUTED_VALUE"""),"https://i.postimg.cc/PxgT30Qb/Green-Runner.png")</f>
        <v>https://i.postimg.cc/PxgT30Qb/Green-Runner.png</v>
      </c>
      <c r="J8" s="267" t="str">
        <f>IFERROR(__xludf.DUMMYFUNCTION("""COMPUTED_VALUE"""),"2025-11-25")</f>
        <v>2025-11-25</v>
      </c>
      <c r="K8" s="263"/>
    </row>
    <row r="9">
      <c r="A9" s="263"/>
      <c r="B9" s="264">
        <f>IFERROR(__xludf.DUMMYFUNCTION("""COMPUTED_VALUE"""),336.0)</f>
        <v>336</v>
      </c>
      <c r="C9" s="265" t="str">
        <f>IFERROR(__xludf.DUMMYFUNCTION("""COMPUTED_VALUE"""),"https://i.postimg.cc/5t7hHhGr/336-Father-and-Daughter-Kuma-Bonney.png")</f>
        <v>https://i.postimg.cc/5t7hHhGr/336-Father-and-Daughter-Kuma-Bonney.png</v>
      </c>
      <c r="D9" s="266" t="str">
        <f>IFERROR(__xludf.DUMMYFUNCTION("""COMPUTED_VALUE"""),"Father and Daughter ~ Kuma &amp; Bonney")</f>
        <v>Father and Daughter ~ Kuma &amp; Bonney</v>
      </c>
      <c r="E9" s="266" t="str">
        <f>IFERROR(__xludf.DUMMYFUNCTION("""COMPUTED_VALUE"""),"4 Stars")</f>
        <v>4 Stars</v>
      </c>
      <c r="F9" s="266" t="str">
        <f>IFERROR(__xludf.DUMMYFUNCTION("""COMPUTED_VALUE"""),"Bounty Festival")</f>
        <v>Bounty Festival</v>
      </c>
      <c r="G9" s="266" t="str">
        <f>IFERROR(__xludf.DUMMYFUNCTION("""COMPUTED_VALUE"""),"Attacker(s) ~ The Seven Warlords of the Sea / Former Warlords of the Sea ~ Revolutionary Army ~ Paramecia ~ Captain ~ Power users ~ New World ~ Worst Generation ~ Royalty / Former Royalty")</f>
        <v>Attacker(s) ~ The Seven Warlords of the Sea / Former Warlords of the Sea ~ Revolutionary Army ~ Paramecia ~ Captain ~ Power users ~ New World ~ Worst Generation ~ Royalty / Former Royalty</v>
      </c>
      <c r="H9" s="266" t="str">
        <f>IFERROR(__xludf.DUMMYFUNCTION("""COMPUTED_VALUE"""),"Red ~ Attacker")</f>
        <v>Red ~ Attacker</v>
      </c>
      <c r="I9" s="265" t="str">
        <f>IFERROR(__xludf.DUMMYFUNCTION("""COMPUTED_VALUE"""),"https://i.postimg.cc/L6B2DCYf/Red-Attacker.png")</f>
        <v>https://i.postimg.cc/L6B2DCYf/Red-Attacker.png</v>
      </c>
      <c r="J9" s="267" t="str">
        <f>IFERROR(__xludf.DUMMYFUNCTION("""COMPUTED_VALUE"""),"2025-11-25")</f>
        <v>2025-11-25</v>
      </c>
      <c r="K9" s="263"/>
    </row>
    <row r="10">
      <c r="A10" s="263"/>
      <c r="B10" s="264">
        <f>IFERROR(__xludf.DUMMYFUNCTION("""COMPUTED_VALUE"""),335.0)</f>
        <v>335</v>
      </c>
      <c r="C10" s="265" t="str">
        <f>IFERROR(__xludf.DUMMYFUNCTION("""COMPUTED_VALUE"""),"https://i.postimg.cc/sxMBVywR/335-Egghead-Jimbie.png")</f>
        <v>https://i.postimg.cc/sxMBVywR/335-Egghead-Jimbie.png</v>
      </c>
      <c r="D10" s="266" t="str">
        <f>IFERROR(__xludf.DUMMYFUNCTION("""COMPUTED_VALUE"""),"Egghead ~ Jinbe")</f>
        <v>Egghead ~ Jinbe</v>
      </c>
      <c r="E10" s="266" t="str">
        <f>IFERROR(__xludf.DUMMYFUNCTION("""COMPUTED_VALUE"""),"4 Stars")</f>
        <v>4 Stars</v>
      </c>
      <c r="F10" s="266" t="str">
        <f>IFERROR(__xludf.DUMMYFUNCTION("""COMPUTED_VALUE"""),"Bounty Festival")</f>
        <v>Bounty Festival</v>
      </c>
      <c r="G10" s="266" t="str">
        <f>IFERROR(__xludf.DUMMYFUNCTION("""COMPUTED_VALUE"""),"Runner(s) ~ The Seven Warlords of the Sea / Former Warlords of the Sea ~ Straw Hat Pirates ~ Fish-Man ~ New World")</f>
        <v>Runner(s) ~ The Seven Warlords of the Sea / Former Warlords of the Sea ~ Straw Hat Pirates ~ Fish-Man ~ New World</v>
      </c>
      <c r="H10" s="266" t="str">
        <f>IFERROR(__xludf.DUMMYFUNCTION("""COMPUTED_VALUE"""),"Dark ~ Runner")</f>
        <v>Dark ~ Runner</v>
      </c>
      <c r="I10" s="265" t="str">
        <f>IFERROR(__xludf.DUMMYFUNCTION("""COMPUTED_VALUE"""),"https://i.postimg.cc/rppVK1p4/Dark-Runner.png")</f>
        <v>https://i.postimg.cc/rppVK1p4/Dark-Runner.png</v>
      </c>
      <c r="J10" s="267" t="str">
        <f>IFERROR(__xludf.DUMMYFUNCTION("""COMPUTED_VALUE"""),"2025-10-29")</f>
        <v>2025-10-29</v>
      </c>
      <c r="K10" s="263"/>
    </row>
    <row r="11">
      <c r="A11" s="263"/>
      <c r="B11" s="264">
        <f>IFERROR(__xludf.DUMMYFUNCTION("""COMPUTED_VALUE"""),334.0)</f>
        <v>334</v>
      </c>
      <c r="C11" s="265" t="str">
        <f>IFERROR(__xludf.DUMMYFUNCTION("""COMPUTED_VALUE"""),"https://i.postimg.cc/Gt4Bcrqw/334-Egghead-Franky.png")</f>
        <v>https://i.postimg.cc/Gt4Bcrqw/334-Egghead-Franky.png</v>
      </c>
      <c r="D11" s="266" t="str">
        <f>IFERROR(__xludf.DUMMYFUNCTION("""COMPUTED_VALUE"""),"Egghead ~ Franky")</f>
        <v>Egghead ~ Franky</v>
      </c>
      <c r="E11" s="266" t="str">
        <f>IFERROR(__xludf.DUMMYFUNCTION("""COMPUTED_VALUE"""),"4 Stars")</f>
        <v>4 Stars</v>
      </c>
      <c r="F11" s="266" t="str">
        <f>IFERROR(__xludf.DUMMYFUNCTION("""COMPUTED_VALUE"""),"Bounty Festival")</f>
        <v>Bounty Festival</v>
      </c>
      <c r="G11" s="266" t="str">
        <f>IFERROR(__xludf.DUMMYFUNCTION("""COMPUTED_VALUE"""),"Attacker(s) ~ Straw Hat Pirates ~ New World")</f>
        <v>Attacker(s) ~ Straw Hat Pirates ~ New World</v>
      </c>
      <c r="H11" s="266" t="str">
        <f>IFERROR(__xludf.DUMMYFUNCTION("""COMPUTED_VALUE"""),"Dark ~ Attacker")</f>
        <v>Dark ~ Attacker</v>
      </c>
      <c r="I11" s="265" t="str">
        <f>IFERROR(__xludf.DUMMYFUNCTION("""COMPUTED_VALUE"""),"https://i.postimg.cc/QdmN84js/Dark-Attacker.png")</f>
        <v>https://i.postimg.cc/QdmN84js/Dark-Attacker.png</v>
      </c>
      <c r="J11" s="267" t="str">
        <f>IFERROR(__xludf.DUMMYFUNCTION("""COMPUTED_VALUE"""),"2025-10-29")</f>
        <v>2025-10-29</v>
      </c>
      <c r="K11" s="263"/>
    </row>
    <row r="12">
      <c r="A12" s="263"/>
      <c r="B12" s="264">
        <f>IFERROR(__xludf.DUMMYFUNCTION("""COMPUTED_VALUE"""),333.0)</f>
        <v>333</v>
      </c>
      <c r="C12" s="265" t="str">
        <f>IFERROR(__xludf.DUMMYFUNCTION("""COMPUTED_VALUE"""),"https://i.postimg.cc/28691fqR/333-The-Five-Elders-St-Jaygarcia-Saturn.png")</f>
        <v>https://i.postimg.cc/28691fqR/333-The-Five-Elders-St-Jaygarcia-Saturn.png</v>
      </c>
      <c r="D12" s="266" t="str">
        <f>IFERROR(__xludf.DUMMYFUNCTION("""COMPUTED_VALUE"""),"The Five Elders ~ St. Jaygarcia Saturn")</f>
        <v>The Five Elders ~ St. Jaygarcia Saturn</v>
      </c>
      <c r="E12" s="266" t="str">
        <f>IFERROR(__xludf.DUMMYFUNCTION("""COMPUTED_VALUE"""),"4 Stars")</f>
        <v>4 Stars</v>
      </c>
      <c r="F12" s="266" t="str">
        <f>IFERROR(__xludf.DUMMYFUNCTION("""COMPUTED_VALUE"""),"Extreme")</f>
        <v>Extreme</v>
      </c>
      <c r="G12" s="266" t="str">
        <f>IFERROR(__xludf.DUMMYFUNCTION("""COMPUTED_VALUE"""),"Defender(s) ~ New World ~ Celestial Dragons / Former Celestial Dragons")</f>
        <v>Defender(s) ~ New World ~ Celestial Dragons / Former Celestial Dragons</v>
      </c>
      <c r="H12" s="266" t="str">
        <f>IFERROR(__xludf.DUMMYFUNCTION("""COMPUTED_VALUE"""),"Dark ~ Defender-Runner")</f>
        <v>Dark ~ Defender-Runner</v>
      </c>
      <c r="I12" s="265" t="str">
        <f>IFERROR(__xludf.DUMMYFUNCTION("""COMPUTED_VALUE"""),"https://i.postimg.cc/MZPzWmHq/Transforming-Class-Dark-Defender.png")</f>
        <v>https://i.postimg.cc/MZPzWmHq/Transforming-Class-Dark-Defender.png</v>
      </c>
      <c r="J12" s="267" t="str">
        <f>IFERROR(__xludf.DUMMYFUNCTION("""COMPUTED_VALUE"""),"2025-10-16")</f>
        <v>2025-10-16</v>
      </c>
      <c r="K12" s="263"/>
    </row>
    <row r="13">
      <c r="A13" s="263"/>
      <c r="B13" s="264">
        <f>IFERROR(__xludf.DUMMYFUNCTION("""COMPUTED_VALUE"""),332.0)</f>
        <v>332</v>
      </c>
      <c r="C13" s="265" t="str">
        <f>IFERROR(__xludf.DUMMYFUNCTION("""COMPUTED_VALUE"""),"https://i.postimg.cc/nLqZkVQz/332-Egghead-Nico-Robin.png")</f>
        <v>https://i.postimg.cc/nLqZkVQz/332-Egghead-Nico-Robin.png</v>
      </c>
      <c r="D13" s="266" t="str">
        <f>IFERROR(__xludf.DUMMYFUNCTION("""COMPUTED_VALUE"""),"Egghead ~ Nico Robin")</f>
        <v>Egghead ~ Nico Robin</v>
      </c>
      <c r="E13" s="266" t="str">
        <f>IFERROR(__xludf.DUMMYFUNCTION("""COMPUTED_VALUE"""),"4 Stars")</f>
        <v>4 Stars</v>
      </c>
      <c r="F13" s="266" t="str">
        <f>IFERROR(__xludf.DUMMYFUNCTION("""COMPUTED_VALUE"""),"Bounty Festival")</f>
        <v>Bounty Festival</v>
      </c>
      <c r="G13" s="266" t="str">
        <f>IFERROR(__xludf.DUMMYFUNCTION("""COMPUTED_VALUE"""),"Defender(s) ~ Straw Hat Pirates ~ Paramecia ~ Power users ~ New World")</f>
        <v>Defender(s) ~ Straw Hat Pirates ~ Paramecia ~ Power users ~ New World</v>
      </c>
      <c r="H13" s="266" t="str">
        <f>IFERROR(__xludf.DUMMYFUNCTION("""COMPUTED_VALUE"""),"Light ~ Defender")</f>
        <v>Light ~ Defender</v>
      </c>
      <c r="I13" s="265" t="str">
        <f>IFERROR(__xludf.DUMMYFUNCTION("""COMPUTED_VALUE"""),"https://i.postimg.cc/0j7xLZVT/Light-Defender.png")</f>
        <v>https://i.postimg.cc/0j7xLZVT/Light-Defender.png</v>
      </c>
      <c r="J13" s="267" t="str">
        <f>IFERROR(__xludf.DUMMYFUNCTION("""COMPUTED_VALUE"""),"2025-09-29")</f>
        <v>2025-09-29</v>
      </c>
      <c r="K13" s="263"/>
    </row>
    <row r="14">
      <c r="A14" s="263"/>
      <c r="B14" s="264">
        <f>IFERROR(__xludf.DUMMYFUNCTION("""COMPUTED_VALUE"""),331.0)</f>
        <v>331</v>
      </c>
      <c r="C14" s="265" t="str">
        <f>IFERROR(__xludf.DUMMYFUNCTION("""COMPUTED_VALUE"""),"https://i.postimg.cc/fLZsg4xb/331-Egghead-Tony-Tony-Chopper.png")</f>
        <v>https://i.postimg.cc/fLZsg4xb/331-Egghead-Tony-Tony-Chopper.png</v>
      </c>
      <c r="D14" s="266" t="str">
        <f>IFERROR(__xludf.DUMMYFUNCTION("""COMPUTED_VALUE"""),"Egghead ~ Tony Tony Chopper")</f>
        <v>Egghead ~ Tony Tony Chopper</v>
      </c>
      <c r="E14" s="266" t="str">
        <f>IFERROR(__xludf.DUMMYFUNCTION("""COMPUTED_VALUE"""),"4 Stars")</f>
        <v>4 Stars</v>
      </c>
      <c r="F14" s="266" t="str">
        <f>IFERROR(__xludf.DUMMYFUNCTION("""COMPUTED_VALUE"""),"Bounty Festival")</f>
        <v>Bounty Festival</v>
      </c>
      <c r="G14" s="266" t="str">
        <f>IFERROR(__xludf.DUMMYFUNCTION("""COMPUTED_VALUE"""),"Attacker(s) ~ Straw Hat Pirates ~ Zoan ~ Power users ~ New World")</f>
        <v>Attacker(s) ~ Straw Hat Pirates ~ Zoan ~ Power users ~ New World</v>
      </c>
      <c r="H14" s="266" t="str">
        <f>IFERROR(__xludf.DUMMYFUNCTION("""COMPUTED_VALUE"""),"Light ~ Attacker-Defender")</f>
        <v>Light ~ Attacker-Defender</v>
      </c>
      <c r="I14" s="265" t="str">
        <f>IFERROR(__xludf.DUMMYFUNCTION("""COMPUTED_VALUE"""),"https://i.postimg.cc/0j0ZVpyR/Transforming-Class-Light-Attacker.png")</f>
        <v>https://i.postimg.cc/0j0ZVpyR/Transforming-Class-Light-Attacker.png</v>
      </c>
      <c r="J14" s="267" t="str">
        <f>IFERROR(__xludf.DUMMYFUNCTION("""COMPUTED_VALUE"""),"2025-09-29")</f>
        <v>2025-09-29</v>
      </c>
      <c r="K14" s="263"/>
    </row>
    <row r="15">
      <c r="A15" s="263"/>
      <c r="B15" s="264">
        <f>IFERROR(__xludf.DUMMYFUNCTION("""COMPUTED_VALUE"""),330.0)</f>
        <v>330</v>
      </c>
      <c r="C15" s="265" t="str">
        <f>IFERROR(__xludf.DUMMYFUNCTION("""COMPUTED_VALUE"""),"https://i.postimg.cc/L84ykwkF/330-Egghead-Brook.png")</f>
        <v>https://i.postimg.cc/L84ykwkF/330-Egghead-Brook.png</v>
      </c>
      <c r="D15" s="266" t="str">
        <f>IFERROR(__xludf.DUMMYFUNCTION("""COMPUTED_VALUE"""),"Egghead ~ Brook")</f>
        <v>Egghead ~ Brook</v>
      </c>
      <c r="E15" s="266" t="str">
        <f>IFERROR(__xludf.DUMMYFUNCTION("""COMPUTED_VALUE"""),"4 Stars")</f>
        <v>4 Stars</v>
      </c>
      <c r="F15" s="266" t="str">
        <f>IFERROR(__xludf.DUMMYFUNCTION("""COMPUTED_VALUE"""),"Bounty Festival")</f>
        <v>Bounty Festival</v>
      </c>
      <c r="G15" s="266" t="str">
        <f>IFERROR(__xludf.DUMMYFUNCTION("""COMPUTED_VALUE"""),"Attacker(s) ~ Straw Hat Pirates ~ Paramecia ~ Power users ~ New World")</f>
        <v>Attacker(s) ~ Straw Hat Pirates ~ Paramecia ~ Power users ~ New World</v>
      </c>
      <c r="H15" s="266" t="str">
        <f>IFERROR(__xludf.DUMMYFUNCTION("""COMPUTED_VALUE"""),"Blue-Red-Green ~ Attacker")</f>
        <v>Blue-Red-Green ~ Attacker</v>
      </c>
      <c r="I15" s="265" t="str">
        <f>IFERROR(__xludf.DUMMYFUNCTION("""COMPUTED_VALUE"""),"https://i.postimg.cc/P52mhmnd/Transforming-Element-Blue-Attacker.png")</f>
        <v>https://i.postimg.cc/P52mhmnd/Transforming-Element-Blue-Attacker.png</v>
      </c>
      <c r="J15" s="267" t="str">
        <f>IFERROR(__xludf.DUMMYFUNCTION("""COMPUTED_VALUE"""),"2025-09-19")</f>
        <v>2025-09-19</v>
      </c>
      <c r="K15" s="263"/>
    </row>
    <row r="16">
      <c r="A16" s="263"/>
      <c r="B16" s="264">
        <f>IFERROR(__xludf.DUMMYFUNCTION("""COMPUTED_VALUE"""),329.0)</f>
        <v>329</v>
      </c>
      <c r="C16" s="265" t="str">
        <f>IFERROR(__xludf.DUMMYFUNCTION("""COMPUTED_VALUE"""),"https://i.postimg.cc/pVzdz7Qm/329-The-Four-Emperors-Monkey-D-Luffy.png")</f>
        <v>https://i.postimg.cc/pVzdz7Qm/329-The-Four-Emperors-Monkey-D-Luffy.png</v>
      </c>
      <c r="D16" s="266" t="str">
        <f>IFERROR(__xludf.DUMMYFUNCTION("""COMPUTED_VALUE"""),"The Four Emperors ~ Monkey D. Luffy")</f>
        <v>The Four Emperors ~ Monkey D. Luffy</v>
      </c>
      <c r="E16" s="266" t="str">
        <f>IFERROR(__xludf.DUMMYFUNCTION("""COMPUTED_VALUE"""),"4 Stars")</f>
        <v>4 Stars</v>
      </c>
      <c r="F16" s="266" t="str">
        <f>IFERROR(__xludf.DUMMYFUNCTION("""COMPUTED_VALUE"""),"Extreme")</f>
        <v>Extreme</v>
      </c>
      <c r="G16" s="266" t="str">
        <f>IFERROR(__xludf.DUMMYFUNCTION("""COMPUTED_VALUE"""),"Runner(s) ~ Straw Hat Pirates ~ Zoan ~ Captain ~ Power users ~ New World ~ Worst Generation")</f>
        <v>Runner(s) ~ Straw Hat Pirates ~ Zoan ~ Captain ~ Power users ~ New World ~ Worst Generation</v>
      </c>
      <c r="H16" s="266" t="str">
        <f>IFERROR(__xludf.DUMMYFUNCTION("""COMPUTED_VALUE"""),"Light ~ Runner")</f>
        <v>Light ~ Runner</v>
      </c>
      <c r="I16" s="265" t="str">
        <f>IFERROR(__xludf.DUMMYFUNCTION("""COMPUTED_VALUE"""),"https://i.postimg.cc/02q9pRQP/Light-Runner.png")</f>
        <v>https://i.postimg.cc/02q9pRQP/Light-Runner.png</v>
      </c>
      <c r="J16" s="267" t="str">
        <f>IFERROR(__xludf.DUMMYFUNCTION("""COMPUTED_VALUE"""),"2025-08-28")</f>
        <v>2025-08-28</v>
      </c>
      <c r="K16" s="263"/>
    </row>
    <row r="17">
      <c r="A17" s="263"/>
      <c r="B17" s="264">
        <f>IFERROR(__xludf.DUMMYFUNCTION("""COMPUTED_VALUE"""),328.0)</f>
        <v>328</v>
      </c>
      <c r="C17" s="265" t="str">
        <f>IFERROR(__xludf.DUMMYFUNCTION("""COMPUTED_VALUE"""),"https://i.postimg.cc/pV7FD1Sz/328-Egghead-Usopp.png")</f>
        <v>https://i.postimg.cc/pV7FD1Sz/328-Egghead-Usopp.png</v>
      </c>
      <c r="D17" s="266" t="str">
        <f>IFERROR(__xludf.DUMMYFUNCTION("""COMPUTED_VALUE"""),"Egghead ~ Usopp")</f>
        <v>Egghead ~ Usopp</v>
      </c>
      <c r="E17" s="266" t="str">
        <f>IFERROR(__xludf.DUMMYFUNCTION("""COMPUTED_VALUE"""),"4 Stars")</f>
        <v>4 Stars</v>
      </c>
      <c r="F17" s="266" t="str">
        <f>IFERROR(__xludf.DUMMYFUNCTION("""COMPUTED_VALUE"""),"Bounty Festival")</f>
        <v>Bounty Festival</v>
      </c>
      <c r="G17" s="266" t="str">
        <f>IFERROR(__xludf.DUMMYFUNCTION("""COMPUTED_VALUE"""),"Defender(s) ~ Straw Hat Pirates ~ New World ~ Long-Range Normal Attacks")</f>
        <v>Defender(s) ~ Straw Hat Pirates ~ New World ~ Long-Range Normal Attacks</v>
      </c>
      <c r="H17" s="266" t="str">
        <f>IFERROR(__xludf.DUMMYFUNCTION("""COMPUTED_VALUE"""),"Light ~ Defender")</f>
        <v>Light ~ Defender</v>
      </c>
      <c r="I17" s="265" t="str">
        <f>IFERROR(__xludf.DUMMYFUNCTION("""COMPUTED_VALUE"""),"https://i.postimg.cc/0j7xLZVT/Light-Defender.png")</f>
        <v>https://i.postimg.cc/0j7xLZVT/Light-Defender.png</v>
      </c>
      <c r="J17" s="267" t="str">
        <f>IFERROR(__xludf.DUMMYFUNCTION("""COMPUTED_VALUE"""),"2025-08-07")</f>
        <v>2025-08-07</v>
      </c>
      <c r="K17" s="263"/>
    </row>
    <row r="18">
      <c r="A18" s="263"/>
      <c r="B18" s="264">
        <f>IFERROR(__xludf.DUMMYFUNCTION("""COMPUTED_VALUE"""),327.0)</f>
        <v>327</v>
      </c>
      <c r="C18" s="265" t="str">
        <f>IFERROR(__xludf.DUMMYFUNCTION("""COMPUTED_VALUE"""),"https://i.postimg.cc/50KFKP2c/327-Egghead-Nami.png")</f>
        <v>https://i.postimg.cc/50KFKP2c/327-Egghead-Nami.png</v>
      </c>
      <c r="D18" s="266" t="str">
        <f>IFERROR(__xludf.DUMMYFUNCTION("""COMPUTED_VALUE"""),"Egghead ~ Nami")</f>
        <v>Egghead ~ Nami</v>
      </c>
      <c r="E18" s="266" t="str">
        <f>IFERROR(__xludf.DUMMYFUNCTION("""COMPUTED_VALUE"""),"4 Stars")</f>
        <v>4 Stars</v>
      </c>
      <c r="F18" s="266" t="str">
        <f>IFERROR(__xludf.DUMMYFUNCTION("""COMPUTED_VALUE"""),"Bounty Festival")</f>
        <v>Bounty Festival</v>
      </c>
      <c r="G18" s="266" t="str">
        <f>IFERROR(__xludf.DUMMYFUNCTION("""COMPUTED_VALUE"""),"Runner(s) ~ Straw Hat Pirates ~ New World")</f>
        <v>Runner(s) ~ Straw Hat Pirates ~ New World</v>
      </c>
      <c r="H18" s="266" t="str">
        <f>IFERROR(__xludf.DUMMYFUNCTION("""COMPUTED_VALUE"""),"Red ~ Runner")</f>
        <v>Red ~ Runner</v>
      </c>
      <c r="I18" s="265" t="str">
        <f>IFERROR(__xludf.DUMMYFUNCTION("""COMPUTED_VALUE"""),"https://i.postimg.cc/Hk6HDrtk/Red-Runner.png")</f>
        <v>https://i.postimg.cc/Hk6HDrtk/Red-Runner.png</v>
      </c>
      <c r="J18" s="267" t="str">
        <f>IFERROR(__xludf.DUMMYFUNCTION("""COMPUTED_VALUE"""),"2025-08-07")</f>
        <v>2025-08-07</v>
      </c>
      <c r="K18" s="263"/>
    </row>
    <row r="19">
      <c r="A19" s="263"/>
      <c r="B19" s="264">
        <f>IFERROR(__xludf.DUMMYFUNCTION("""COMPUTED_VALUE"""),326.0)</f>
        <v>326</v>
      </c>
      <c r="C19" s="265" t="str">
        <f>IFERROR(__xludf.DUMMYFUNCTION("""COMPUTED_VALUE"""),"https://i.postimg.cc/Kz0LqhWx/326-Blind-Swordsman-Fujitora-Issho.png")</f>
        <v>https://i.postimg.cc/Kz0LqhWx/326-Blind-Swordsman-Fujitora-Issho.png</v>
      </c>
      <c r="D19" s="266" t="str">
        <f>IFERROR(__xludf.DUMMYFUNCTION("""COMPUTED_VALUE"""),"Blind Swordsman Fujitora ~ [Issho]")</f>
        <v>Blind Swordsman Fujitora ~ [Issho]</v>
      </c>
      <c r="E19" s="266" t="str">
        <f>IFERROR(__xludf.DUMMYFUNCTION("""COMPUTED_VALUE"""),"4 Stars")</f>
        <v>4 Stars</v>
      </c>
      <c r="F19" s="266" t="str">
        <f>IFERROR(__xludf.DUMMYFUNCTION("""COMPUTED_VALUE"""),"Bounty Festival")</f>
        <v>Bounty Festival</v>
      </c>
      <c r="G19" s="266" t="str">
        <f>IFERROR(__xludf.DUMMYFUNCTION("""COMPUTED_VALUE"""),"Runner(s) ~ Navy ~ Paramecia ~ Power users ~ New World ~ Navy Admiral / Former Navy Admiral")</f>
        <v>Runner(s) ~ Navy ~ Paramecia ~ Power users ~ New World ~ Navy Admiral / Former Navy Admiral</v>
      </c>
      <c r="H19" s="266" t="str">
        <f>IFERROR(__xludf.DUMMYFUNCTION("""COMPUTED_VALUE"""),"Light ~ Runner")</f>
        <v>Light ~ Runner</v>
      </c>
      <c r="I19" s="265" t="str">
        <f>IFERROR(__xludf.DUMMYFUNCTION("""COMPUTED_VALUE"""),"https://i.postimg.cc/02q9pRQP/Light-Runner.png")</f>
        <v>https://i.postimg.cc/02q9pRQP/Light-Runner.png</v>
      </c>
      <c r="J19" s="267" t="str">
        <f>IFERROR(__xludf.DUMMYFUNCTION("""COMPUTED_VALUE"""),"2025-06-26")</f>
        <v>2025-06-26</v>
      </c>
      <c r="K19" s="263"/>
    </row>
    <row r="20">
      <c r="A20" s="263"/>
      <c r="B20" s="264">
        <f>IFERROR(__xludf.DUMMYFUNCTION("""COMPUTED_VALUE"""),325.0)</f>
        <v>325</v>
      </c>
      <c r="C20" s="265" t="str">
        <f>IFERROR(__xludf.DUMMYFUNCTION("""COMPUTED_VALUE"""),"https://i.postimg.cc/0jrShHgm/325-Groves-of-Wrath-Ryokugyu-Aramaki.png")</f>
        <v>https://i.postimg.cc/0jrShHgm/325-Groves-of-Wrath-Ryokugyu-Aramaki.png</v>
      </c>
      <c r="D20" s="266" t="str">
        <f>IFERROR(__xludf.DUMMYFUNCTION("""COMPUTED_VALUE"""),"Groves of Wrath Ryokugyu ~ [Aramaki]")</f>
        <v>Groves of Wrath Ryokugyu ~ [Aramaki]</v>
      </c>
      <c r="E20" s="266" t="str">
        <f>IFERROR(__xludf.DUMMYFUNCTION("""COMPUTED_VALUE"""),"4 Stars")</f>
        <v>4 Stars</v>
      </c>
      <c r="F20" s="266" t="str">
        <f>IFERROR(__xludf.DUMMYFUNCTION("""COMPUTED_VALUE"""),"Bounty Festival")</f>
        <v>Bounty Festival</v>
      </c>
      <c r="G20" s="266" t="str">
        <f>IFERROR(__xludf.DUMMYFUNCTION("""COMPUTED_VALUE"""),"Defender(s) ~ Navy ~ Logia ~ Power users ~ New World ~ Navy Admiral / Former Navy Admiral")</f>
        <v>Defender(s) ~ Navy ~ Logia ~ Power users ~ New World ~ Navy Admiral / Former Navy Admiral</v>
      </c>
      <c r="H20" s="266" t="str">
        <f>IFERROR(__xludf.DUMMYFUNCTION("""COMPUTED_VALUE"""),"Red ~ Defender")</f>
        <v>Red ~ Defender</v>
      </c>
      <c r="I20" s="265" t="str">
        <f>IFERROR(__xludf.DUMMYFUNCTION("""COMPUTED_VALUE"""),"https://i.postimg.cc/P5XhRWY7/Red-Defender.png")</f>
        <v>https://i.postimg.cc/P5XhRWY7/Red-Defender.png</v>
      </c>
      <c r="J20" s="267" t="str">
        <f>IFERROR(__xludf.DUMMYFUNCTION("""COMPUTED_VALUE"""),"2025-06-26")</f>
        <v>2025-06-26</v>
      </c>
      <c r="K20" s="263"/>
    </row>
    <row r="21">
      <c r="A21" s="263"/>
      <c r="B21" s="264">
        <f>IFERROR(__xludf.DUMMYFUNCTION("""COMPUTED_VALUE"""),324.0)</f>
        <v>324</v>
      </c>
      <c r="C21" s="265" t="str">
        <f>IFERROR(__xludf.DUMMYFUNCTION("""COMPUTED_VALUE"""),"https://i.postimg.cc/HLKWkgdw/324-Ama-no-Murakumo-Sword-Kizaru-Borsalino.png")</f>
        <v>https://i.postimg.cc/HLKWkgdw/324-Ama-no-Murakumo-Sword-Kizaru-Borsalino.png</v>
      </c>
      <c r="D21" s="266" t="str">
        <f>IFERROR(__xludf.DUMMYFUNCTION("""COMPUTED_VALUE"""),"Ama no Murakumo Sword Kizaru ~ [Borsalino]")</f>
        <v>Ama no Murakumo Sword Kizaru ~ [Borsalino]</v>
      </c>
      <c r="E21" s="266" t="str">
        <f>IFERROR(__xludf.DUMMYFUNCTION("""COMPUTED_VALUE"""),"4 Stars")</f>
        <v>4 Stars</v>
      </c>
      <c r="F21" s="266" t="str">
        <f>IFERROR(__xludf.DUMMYFUNCTION("""COMPUTED_VALUE"""),"Extreme")</f>
        <v>Extreme</v>
      </c>
      <c r="G21" s="266" t="str">
        <f>IFERROR(__xludf.DUMMYFUNCTION("""COMPUTED_VALUE"""),"Attacker(s) ~ Navy ~ Logia ~ Power users ~ New World ~ Navy Admiral / Former Navy Admiral")</f>
        <v>Attacker(s) ~ Navy ~ Logia ~ Power users ~ New World ~ Navy Admiral / Former Navy Admiral</v>
      </c>
      <c r="H21" s="266" t="str">
        <f>IFERROR(__xludf.DUMMYFUNCTION("""COMPUTED_VALUE"""),"Red-Blue-Green ~ Attacker")</f>
        <v>Red-Blue-Green ~ Attacker</v>
      </c>
      <c r="I21" s="265" t="str">
        <f>IFERROR(__xludf.DUMMYFUNCTION("""COMPUTED_VALUE"""),"https://i.postimg.cc/KjHbJxwR/Transforming-Element-Red-Attacker.png")</f>
        <v>https://i.postimg.cc/KjHbJxwR/Transforming-Element-Red-Attacker.png</v>
      </c>
      <c r="J21" s="267" t="str">
        <f>IFERROR(__xludf.DUMMYFUNCTION("""COMPUTED_VALUE"""),"2025-06-17")</f>
        <v>2025-06-17</v>
      </c>
      <c r="K21" s="263"/>
    </row>
    <row r="22">
      <c r="A22" s="263"/>
      <c r="B22" s="264">
        <f>IFERROR(__xludf.DUMMYFUNCTION("""COMPUTED_VALUE"""),323.0)</f>
        <v>323</v>
      </c>
      <c r="C22" s="265" t="str">
        <f>IFERROR(__xludf.DUMMYFUNCTION("""COMPUTED_VALUE"""),"https://i.postimg.cc/023G8RPz/323-Davy-Back-Fight-Sanji.png")</f>
        <v>https://i.postimg.cc/023G8RPz/323-Davy-Back-Fight-Sanji.png</v>
      </c>
      <c r="D22" s="266" t="str">
        <f>IFERROR(__xludf.DUMMYFUNCTION("""COMPUTED_VALUE"""),"Davy Back Fight ~ Sanji")</f>
        <v>Davy Back Fight ~ Sanji</v>
      </c>
      <c r="E22" s="266" t="str">
        <f>IFERROR(__xludf.DUMMYFUNCTION("""COMPUTED_VALUE"""),"4 Stars")</f>
        <v>4 Stars</v>
      </c>
      <c r="F22" s="266" t="str">
        <f>IFERROR(__xludf.DUMMYFUNCTION("""COMPUTED_VALUE"""),"Bounty Festival")</f>
        <v>Bounty Festival</v>
      </c>
      <c r="G22" s="266" t="str">
        <f>IFERROR(__xludf.DUMMYFUNCTION("""COMPUTED_VALUE"""),"Runner(S ~ Straw Hat Pirates ~ The Grand Line")</f>
        <v>Runner(S ~ Straw Hat Pirates ~ The Grand Line</v>
      </c>
      <c r="H22" s="266" t="str">
        <f>IFERROR(__xludf.DUMMYFUNCTION("""COMPUTED_VALUE"""),"Red ~ Runner")</f>
        <v>Red ~ Runner</v>
      </c>
      <c r="I22" s="265" t="str">
        <f>IFERROR(__xludf.DUMMYFUNCTION("""COMPUTED_VALUE"""),"https://i.postimg.cc/Hk6HDrtk/Red-Runner.png")</f>
        <v>https://i.postimg.cc/Hk6HDrtk/Red-Runner.png</v>
      </c>
      <c r="J22" s="267" t="str">
        <f>IFERROR(__xludf.DUMMYFUNCTION("""COMPUTED_VALUE"""),"2025-05-20")</f>
        <v>2025-05-20</v>
      </c>
      <c r="K22" s="263"/>
    </row>
    <row r="23">
      <c r="A23" s="263"/>
      <c r="B23" s="264">
        <f>IFERROR(__xludf.DUMMYFUNCTION("""COMPUTED_VALUE"""),322.0)</f>
        <v>322</v>
      </c>
      <c r="C23" s="265" t="str">
        <f>IFERROR(__xludf.DUMMYFUNCTION("""COMPUTED_VALUE"""),"https://i.postimg.cc/KzBkWfHQ/322-Davy-Back-Fight-Foxy.png")</f>
        <v>https://i.postimg.cc/KzBkWfHQ/322-Davy-Back-Fight-Foxy.png</v>
      </c>
      <c r="D23" s="266" t="str">
        <f>IFERROR(__xludf.DUMMYFUNCTION("""COMPUTED_VALUE"""),"Foxy Pirates / Captain ~ Foxy")</f>
        <v>Foxy Pirates / Captain ~ Foxy</v>
      </c>
      <c r="E23" s="266" t="str">
        <f>IFERROR(__xludf.DUMMYFUNCTION("""COMPUTED_VALUE"""),"4 Stars")</f>
        <v>4 Stars</v>
      </c>
      <c r="F23" s="266" t="str">
        <f>IFERROR(__xludf.DUMMYFUNCTION("""COMPUTED_VALUE"""),"Bounty Festival")</f>
        <v>Bounty Festival</v>
      </c>
      <c r="G23" s="266" t="str">
        <f>IFERROR(__xludf.DUMMYFUNCTION("""COMPUTED_VALUE"""),"Defender(s) ~ Paramecia ~ Captain ~ Power users ~ The Grand Line")</f>
        <v>Defender(s) ~ Paramecia ~ Captain ~ Power users ~ The Grand Line</v>
      </c>
      <c r="H23" s="266" t="str">
        <f>IFERROR(__xludf.DUMMYFUNCTION("""COMPUTED_VALUE"""),"Green ~ Defender")</f>
        <v>Green ~ Defender</v>
      </c>
      <c r="I23" s="265" t="str">
        <f>IFERROR(__xludf.DUMMYFUNCTION("""COMPUTED_VALUE"""),"https://i.postimg.cc/qRhpGpyM/Green-Defender.png")</f>
        <v>https://i.postimg.cc/qRhpGpyM/Green-Defender.png</v>
      </c>
      <c r="J23" s="267" t="str">
        <f>IFERROR(__xludf.DUMMYFUNCTION("""COMPUTED_VALUE"""),"2025-05-05")</f>
        <v>2025-05-05</v>
      </c>
      <c r="K23" s="263"/>
    </row>
    <row r="24">
      <c r="A24" s="263"/>
      <c r="B24" s="264">
        <f>IFERROR(__xludf.DUMMYFUNCTION("""COMPUTED_VALUE"""),321.0)</f>
        <v>321</v>
      </c>
      <c r="C24" s="265" t="str">
        <f>IFERROR(__xludf.DUMMYFUNCTION("""COMPUTED_VALUE"""),"https://i.postimg.cc/tJbZGP0b/321-Davy-Back-Fight-Monkey-D-Luffy.png")</f>
        <v>https://i.postimg.cc/tJbZGP0b/321-Davy-Back-Fight-Monkey-D-Luffy.png</v>
      </c>
      <c r="D24" s="266" t="str">
        <f>IFERROR(__xludf.DUMMYFUNCTION("""COMPUTED_VALUE"""),"Davy Back Fight ~ Monkey D. Luffy")</f>
        <v>Davy Back Fight ~ Monkey D. Luffy</v>
      </c>
      <c r="E24" s="266" t="str">
        <f>IFERROR(__xludf.DUMMYFUNCTION("""COMPUTED_VALUE"""),"4 Stars")</f>
        <v>4 Stars</v>
      </c>
      <c r="F24" s="266" t="str">
        <f>IFERROR(__xludf.DUMMYFUNCTION("""COMPUTED_VALUE"""),"Bounty Festival")</f>
        <v>Bounty Festival</v>
      </c>
      <c r="G24" s="266" t="str">
        <f>IFERROR(__xludf.DUMMYFUNCTION("""COMPUTED_VALUE"""),"Attacker(s) ~ Straw Hat Pirates ~ Paramecia ~ Captain ~ Power users ~ The Grand Line")</f>
        <v>Attacker(s) ~ Straw Hat Pirates ~ Paramecia ~ Captain ~ Power users ~ The Grand Line</v>
      </c>
      <c r="H24" s="266" t="str">
        <f>IFERROR(__xludf.DUMMYFUNCTION("""COMPUTED_VALUE"""),"Red ~ Attacker")</f>
        <v>Red ~ Attacker</v>
      </c>
      <c r="I24" s="265" t="str">
        <f>IFERROR(__xludf.DUMMYFUNCTION("""COMPUTED_VALUE"""),"https://i.postimg.cc/L6B2DCYf/Red-Attacker.png")</f>
        <v>https://i.postimg.cc/L6B2DCYf/Red-Attacker.png</v>
      </c>
      <c r="J24" s="267" t="str">
        <f>IFERROR(__xludf.DUMMYFUNCTION("""COMPUTED_VALUE"""),"2025-05-05")</f>
        <v>2025-05-05</v>
      </c>
      <c r="K24" s="263"/>
    </row>
    <row r="25">
      <c r="A25" s="263"/>
      <c r="B25" s="264">
        <f>IFERROR(__xludf.DUMMYFUNCTION("""COMPUTED_VALUE"""),320.0)</f>
        <v>320</v>
      </c>
      <c r="C25" s="265" t="str">
        <f>IFERROR(__xludf.DUMMYFUNCTION("""COMPUTED_VALUE"""),"https://i.postimg.cc/L6zzngtT/320-Happosui-Army-13th-Chief-Sai.png")</f>
        <v>https://i.postimg.cc/L6zzngtT/320-Happosui-Army-13th-Chief-Sai.png</v>
      </c>
      <c r="D25" s="266" t="str">
        <f>IFERROR(__xludf.DUMMYFUNCTION("""COMPUTED_VALUE"""),"Happosui Army / 13th Chief ~ Sai")</f>
        <v>Happosui Army / 13th Chief ~ Sai</v>
      </c>
      <c r="E25" s="266" t="str">
        <f>IFERROR(__xludf.DUMMYFUNCTION("""COMPUTED_VALUE"""),"4 Stars")</f>
        <v>4 Stars</v>
      </c>
      <c r="F25" s="266" t="str">
        <f>IFERROR(__xludf.DUMMYFUNCTION("""COMPUTED_VALUE"""),"Bounty Festival")</f>
        <v>Bounty Festival</v>
      </c>
      <c r="G25" s="266" t="str">
        <f>IFERROR(__xludf.DUMMYFUNCTION("""COMPUTED_VALUE"""),"Attacker(s) ~ New World ~ Straw Hat Fleet")</f>
        <v>Attacker(s) ~ New World ~ Straw Hat Fleet</v>
      </c>
      <c r="H25" s="266" t="str">
        <f>IFERROR(__xludf.DUMMYFUNCTION("""COMPUTED_VALUE"""),"Light ~ Attacker")</f>
        <v>Light ~ Attacker</v>
      </c>
      <c r="I25" s="265" t="str">
        <f>IFERROR(__xludf.DUMMYFUNCTION("""COMPUTED_VALUE"""),"https://i.postimg.cc/NGXg9fQd/Light-Attacker.png")</f>
        <v>https://i.postimg.cc/NGXg9fQd/Light-Attacker.png</v>
      </c>
      <c r="J25" s="267" t="str">
        <f>IFERROR(__xludf.DUMMYFUNCTION("""COMPUTED_VALUE"""),"2025-04-24")</f>
        <v>2025-04-24</v>
      </c>
      <c r="K25" s="263"/>
    </row>
    <row r="26">
      <c r="A26" s="263"/>
      <c r="B26" s="264">
        <f>IFERROR(__xludf.DUMMYFUNCTION("""COMPUTED_VALUE"""),319.0)</f>
        <v>319</v>
      </c>
      <c r="C26" s="265" t="str">
        <f>IFERROR(__xludf.DUMMYFUNCTION("""COMPUTED_VALUE"""),"https://i.postimg.cc/hPFLD1dv/319-Tontatta-Pirates-Captain-Leo.png")</f>
        <v>https://i.postimg.cc/hPFLD1dv/319-Tontatta-Pirates-Captain-Leo.png</v>
      </c>
      <c r="D26" s="266" t="str">
        <f>IFERROR(__xludf.DUMMYFUNCTION("""COMPUTED_VALUE"""),"Tontatta Pirates / Captain ~ Leo")</f>
        <v>Tontatta Pirates / Captain ~ Leo</v>
      </c>
      <c r="E26" s="266" t="str">
        <f>IFERROR(__xludf.DUMMYFUNCTION("""COMPUTED_VALUE"""),"4 Stars")</f>
        <v>4 Stars</v>
      </c>
      <c r="F26" s="266" t="str">
        <f>IFERROR(__xludf.DUMMYFUNCTION("""COMPUTED_VALUE"""),"Bounty Festival")</f>
        <v>Bounty Festival</v>
      </c>
      <c r="G26" s="266" t="str">
        <f>IFERROR(__xludf.DUMMYFUNCTION("""COMPUTED_VALUE"""),"Defender(s) ~ Paramecia ~ Captain ~ Power users ~ New World ~ Straw Hat Fleet")</f>
        <v>Defender(s) ~ Paramecia ~ Captain ~ Power users ~ New World ~ Straw Hat Fleet</v>
      </c>
      <c r="H26" s="266" t="str">
        <f>IFERROR(__xludf.DUMMYFUNCTION("""COMPUTED_VALUE"""),"Red ~ Defender")</f>
        <v>Red ~ Defender</v>
      </c>
      <c r="I26" s="265" t="str">
        <f>IFERROR(__xludf.DUMMYFUNCTION("""COMPUTED_VALUE"""),"https://i.postimg.cc/P5XhRWY7/Red-Defender.png")</f>
        <v>https://i.postimg.cc/P5XhRWY7/Red-Defender.png</v>
      </c>
      <c r="J26" s="267" t="str">
        <f>IFERROR(__xludf.DUMMYFUNCTION("""COMPUTED_VALUE"""),"2025-04-24")</f>
        <v>2025-04-24</v>
      </c>
      <c r="K26" s="263"/>
    </row>
    <row r="27">
      <c r="A27" s="263"/>
      <c r="B27" s="264">
        <f>IFERROR(__xludf.DUMMYFUNCTION("""COMPUTED_VALUE"""),318.0)</f>
        <v>318</v>
      </c>
      <c r="C27" s="265" t="str">
        <f>IFERROR(__xludf.DUMMYFUNCTION("""COMPUTED_VALUE"""),"https://i.postimg.cc/j567pxV1/318-Celestial-Dragon-St-Charlos.png")</f>
        <v>https://i.postimg.cc/j567pxV1/318-Celestial-Dragon-St-Charlos.png</v>
      </c>
      <c r="D27" s="266" t="str">
        <f>IFERROR(__xludf.DUMMYFUNCTION("""COMPUTED_VALUE"""),"Celestial Dragon ~ St. Charlos")</f>
        <v>Celestial Dragon ~ St. Charlos</v>
      </c>
      <c r="E27" s="266" t="str">
        <f>IFERROR(__xludf.DUMMYFUNCTION("""COMPUTED_VALUE"""),"2 Stars")</f>
        <v>2 Stars</v>
      </c>
      <c r="F27" s="266" t="str">
        <f>IFERROR(__xludf.DUMMYFUNCTION("""COMPUTED_VALUE"""),"2 Stars")</f>
        <v>2 Stars</v>
      </c>
      <c r="G27" s="266" t="str">
        <f>IFERROR(__xludf.DUMMYFUNCTION("""COMPUTED_VALUE"""),"Defender(s) ~ The Grand Line ~ Long-Range Normal Attacks ~ Celestial Dragons / Former Celestial Dragons")</f>
        <v>Defender(s) ~ The Grand Line ~ Long-Range Normal Attacks ~ Celestial Dragons / Former Celestial Dragons</v>
      </c>
      <c r="H27" s="266" t="str">
        <f>IFERROR(__xludf.DUMMYFUNCTION("""COMPUTED_VALUE"""),"Light ~ Defender")</f>
        <v>Light ~ Defender</v>
      </c>
      <c r="I27" s="265" t="str">
        <f>IFERROR(__xludf.DUMMYFUNCTION("""COMPUTED_VALUE"""),"https://i.postimg.cc/0j7xLZVT/Light-Defender.png")</f>
        <v>https://i.postimg.cc/0j7xLZVT/Light-Defender.png</v>
      </c>
      <c r="J27" s="267" t="str">
        <f>IFERROR(__xludf.DUMMYFUNCTION("""COMPUTED_VALUE"""),"2025-04-01")</f>
        <v>2025-04-01</v>
      </c>
      <c r="K27" s="263"/>
    </row>
    <row r="28">
      <c r="A28" s="263"/>
      <c r="B28" s="264">
        <f>IFERROR(__xludf.DUMMYFUNCTION("""COMPUTED_VALUE"""),317.0)</f>
        <v>317</v>
      </c>
      <c r="C28" s="265" t="str">
        <f>IFERROR(__xludf.DUMMYFUNCTION("""COMPUTED_VALUE"""),"https://i.postimg.cc/c1gdF4rC/317-Clear-Clear-Fruit-Shiryu-Skill.png")</f>
        <v>https://i.postimg.cc/c1gdF4rC/317-Clear-Clear-Fruit-Shiryu-Skill.png</v>
      </c>
      <c r="D28" s="266" t="str">
        <f>IFERROR(__xludf.DUMMYFUNCTION("""COMPUTED_VALUE"""),"Clear-Clear Fruit ~ Shiryu")</f>
        <v>Clear-Clear Fruit ~ Shiryu</v>
      </c>
      <c r="E28" s="266" t="str">
        <f>IFERROR(__xludf.DUMMYFUNCTION("""COMPUTED_VALUE"""),"4 Stars")</f>
        <v>4 Stars</v>
      </c>
      <c r="F28" s="266" t="str">
        <f>IFERROR(__xludf.DUMMYFUNCTION("""COMPUTED_VALUE"""),"Bounty Festival")</f>
        <v>Bounty Festival</v>
      </c>
      <c r="G28" s="266" t="str">
        <f>IFERROR(__xludf.DUMMYFUNCTION("""COMPUTED_VALUE"""),"Attacker(s) ~ Paramecia ~ Power users ~ New World ~ Blackbeard Pirates")</f>
        <v>Attacker(s) ~ Paramecia ~ Power users ~ New World ~ Blackbeard Pirates</v>
      </c>
      <c r="H28" s="266" t="str">
        <f>IFERROR(__xludf.DUMMYFUNCTION("""COMPUTED_VALUE"""),"Green ~ Attacker")</f>
        <v>Green ~ Attacker</v>
      </c>
      <c r="I28" s="265" t="str">
        <f>IFERROR(__xludf.DUMMYFUNCTION("""COMPUTED_VALUE"""),"https://i.postimg.cc/0NH8mz6B/Green-Attacker.png")</f>
        <v>https://i.postimg.cc/0NH8mz6B/Green-Attacker.png</v>
      </c>
      <c r="J28" s="267" t="str">
        <f>IFERROR(__xludf.DUMMYFUNCTION("""COMPUTED_VALUE"""),"2025-03-27")</f>
        <v>2025-03-27</v>
      </c>
      <c r="K28" s="263"/>
    </row>
    <row r="29">
      <c r="A29" s="263"/>
      <c r="B29" s="264">
        <f>IFERROR(__xludf.DUMMYFUNCTION("""COMPUTED_VALUE"""),316.0)</f>
        <v>316</v>
      </c>
      <c r="C29" s="265" t="str">
        <f>IFERROR(__xludf.DUMMYFUNCTION("""COMPUTED_VALUE"""),"https://i.postimg.cc/s1d6cJ1Y/316-Strong-Strong-Fruit-Jesus-Burgess-Skill.png")</f>
        <v>https://i.postimg.cc/s1d6cJ1Y/316-Strong-Strong-Fruit-Jesus-Burgess-Skill.png</v>
      </c>
      <c r="D29" s="266" t="str">
        <f>IFERROR(__xludf.DUMMYFUNCTION("""COMPUTED_VALUE"""),"Strong-Strong Fruit ~ Jesus Burgess")</f>
        <v>Strong-Strong Fruit ~ Jesus Burgess</v>
      </c>
      <c r="E29" s="266" t="str">
        <f>IFERROR(__xludf.DUMMYFUNCTION("""COMPUTED_VALUE"""),"4 Stars")</f>
        <v>4 Stars</v>
      </c>
      <c r="F29" s="266" t="str">
        <f>IFERROR(__xludf.DUMMYFUNCTION("""COMPUTED_VALUE"""),"Bounty Festival")</f>
        <v>Bounty Festival</v>
      </c>
      <c r="G29" s="266" t="str">
        <f>IFERROR(__xludf.DUMMYFUNCTION("""COMPUTED_VALUE"""),"Defender(s) ~ Paramecia ~ Power users ~ New World ~ Blackbeard Pirates")</f>
        <v>Defender(s) ~ Paramecia ~ Power users ~ New World ~ Blackbeard Pirates</v>
      </c>
      <c r="H29" s="266" t="str">
        <f>IFERROR(__xludf.DUMMYFUNCTION("""COMPUTED_VALUE"""),"Red ~ Defender")</f>
        <v>Red ~ Defender</v>
      </c>
      <c r="I29" s="265" t="str">
        <f>IFERROR(__xludf.DUMMYFUNCTION("""COMPUTED_VALUE"""),"https://i.postimg.cc/P5XhRWY7/Red-Defender.png")</f>
        <v>https://i.postimg.cc/P5XhRWY7/Red-Defender.png</v>
      </c>
      <c r="J29" s="267" t="str">
        <f>IFERROR(__xludf.DUMMYFUNCTION("""COMPUTED_VALUE"""),"2025-03-27")</f>
        <v>2025-03-27</v>
      </c>
      <c r="K29" s="263"/>
    </row>
    <row r="30">
      <c r="A30" s="263"/>
      <c r="B30" s="264">
        <f>IFERROR(__xludf.DUMMYFUNCTION("""COMPUTED_VALUE"""),315.0)</f>
        <v>315</v>
      </c>
      <c r="C30" s="265" t="str">
        <f>IFERROR(__xludf.DUMMYFUNCTION("""COMPUTED_VALUE"""),"https://i.postimg.cc/d3Wx2hQ1/315-Germa-66-Vinsmoke-Yonji.png")</f>
        <v>https://i.postimg.cc/d3Wx2hQ1/315-Germa-66-Vinsmoke-Yonji.png</v>
      </c>
      <c r="D30" s="266" t="str">
        <f>IFERROR(__xludf.DUMMYFUNCTION("""COMPUTED_VALUE"""),"Germa 66 ~ Vinsmoke Yonji")</f>
        <v>Germa 66 ~ Vinsmoke Yonji</v>
      </c>
      <c r="E30" s="266" t="str">
        <f>IFERROR(__xludf.DUMMYFUNCTION("""COMPUTED_VALUE"""),"4 Stars")</f>
        <v>4 Stars</v>
      </c>
      <c r="F30" s="266" t="str">
        <f>IFERROR(__xludf.DUMMYFUNCTION("""COMPUTED_VALUE"""),"Bounty Festival")</f>
        <v>Bounty Festival</v>
      </c>
      <c r="G30" s="266" t="str">
        <f>IFERROR(__xludf.DUMMYFUNCTION("""COMPUTED_VALUE"""),"Defender(s) ~ New World ~ Germa 66 ~ Royalty / Former Royalty")</f>
        <v>Defender(s) ~ New World ~ Germa 66 ~ Royalty / Former Royalty</v>
      </c>
      <c r="H30" s="266" t="str">
        <f>IFERROR(__xludf.DUMMYFUNCTION("""COMPUTED_VALUE"""),"Green ~ Defender")</f>
        <v>Green ~ Defender</v>
      </c>
      <c r="I30" s="265" t="str">
        <f>IFERROR(__xludf.DUMMYFUNCTION("""COMPUTED_VALUE"""),"https://i.postimg.cc/qRhpGpyM/Green-Defender.png")</f>
        <v>https://i.postimg.cc/qRhpGpyM/Green-Defender.png</v>
      </c>
      <c r="J30" s="267" t="str">
        <f>IFERROR(__xludf.DUMMYFUNCTION("""COMPUTED_VALUE"""),"2025-03-03")</f>
        <v>2025-03-03</v>
      </c>
      <c r="K30" s="263"/>
    </row>
    <row r="31">
      <c r="A31" s="263"/>
      <c r="B31" s="264">
        <f>IFERROR(__xludf.DUMMYFUNCTION("""COMPUTED_VALUE"""),314.0)</f>
        <v>314</v>
      </c>
      <c r="C31" s="265" t="str">
        <f>IFERROR(__xludf.DUMMYFUNCTION("""COMPUTED_VALUE"""),"https://i.postimg.cc/ncz5HGTQ/314-Germa-66-Vinsmoke-Neji.png")</f>
        <v>https://i.postimg.cc/ncz5HGTQ/314-Germa-66-Vinsmoke-Neji.png</v>
      </c>
      <c r="D31" s="266" t="str">
        <f>IFERROR(__xludf.DUMMYFUNCTION("""COMPUTED_VALUE"""),"Germa 66 ~ Vinsmoke Neji")</f>
        <v>Germa 66 ~ Vinsmoke Neji</v>
      </c>
      <c r="E31" s="266" t="str">
        <f>IFERROR(__xludf.DUMMYFUNCTION("""COMPUTED_VALUE"""),"4 Stars")</f>
        <v>4 Stars</v>
      </c>
      <c r="F31" s="266" t="str">
        <f>IFERROR(__xludf.DUMMYFUNCTION("""COMPUTED_VALUE"""),"Bounty Festival")</f>
        <v>Bounty Festival</v>
      </c>
      <c r="G31" s="266" t="str">
        <f>IFERROR(__xludf.DUMMYFUNCTION("""COMPUTED_VALUE"""),"Defender(s) ~ New World ~ Germa 66 ~ Royalty / Former Royalty")</f>
        <v>Defender(s) ~ New World ~ Germa 66 ~ Royalty / Former Royalty</v>
      </c>
      <c r="H31" s="266" t="str">
        <f>IFERROR(__xludf.DUMMYFUNCTION("""COMPUTED_VALUE"""),"Blue ~ Runner")</f>
        <v>Blue ~ Runner</v>
      </c>
      <c r="I31" s="265" t="str">
        <f>IFERROR(__xludf.DUMMYFUNCTION("""COMPUTED_VALUE"""),"https://i.postimg.cc/4NzNM4MY/Blue-Runner.png")</f>
        <v>https://i.postimg.cc/4NzNM4MY/Blue-Runner.png</v>
      </c>
      <c r="J31" s="267" t="str">
        <f>IFERROR(__xludf.DUMMYFUNCTION("""COMPUTED_VALUE"""),"2025-03-03")</f>
        <v>2025-03-03</v>
      </c>
      <c r="K31" s="263"/>
    </row>
    <row r="32">
      <c r="A32" s="263"/>
      <c r="B32" s="264">
        <f>IFERROR(__xludf.DUMMYFUNCTION("""COMPUTED_VALUE"""),313.0)</f>
        <v>313</v>
      </c>
      <c r="C32" s="265" t="str">
        <f>IFERROR(__xludf.DUMMYFUNCTION("""COMPUTED_VALUE"""),"https://i.postimg.cc/PfK9sRbj/313-Germa-66-Vinsmoke-Ichiji.png")</f>
        <v>https://i.postimg.cc/PfK9sRbj/313-Germa-66-Vinsmoke-Ichiji.png</v>
      </c>
      <c r="D32" s="266" t="str">
        <f>IFERROR(__xludf.DUMMYFUNCTION("""COMPUTED_VALUE"""),"Germa 66 ~ Vinsmoke Ichiji")</f>
        <v>Germa 66 ~ Vinsmoke Ichiji</v>
      </c>
      <c r="E32" s="266" t="str">
        <f>IFERROR(__xludf.DUMMYFUNCTION("""COMPUTED_VALUE"""),"4 Stars")</f>
        <v>4 Stars</v>
      </c>
      <c r="F32" s="266" t="str">
        <f>IFERROR(__xludf.DUMMYFUNCTION("""COMPUTED_VALUE"""),"Bounty Festival")</f>
        <v>Bounty Festival</v>
      </c>
      <c r="G32" s="266" t="str">
        <f>IFERROR(__xludf.DUMMYFUNCTION("""COMPUTED_VALUE"""),"Attacker(s) ~ New World ~ Germa 66 ~ Royalty / Former Royalty")</f>
        <v>Attacker(s) ~ New World ~ Germa 66 ~ Royalty / Former Royalty</v>
      </c>
      <c r="H32" s="266" t="str">
        <f>IFERROR(__xludf.DUMMYFUNCTION("""COMPUTED_VALUE"""),"Red ~ Attacker")</f>
        <v>Red ~ Attacker</v>
      </c>
      <c r="I32" s="265" t="str">
        <f>IFERROR(__xludf.DUMMYFUNCTION("""COMPUTED_VALUE"""),"https://i.postimg.cc/L6B2DCYf/Red-Attacker.png")</f>
        <v>https://i.postimg.cc/L6B2DCYf/Red-Attacker.png</v>
      </c>
      <c r="J32" s="267" t="str">
        <f>IFERROR(__xludf.DUMMYFUNCTION("""COMPUTED_VALUE"""),"2025-03-03")</f>
        <v>2025-03-03</v>
      </c>
      <c r="K32" s="263"/>
    </row>
    <row r="33">
      <c r="A33" s="263"/>
      <c r="B33" s="264">
        <f>IFERROR(__xludf.DUMMYFUNCTION("""COMPUTED_VALUE"""),312.0)</f>
        <v>312</v>
      </c>
      <c r="C33" s="265" t="str">
        <f>IFERROR(__xludf.DUMMYFUNCTION("""COMPUTED_VALUE"""),"https://i.postimg.cc/13TGnV64/312-Flame-Emperor-Sabo.png")</f>
        <v>https://i.postimg.cc/13TGnV64/312-Flame-Emperor-Sabo.png</v>
      </c>
      <c r="D33" s="266" t="str">
        <f>IFERROR(__xludf.DUMMYFUNCTION("""COMPUTED_VALUE"""),"Flame Emperor ~ Sabo")</f>
        <v>Flame Emperor ~ Sabo</v>
      </c>
      <c r="E33" s="266" t="str">
        <f>IFERROR(__xludf.DUMMYFUNCTION("""COMPUTED_VALUE"""),"4 Stars")</f>
        <v>4 Stars</v>
      </c>
      <c r="F33" s="266" t="str">
        <f>IFERROR(__xludf.DUMMYFUNCTION("""COMPUTED_VALUE"""),"Extreme")</f>
        <v>Extreme</v>
      </c>
      <c r="G33" s="266" t="str">
        <f>IFERROR(__xludf.DUMMYFUNCTION("""COMPUTED_VALUE"""),"Runner(s) ~ Revolutionary Army ~ Logia ~ Power users ~ New World")</f>
        <v>Runner(s) ~ Revolutionary Army ~ Logia ~ Power users ~ New World</v>
      </c>
      <c r="H33" s="266" t="str">
        <f>IFERROR(__xludf.DUMMYFUNCTION("""COMPUTED_VALUE"""),"Green ~ Runner")</f>
        <v>Green ~ Runner</v>
      </c>
      <c r="I33" s="265" t="str">
        <f>IFERROR(__xludf.DUMMYFUNCTION("""COMPUTED_VALUE"""),"https://i.postimg.cc/PxgT30Qb/Green-Runner.png")</f>
        <v>https://i.postimg.cc/PxgT30Qb/Green-Runner.png</v>
      </c>
      <c r="J33" s="267" t="str">
        <f>IFERROR(__xludf.DUMMYFUNCTION("""COMPUTED_VALUE"""),"2025-02-11")</f>
        <v>2025-02-11</v>
      </c>
      <c r="K33" s="263"/>
    </row>
    <row r="34">
      <c r="A34" s="263"/>
      <c r="B34" s="264">
        <f>IFERROR(__xludf.DUMMYFUNCTION("""COMPUTED_VALUE"""),311.0)</f>
        <v>311</v>
      </c>
      <c r="C34" s="265" t="str">
        <f>IFERROR(__xludf.DUMMYFUNCTION("""COMPUTED_VALUE"""),"https://i.postimg.cc/Bv7cNzNX/311-Assistant-Fish-Man-Karate-Master-Koala.png")</f>
        <v>https://i.postimg.cc/Bv7cNzNX/311-Assistant-Fish-Man-Karate-Master-Koala.png</v>
      </c>
      <c r="D34" s="266" t="str">
        <f>IFERROR(__xludf.DUMMYFUNCTION("""COMPUTED_VALUE"""),"Assistant Fish-Man Karate Master ~ Koala")</f>
        <v>Assistant Fish-Man Karate Master ~ Koala</v>
      </c>
      <c r="E34" s="266" t="str">
        <f>IFERROR(__xludf.DUMMYFUNCTION("""COMPUTED_VALUE"""),"4 Stars")</f>
        <v>4 Stars</v>
      </c>
      <c r="F34" s="266" t="str">
        <f>IFERROR(__xludf.DUMMYFUNCTION("""COMPUTED_VALUE"""),"Step Up")</f>
        <v>Step Up</v>
      </c>
      <c r="G34" s="266" t="str">
        <f>IFERROR(__xludf.DUMMYFUNCTION("""COMPUTED_VALUE"""),"Defender(s) ~ Revolutionary Army ~ New World")</f>
        <v>Defender(s) ~ Revolutionary Army ~ New World</v>
      </c>
      <c r="H34" s="266" t="str">
        <f>IFERROR(__xludf.DUMMYFUNCTION("""COMPUTED_VALUE"""),"Dark ~ Defender-Attacker")</f>
        <v>Dark ~ Defender-Attacker</v>
      </c>
      <c r="I34" s="265" t="str">
        <f>IFERROR(__xludf.DUMMYFUNCTION("""COMPUTED_VALUE"""),"https://i.postimg.cc/MZPzWmHq/Transforming-Class-Dark-Defender.png")</f>
        <v>https://i.postimg.cc/MZPzWmHq/Transforming-Class-Dark-Defender.png</v>
      </c>
      <c r="J34" s="267" t="str">
        <f>IFERROR(__xludf.DUMMYFUNCTION("""COMPUTED_VALUE"""),"2025-02-04")</f>
        <v>2025-02-04</v>
      </c>
      <c r="K34" s="263"/>
    </row>
    <row r="35">
      <c r="A35" s="263"/>
      <c r="B35" s="264">
        <f>IFERROR(__xludf.DUMMYFUNCTION("""COMPUTED_VALUE"""),310.0)</f>
        <v>310</v>
      </c>
      <c r="C35" s="265" t="str">
        <f>IFERROR(__xludf.DUMMYFUNCTION("""COMPUTED_VALUE"""),"https://i.postimg.cc/zB7mxZRD/310-Blackbeard-Pirates-Kuzan.png")</f>
        <v>https://i.postimg.cc/zB7mxZRD/310-Blackbeard-Pirates-Kuzan.png</v>
      </c>
      <c r="D35" s="266" t="str">
        <f>IFERROR(__xludf.DUMMYFUNCTION("""COMPUTED_VALUE"""),"Blackbeard Pirates ~ Kuzan")</f>
        <v>Blackbeard Pirates ~ Kuzan</v>
      </c>
      <c r="E35" s="266" t="str">
        <f>IFERROR(__xludf.DUMMYFUNCTION("""COMPUTED_VALUE"""),"4 Stars")</f>
        <v>4 Stars</v>
      </c>
      <c r="F35" s="266" t="str">
        <f>IFERROR(__xludf.DUMMYFUNCTION("""COMPUTED_VALUE"""),"Extreme")</f>
        <v>Extreme</v>
      </c>
      <c r="G35" s="266" t="str">
        <f>IFERROR(__xludf.DUMMYFUNCTION("""COMPUTED_VALUE"""),"Defender(s) ~ Logia ~ Power users ~ New World ~ Blackbeard Pirates ~ Navy Admiral / Former Navy Admiral")</f>
        <v>Defender(s) ~ Logia ~ Power users ~ New World ~ Blackbeard Pirates ~ Navy Admiral / Former Navy Admiral</v>
      </c>
      <c r="H35" s="266" t="str">
        <f>IFERROR(__xludf.DUMMYFUNCTION("""COMPUTED_VALUE"""),"Green ~ Defender-Attacker")</f>
        <v>Green ~ Defender-Attacker</v>
      </c>
      <c r="I35" s="265" t="str">
        <f>IFERROR(__xludf.DUMMYFUNCTION("""COMPUTED_VALUE"""),"https://i.postimg.cc/vZ9ytRzZ/Transforming-Class-Green-Defender.png")</f>
        <v>https://i.postimg.cc/vZ9ytRzZ/Transforming-Class-Green-Defender.png</v>
      </c>
      <c r="J35" s="267" t="str">
        <f>IFERROR(__xludf.DUMMYFUNCTION("""COMPUTED_VALUE"""),"2025-01-28")</f>
        <v>2025-01-28</v>
      </c>
      <c r="K35" s="263"/>
    </row>
    <row r="36">
      <c r="A36" s="263"/>
      <c r="B36" s="264">
        <f>IFERROR(__xludf.DUMMYFUNCTION("""COMPUTED_VALUE"""),309.0)</f>
        <v>309</v>
      </c>
      <c r="C36" s="265" t="str">
        <f>IFERROR(__xludf.DUMMYFUNCTION("""COMPUTED_VALUE"""),"https://i.postimg.cc/FHf17Y4x/309-Navy-HQ-Captain-Koby.png")</f>
        <v>https://i.postimg.cc/FHf17Y4x/309-Navy-HQ-Captain-Koby.png</v>
      </c>
      <c r="D36" s="266" t="str">
        <f>IFERROR(__xludf.DUMMYFUNCTION("""COMPUTED_VALUE"""),"Navy HQ / Captain ~ Koby")</f>
        <v>Navy HQ / Captain ~ Koby</v>
      </c>
      <c r="E36" s="266" t="str">
        <f>IFERROR(__xludf.DUMMYFUNCTION("""COMPUTED_VALUE"""),"4 Stars")</f>
        <v>4 Stars</v>
      </c>
      <c r="F36" s="266" t="str">
        <f>IFERROR(__xludf.DUMMYFUNCTION("""COMPUTED_VALUE"""),"Bounty Festival")</f>
        <v>Bounty Festival</v>
      </c>
      <c r="G36" s="266" t="str">
        <f>IFERROR(__xludf.DUMMYFUNCTION("""COMPUTED_VALUE"""),"Defender(s) ~ Navy ~ The Grand Line")</f>
        <v>Defender(s) ~ Navy ~ The Grand Line</v>
      </c>
      <c r="H36" s="266" t="str">
        <f>IFERROR(__xludf.DUMMYFUNCTION("""COMPUTED_VALUE"""),"Dark ~ Attacker")</f>
        <v>Dark ~ Attacker</v>
      </c>
      <c r="I36" s="265" t="str">
        <f>IFERROR(__xludf.DUMMYFUNCTION("""COMPUTED_VALUE"""),"https://i.postimg.cc/QdmN84js/Dark-Attacker.png")</f>
        <v>https://i.postimg.cc/QdmN84js/Dark-Attacker.png</v>
      </c>
      <c r="J36" s="267" t="str">
        <f>IFERROR(__xludf.DUMMYFUNCTION("""COMPUTED_VALUE"""),"2025-01-07")</f>
        <v>2025-01-07</v>
      </c>
      <c r="K36" s="263"/>
    </row>
    <row r="37">
      <c r="A37" s="263"/>
      <c r="B37" s="264">
        <f>IFERROR(__xludf.DUMMYFUNCTION("""COMPUTED_VALUE"""),308.0)</f>
        <v>308</v>
      </c>
      <c r="C37" s="265" t="str">
        <f>IFERROR(__xludf.DUMMYFUNCTION("""COMPUTED_VALUE"""),"https://i.postimg.cc/283vfK7H/308-Legendary-Hero-Monkey-D-Garp.png")</f>
        <v>https://i.postimg.cc/283vfK7H/308-Legendary-Hero-Monkey-D-Garp.png</v>
      </c>
      <c r="D37" s="266" t="str">
        <f>IFERROR(__xludf.DUMMYFUNCTION("""COMPUTED_VALUE"""),"Legendary Hero ~ Monkey D. Garp")</f>
        <v>Legendary Hero ~ Monkey D. Garp</v>
      </c>
      <c r="E37" s="266" t="str">
        <f>IFERROR(__xludf.DUMMYFUNCTION("""COMPUTED_VALUE"""),"4 Stars")</f>
        <v>4 Stars</v>
      </c>
      <c r="F37" s="266" t="str">
        <f>IFERROR(__xludf.DUMMYFUNCTION("""COMPUTED_VALUE"""),"Extreme")</f>
        <v>Extreme</v>
      </c>
      <c r="G37" s="266" t="str">
        <f>IFERROR(__xludf.DUMMYFUNCTION("""COMPUTED_VALUE"""),"Attacker(s) ~ Navy ~ New World")</f>
        <v>Attacker(s) ~ Navy ~ New World</v>
      </c>
      <c r="H37" s="266" t="str">
        <f>IFERROR(__xludf.DUMMYFUNCTION("""COMPUTED_VALUE"""),"Dark ~ Attacker")</f>
        <v>Dark ~ Attacker</v>
      </c>
      <c r="I37" s="265" t="str">
        <f>IFERROR(__xludf.DUMMYFUNCTION("""COMPUTED_VALUE"""),"https://i.postimg.cc/QdmN84js/Dark-Attacker.png")</f>
        <v>https://i.postimg.cc/QdmN84js/Dark-Attacker.png</v>
      </c>
      <c r="J37" s="267" t="str">
        <f>IFERROR(__xludf.DUMMYFUNCTION("""COMPUTED_VALUE"""),"2024-12-23")</f>
        <v>2024-12-23</v>
      </c>
      <c r="K37" s="263"/>
    </row>
    <row r="38">
      <c r="A38" s="263"/>
      <c r="B38" s="264">
        <f>IFERROR(__xludf.DUMMYFUNCTION("""COMPUTED_VALUE"""),307.0)</f>
        <v>307</v>
      </c>
      <c r="C38" s="265" t="str">
        <f>IFERROR(__xludf.DUMMYFUNCTION("""COMPUTED_VALUE"""),"https://i.postimg.cc/vBLzmK4B/307-Navy-HQ-Lt-Commander-Helmeppo.png")</f>
        <v>https://i.postimg.cc/vBLzmK4B/307-Navy-HQ-Lt-Commander-Helmeppo.png</v>
      </c>
      <c r="D38" s="266" t="str">
        <f>IFERROR(__xludf.DUMMYFUNCTION("""COMPUTED_VALUE"""),"Navy HQ / Lt. Commander ~ Helmeppo")</f>
        <v>Navy HQ / Lt. Commander ~ Helmeppo</v>
      </c>
      <c r="E38" s="266" t="str">
        <f>IFERROR(__xludf.DUMMYFUNCTION("""COMPUTED_VALUE"""),"4 Stars")</f>
        <v>4 Stars</v>
      </c>
      <c r="F38" s="266" t="str">
        <f>IFERROR(__xludf.DUMMYFUNCTION("""COMPUTED_VALUE"""),"Step Up")</f>
        <v>Step Up</v>
      </c>
      <c r="G38" s="266" t="str">
        <f>IFERROR(__xludf.DUMMYFUNCTION("""COMPUTED_VALUE"""),"Runner(s) ~ Navy ~ New World")</f>
        <v>Runner(s) ~ Navy ~ New World</v>
      </c>
      <c r="H38" s="266" t="str">
        <f>IFERROR(__xludf.DUMMYFUNCTION("""COMPUTED_VALUE"""),"Light ~ Runner")</f>
        <v>Light ~ Runner</v>
      </c>
      <c r="I38" s="265" t="str">
        <f>IFERROR(__xludf.DUMMYFUNCTION("""COMPUTED_VALUE"""),"https://i.postimg.cc/02q9pRQP/Light-Runner.png")</f>
        <v>https://i.postimg.cc/02q9pRQP/Light-Runner.png</v>
      </c>
      <c r="J38" s="267" t="str">
        <f>IFERROR(__xludf.DUMMYFUNCTION("""COMPUTED_VALUE"""),"2024-12-10")</f>
        <v>2024-12-10</v>
      </c>
      <c r="K38" s="263"/>
    </row>
    <row r="39">
      <c r="A39" s="263"/>
      <c r="B39" s="264">
        <f>IFERROR(__xludf.DUMMYFUNCTION("""COMPUTED_VALUE"""),306.0)</f>
        <v>306</v>
      </c>
      <c r="C39" s="265" t="str">
        <f>IFERROR(__xludf.DUMMYFUNCTION("""COMPUTED_VALUE"""),"https://i.postimg.cc/LszxNssL/306-Egghead-Jewelry-Bonney.png")</f>
        <v>https://i.postimg.cc/LszxNssL/306-Egghead-Jewelry-Bonney.png</v>
      </c>
      <c r="D39" s="266" t="str">
        <f>IFERROR(__xludf.DUMMYFUNCTION("""COMPUTED_VALUE"""),"Egghead ~ Jewelry Bonney")</f>
        <v>Egghead ~ Jewelry Bonney</v>
      </c>
      <c r="E39" s="266" t="str">
        <f>IFERROR(__xludf.DUMMYFUNCTION("""COMPUTED_VALUE"""),"4 Stars")</f>
        <v>4 Stars</v>
      </c>
      <c r="F39" s="266" t="str">
        <f>IFERROR(__xludf.DUMMYFUNCTION("""COMPUTED_VALUE"""),"Step Up")</f>
        <v>Step Up</v>
      </c>
      <c r="G39" s="266" t="str">
        <f>IFERROR(__xludf.DUMMYFUNCTION("""COMPUTED_VALUE"""),"Defender(s) ~ Paramecia ~ Captain ~ Power users ~ New World ~ Worst Generation ~ Royalty / Former Royalty")</f>
        <v>Defender(s) ~ Paramecia ~ Captain ~ Power users ~ New World ~ Worst Generation ~ Royalty / Former Royalty</v>
      </c>
      <c r="H39" s="266" t="str">
        <f>IFERROR(__xludf.DUMMYFUNCTION("""COMPUTED_VALUE"""),"Blue ~ Defender")</f>
        <v>Blue ~ Defender</v>
      </c>
      <c r="I39" s="265" t="str">
        <f>IFERROR(__xludf.DUMMYFUNCTION("""COMPUTED_VALUE"""),"https://i.postimg.cc/m2xg81dx/Blue-Defender.png")</f>
        <v>https://i.postimg.cc/m2xg81dx/Blue-Defender.png</v>
      </c>
      <c r="J39" s="267" t="str">
        <f>IFERROR(__xludf.DUMMYFUNCTION("""COMPUTED_VALUE"""),"2024-12-02")</f>
        <v>2024-12-02</v>
      </c>
      <c r="K39" s="263"/>
    </row>
    <row r="40">
      <c r="A40" s="263"/>
      <c r="B40" s="264">
        <f>IFERROR(__xludf.DUMMYFUNCTION("""COMPUTED_VALUE"""),305.0)</f>
        <v>305</v>
      </c>
      <c r="C40" s="265" t="str">
        <f>IFERROR(__xludf.DUMMYFUNCTION("""COMPUTED_VALUE"""),"https://i.postimg.cc/d0zFgJmh/305-Egghead-Sanji.png")</f>
        <v>https://i.postimg.cc/d0zFgJmh/305-Egghead-Sanji.png</v>
      </c>
      <c r="D40" s="266" t="str">
        <f>IFERROR(__xludf.DUMMYFUNCTION("""COMPUTED_VALUE"""),"Egghead ~ Sanji")</f>
        <v>Egghead ~ Sanji</v>
      </c>
      <c r="E40" s="266" t="str">
        <f>IFERROR(__xludf.DUMMYFUNCTION("""COMPUTED_VALUE"""),"4 Stars")</f>
        <v>4 Stars</v>
      </c>
      <c r="F40" s="266" t="str">
        <f>IFERROR(__xludf.DUMMYFUNCTION("""COMPUTED_VALUE"""),"Bounty Festival")</f>
        <v>Bounty Festival</v>
      </c>
      <c r="G40" s="266" t="str">
        <f>IFERROR(__xludf.DUMMYFUNCTION("""COMPUTED_VALUE"""),"Defender(s) ~ Straw Hat Pirates ~ New World ~ Royalty / Former Royalty")</f>
        <v>Defender(s) ~ Straw Hat Pirates ~ New World ~ Royalty / Former Royalty</v>
      </c>
      <c r="H40" s="266" t="str">
        <f>IFERROR(__xludf.DUMMYFUNCTION("""COMPUTED_VALUE"""),"Blue ~ Defender")</f>
        <v>Blue ~ Defender</v>
      </c>
      <c r="I40" s="265" t="str">
        <f>IFERROR(__xludf.DUMMYFUNCTION("""COMPUTED_VALUE"""),"https://i.postimg.cc/m2xg81dx/Blue-Defender.png")</f>
        <v>https://i.postimg.cc/m2xg81dx/Blue-Defender.png</v>
      </c>
      <c r="J40" s="267" t="str">
        <f>IFERROR(__xludf.DUMMYFUNCTION("""COMPUTED_VALUE"""),"2024-11-26")</f>
        <v>2024-11-26</v>
      </c>
      <c r="K40" s="263"/>
    </row>
    <row r="41">
      <c r="A41" s="263"/>
      <c r="B41" s="264">
        <f>IFERROR(__xludf.DUMMYFUNCTION("""COMPUTED_VALUE"""),304.0)</f>
        <v>304</v>
      </c>
      <c r="C41" s="265" t="str">
        <f>IFERROR(__xludf.DUMMYFUNCTION("""COMPUTED_VALUE"""),"https://i.postimg.cc/KYKF91LX/304-Seraphim-S-Shark.png")</f>
        <v>https://i.postimg.cc/KYKF91LX/304-Seraphim-S-Shark.png</v>
      </c>
      <c r="D41" s="266" t="str">
        <f>IFERROR(__xludf.DUMMYFUNCTION("""COMPUTED_VALUE"""),"Seraphim ~ S-Shark")</f>
        <v>Seraphim ~ S-Shark</v>
      </c>
      <c r="E41" s="266" t="str">
        <f>IFERROR(__xludf.DUMMYFUNCTION("""COMPUTED_VALUE"""),"4 Stars")</f>
        <v>4 Stars</v>
      </c>
      <c r="F41" s="266" t="str">
        <f>IFERROR(__xludf.DUMMYFUNCTION("""COMPUTED_VALUE"""),"Bounty Festival")</f>
        <v>Bounty Festival</v>
      </c>
      <c r="G41" s="266" t="str">
        <f>IFERROR(__xludf.DUMMYFUNCTION("""COMPUTED_VALUE"""),"Runner(s) ~ Navy ~ Paramecia ~ Power users ~ New World")</f>
        <v>Runner(s) ~ Navy ~ Paramecia ~ Power users ~ New World</v>
      </c>
      <c r="H41" s="266" t="str">
        <f>IFERROR(__xludf.DUMMYFUNCTION("""COMPUTED_VALUE"""),"Green ~ Runner")</f>
        <v>Green ~ Runner</v>
      </c>
      <c r="I41" s="265" t="str">
        <f>IFERROR(__xludf.DUMMYFUNCTION("""COMPUTED_VALUE"""),"https://i.postimg.cc/PxgT30Qb/Green-Runner.png")</f>
        <v>https://i.postimg.cc/PxgT30Qb/Green-Runner.png</v>
      </c>
      <c r="J41" s="267" t="str">
        <f>IFERROR(__xludf.DUMMYFUNCTION("""COMPUTED_VALUE"""),"2024-11-26")</f>
        <v>2024-11-26</v>
      </c>
      <c r="K41" s="263"/>
    </row>
    <row r="42">
      <c r="A42" s="263"/>
      <c r="B42" s="264">
        <f>IFERROR(__xludf.DUMMYFUNCTION("""COMPUTED_VALUE"""),303.0)</f>
        <v>303</v>
      </c>
      <c r="C42" s="265" t="str">
        <f>IFERROR(__xludf.DUMMYFUNCTION("""COMPUTED_VALUE"""),"https://i.postimg.cc/j5sGsLmy/303-Punk-06-York.png")</f>
        <v>https://i.postimg.cc/j5sGsLmy/303-Punk-06-York.png</v>
      </c>
      <c r="D42" s="266" t="str">
        <f>IFERROR(__xludf.DUMMYFUNCTION("""COMPUTED_VALUE"""),"Punk-06 ~ York")</f>
        <v>Punk-06 ~ York</v>
      </c>
      <c r="E42" s="266" t="str">
        <f>IFERROR(__xludf.DUMMYFUNCTION("""COMPUTED_VALUE"""),"4 Stars")</f>
        <v>4 Stars</v>
      </c>
      <c r="F42" s="266" t="str">
        <f>IFERROR(__xludf.DUMMYFUNCTION("""COMPUTED_VALUE"""),"Step Up")</f>
        <v>Step Up</v>
      </c>
      <c r="G42" s="266" t="str">
        <f>IFERROR(__xludf.DUMMYFUNCTION("""COMPUTED_VALUE"""),"Defender(s) ~ Navy ~ New World ~ Long-Range Normal Attacks")</f>
        <v>Defender(s) ~ Navy ~ New World ~ Long-Range Normal Attacks</v>
      </c>
      <c r="H42" s="266" t="str">
        <f>IFERROR(__xludf.DUMMYFUNCTION("""COMPUTED_VALUE"""),"Red ~ Defender")</f>
        <v>Red ~ Defender</v>
      </c>
      <c r="I42" s="265" t="str">
        <f>IFERROR(__xludf.DUMMYFUNCTION("""COMPUTED_VALUE"""),"https://i.postimg.cc/P5XhRWY7/Red-Defender.png")</f>
        <v>https://i.postimg.cc/P5XhRWY7/Red-Defender.png</v>
      </c>
      <c r="J42" s="267" t="str">
        <f>IFERROR(__xludf.DUMMYFUNCTION("""COMPUTED_VALUE"""),"2024-11-19")</f>
        <v>2024-11-19</v>
      </c>
      <c r="K42" s="263"/>
    </row>
    <row r="43">
      <c r="A43" s="263"/>
      <c r="B43" s="264">
        <f>IFERROR(__xludf.DUMMYFUNCTION("""COMPUTED_VALUE"""),302.0)</f>
        <v>302</v>
      </c>
      <c r="C43" s="265" t="str">
        <f>IFERROR(__xludf.DUMMYFUNCTION("""COMPUTED_VALUE"""),"https://i.postimg.cc/02rKRFgm/302-Punk-05-Atlas.png")</f>
        <v>https://i.postimg.cc/02rKRFgm/302-Punk-05-Atlas.png</v>
      </c>
      <c r="D43" s="266" t="str">
        <f>IFERROR(__xludf.DUMMYFUNCTION("""COMPUTED_VALUE"""),"Punk-05 ~ Atlas")</f>
        <v>Punk-05 ~ Atlas</v>
      </c>
      <c r="E43" s="266" t="str">
        <f>IFERROR(__xludf.DUMMYFUNCTION("""COMPUTED_VALUE"""),"4 Stars")</f>
        <v>4 Stars</v>
      </c>
      <c r="F43" s="266" t="str">
        <f>IFERROR(__xludf.DUMMYFUNCTION("""COMPUTED_VALUE"""),"Step Up")</f>
        <v>Step Up</v>
      </c>
      <c r="G43" s="266" t="str">
        <f>IFERROR(__xludf.DUMMYFUNCTION("""COMPUTED_VALUE"""),"Attacker(s) ~ Navy ~ New World")</f>
        <v>Attacker(s) ~ Navy ~ New World</v>
      </c>
      <c r="H43" s="266" t="str">
        <f>IFERROR(__xludf.DUMMYFUNCTION("""COMPUTED_VALUE"""),"Dark ~ Attacker")</f>
        <v>Dark ~ Attacker</v>
      </c>
      <c r="I43" s="265" t="str">
        <f>IFERROR(__xludf.DUMMYFUNCTION("""COMPUTED_VALUE"""),"https://i.postimg.cc/QdmN84js/Dark-Attacker.png")</f>
        <v>https://i.postimg.cc/QdmN84js/Dark-Attacker.png</v>
      </c>
      <c r="J43" s="267" t="str">
        <f>IFERROR(__xludf.DUMMYFUNCTION("""COMPUTED_VALUE"""),"2024-11-12")</f>
        <v>2024-11-12</v>
      </c>
      <c r="K43" s="263"/>
    </row>
    <row r="44">
      <c r="A44" s="263"/>
      <c r="B44" s="264">
        <f>IFERROR(__xludf.DUMMYFUNCTION("""COMPUTED_VALUE"""),301.0)</f>
        <v>301</v>
      </c>
      <c r="C44" s="265" t="str">
        <f>IFERROR(__xludf.DUMMYFUNCTION("""COMPUTED_VALUE"""),"https://i.postimg.cc/FRMxyG5h/301.Seraphim_S-Bear.png")</f>
        <v>https://i.postimg.cc/FRMxyG5h/301.Seraphim_S-Bear.png</v>
      </c>
      <c r="D44" s="266" t="str">
        <f>IFERROR(__xludf.DUMMYFUNCTION("""COMPUTED_VALUE"""),"Seraphim ~ S-Bear")</f>
        <v>Seraphim ~ S-Bear</v>
      </c>
      <c r="E44" s="266" t="str">
        <f>IFERROR(__xludf.DUMMYFUNCTION("""COMPUTED_VALUE"""),"4 Stars")</f>
        <v>4 Stars</v>
      </c>
      <c r="F44" s="266" t="str">
        <f>IFERROR(__xludf.DUMMYFUNCTION("""COMPUTED_VALUE"""),"Bounty Festival")</f>
        <v>Bounty Festival</v>
      </c>
      <c r="G44" s="266" t="str">
        <f>IFERROR(__xludf.DUMMYFUNCTION("""COMPUTED_VALUE"""),"Attacker(s) ~ Navy ~ Paramecia ~ Power users ~ New World")</f>
        <v>Attacker(s) ~ Navy ~ Paramecia ~ Power users ~ New World</v>
      </c>
      <c r="H44" s="266" t="str">
        <f>IFERROR(__xludf.DUMMYFUNCTION("""COMPUTED_VALUE"""),"Green ~ Attacker")</f>
        <v>Green ~ Attacker</v>
      </c>
      <c r="I44" s="265" t="str">
        <f>IFERROR(__xludf.DUMMYFUNCTION("""COMPUTED_VALUE"""),"https://i.postimg.cc/0NH8mz6B/Green-Attacker.png")</f>
        <v>https://i.postimg.cc/0NH8mz6B/Green-Attacker.png</v>
      </c>
      <c r="J44" s="267" t="str">
        <f>IFERROR(__xludf.DUMMYFUNCTION("""COMPUTED_VALUE"""),"2024-10-29")</f>
        <v>2024-10-29</v>
      </c>
      <c r="K44" s="263"/>
    </row>
    <row r="45">
      <c r="A45" s="263"/>
      <c r="B45" s="264">
        <f>IFERROR(__xludf.DUMMYFUNCTION("""COMPUTED_VALUE"""),300.0)</f>
        <v>300</v>
      </c>
      <c r="C45" s="265" t="str">
        <f>IFERROR(__xludf.DUMMYFUNCTION("""COMPUTED_VALUE"""),"https://i.postimg.cc/qv2FNnGJ/300.Punk-02_Lilith.png")</f>
        <v>https://i.postimg.cc/qv2FNnGJ/300.Punk-02_Lilith.png</v>
      </c>
      <c r="D45" s="266" t="str">
        <f>IFERROR(__xludf.DUMMYFUNCTION("""COMPUTED_VALUE"""),"Punk-02 ~ Lilith")</f>
        <v>Punk-02 ~ Lilith</v>
      </c>
      <c r="E45" s="266" t="str">
        <f>IFERROR(__xludf.DUMMYFUNCTION("""COMPUTED_VALUE"""),"4 Stars")</f>
        <v>4 Stars</v>
      </c>
      <c r="F45" s="266" t="str">
        <f>IFERROR(__xludf.DUMMYFUNCTION("""COMPUTED_VALUE"""),"Bounty Festival")</f>
        <v>Bounty Festival</v>
      </c>
      <c r="G45" s="266" t="str">
        <f>IFERROR(__xludf.DUMMYFUNCTION("""COMPUTED_VALUE"""),"Defender(s) ~ Navy ~ New World ~ Long-Range Normal Attacks")</f>
        <v>Defender(s) ~ Navy ~ New World ~ Long-Range Normal Attacks</v>
      </c>
      <c r="H45" s="266" t="str">
        <f>IFERROR(__xludf.DUMMYFUNCTION("""COMPUTED_VALUE"""),"Green ~ Defender")</f>
        <v>Green ~ Defender</v>
      </c>
      <c r="I45" s="265" t="str">
        <f>IFERROR(__xludf.DUMMYFUNCTION("""COMPUTED_VALUE"""),"https://i.postimg.cc/qRhpGpyM/Green-Defender.png")</f>
        <v>https://i.postimg.cc/qRhpGpyM/Green-Defender.png</v>
      </c>
      <c r="J45" s="267" t="str">
        <f>IFERROR(__xludf.DUMMYFUNCTION("""COMPUTED_VALUE"""),"2024-10-15")</f>
        <v>2024-10-15</v>
      </c>
      <c r="K45" s="263"/>
    </row>
    <row r="46">
      <c r="A46" s="263"/>
      <c r="B46" s="264">
        <f>IFERROR(__xludf.DUMMYFUNCTION("""COMPUTED_VALUE"""),299.0)</f>
        <v>299</v>
      </c>
      <c r="C46" s="265" t="str">
        <f>IFERROR(__xludf.DUMMYFUNCTION("""COMPUTED_VALUE"""),"https://i.postimg.cc/3xn5qz9b/299-Happy-Halloween-Uta.png")</f>
        <v>https://i.postimg.cc/3xn5qz9b/299-Happy-Halloween-Uta.png</v>
      </c>
      <c r="D46" s="266" t="str">
        <f>IFERROR(__xludf.DUMMYFUNCTION("""COMPUTED_VALUE"""),"Happy Halloween ~ Uta")</f>
        <v>Happy Halloween ~ Uta</v>
      </c>
      <c r="E46" s="266" t="str">
        <f>IFERROR(__xludf.DUMMYFUNCTION("""COMPUTED_VALUE"""),"4 Stars")</f>
        <v>4 Stars</v>
      </c>
      <c r="F46" s="266" t="str">
        <f>IFERROR(__xludf.DUMMYFUNCTION("""COMPUTED_VALUE"""),"Limited ~ Bounty Festival")</f>
        <v>Limited ~ Bounty Festival</v>
      </c>
      <c r="G46" s="266" t="str">
        <f>IFERROR(__xludf.DUMMYFUNCTION("""COMPUTED_VALUE"""),"Runner(s) ~ Paramecia ~ Power users ~ New World")</f>
        <v>Runner(s) ~ Paramecia ~ Power users ~ New World</v>
      </c>
      <c r="H46" s="266" t="str">
        <f>IFERROR(__xludf.DUMMYFUNCTION("""COMPUTED_VALUE"""),"Dark ~ Runner-Defender")</f>
        <v>Dark ~ Runner-Defender</v>
      </c>
      <c r="I46" s="265" t="str">
        <f>IFERROR(__xludf.DUMMYFUNCTION("""COMPUTED_VALUE"""),"https://i.postimg.cc/Kv1x433L/Transforming-Class-Dark-Runner.png")</f>
        <v>https://i.postimg.cc/Kv1x433L/Transforming-Class-Dark-Runner.png</v>
      </c>
      <c r="J46" s="267" t="str">
        <f>IFERROR(__xludf.DUMMYFUNCTION("""COMPUTED_VALUE"""),"2024-10-01")</f>
        <v>2024-10-01</v>
      </c>
      <c r="K46" s="263"/>
    </row>
    <row r="47">
      <c r="A47" s="263"/>
      <c r="B47" s="264">
        <f>IFERROR(__xludf.DUMMYFUNCTION("""COMPUTED_VALUE"""),298.0)</f>
        <v>298</v>
      </c>
      <c r="C47" s="265" t="str">
        <f>IFERROR(__xludf.DUMMYFUNCTION("""COMPUTED_VALUE"""),"https://i.postimg.cc/6QPsWRkr/298-The-Red-Broggy.png")</f>
        <v>https://i.postimg.cc/6QPsWRkr/298-The-Red-Broggy.png</v>
      </c>
      <c r="D47" s="266" t="str">
        <f>IFERROR(__xludf.DUMMYFUNCTION("""COMPUTED_VALUE"""),"The Red ~ Broggy")</f>
        <v>The Red ~ Broggy</v>
      </c>
      <c r="E47" s="266" t="str">
        <f>IFERROR(__xludf.DUMMYFUNCTION("""COMPUTED_VALUE"""),"4 Stars")</f>
        <v>4 Stars</v>
      </c>
      <c r="F47" s="266" t="str">
        <f>IFERROR(__xludf.DUMMYFUNCTION("""COMPUTED_VALUE"""),"Bounty Festival")</f>
        <v>Bounty Festival</v>
      </c>
      <c r="G47" s="266" t="str">
        <f>IFERROR(__xludf.DUMMYFUNCTION("""COMPUTED_VALUE"""),"Defender(s) ~ Captain ~ New World ~ Giant ~ Giant Pirate Crew")</f>
        <v>Defender(s) ~ Captain ~ New World ~ Giant ~ Giant Pirate Crew</v>
      </c>
      <c r="H47" s="266" t="str">
        <f>IFERROR(__xludf.DUMMYFUNCTION("""COMPUTED_VALUE"""),"Dark ~ Defender")</f>
        <v>Dark ~ Defender</v>
      </c>
      <c r="I47" s="265" t="str">
        <f>IFERROR(__xludf.DUMMYFUNCTION("""COMPUTED_VALUE"""),"https://i.postimg.cc/qv4MdVVj/Dark-Defender.png")</f>
        <v>https://i.postimg.cc/qv4MdVVj/Dark-Defender.png</v>
      </c>
      <c r="J47" s="267" t="str">
        <f>IFERROR(__xludf.DUMMYFUNCTION("""COMPUTED_VALUE"""),"2024-09-26")</f>
        <v>2024-09-26</v>
      </c>
      <c r="K47" s="263"/>
    </row>
    <row r="48">
      <c r="A48" s="263"/>
      <c r="B48" s="264">
        <f>IFERROR(__xludf.DUMMYFUNCTION("""COMPUTED_VALUE"""),297.0)</f>
        <v>297</v>
      </c>
      <c r="C48" s="265" t="str">
        <f>IFERROR(__xludf.DUMMYFUNCTION("""COMPUTED_VALUE"""),"https://i.postimg.cc/s2xdCKNf/297-The-Blue-Dorry.png")</f>
        <v>https://i.postimg.cc/s2xdCKNf/297-The-Blue-Dorry.png</v>
      </c>
      <c r="D48" s="266" t="str">
        <f>IFERROR(__xludf.DUMMYFUNCTION("""COMPUTED_VALUE"""),"The Blue ~ Dorry")</f>
        <v>The Blue ~ Dorry</v>
      </c>
      <c r="E48" s="266" t="str">
        <f>IFERROR(__xludf.DUMMYFUNCTION("""COMPUTED_VALUE"""),"4 Stars")</f>
        <v>4 Stars</v>
      </c>
      <c r="F48" s="266" t="str">
        <f>IFERROR(__xludf.DUMMYFUNCTION("""COMPUTED_VALUE"""),"Bounty Festival")</f>
        <v>Bounty Festival</v>
      </c>
      <c r="G48" s="266" t="str">
        <f>IFERROR(__xludf.DUMMYFUNCTION("""COMPUTED_VALUE"""),"Attacker(s) ~ Straw Hat Pirates ~ New World ~ Worst Generation")</f>
        <v>Attacker(s) ~ Straw Hat Pirates ~ New World ~ Worst Generation</v>
      </c>
      <c r="H48" s="266" t="str">
        <f>IFERROR(__xludf.DUMMYFUNCTION("""COMPUTED_VALUE"""),"Dark ~ Attacker")</f>
        <v>Dark ~ Attacker</v>
      </c>
      <c r="I48" s="265" t="str">
        <f>IFERROR(__xludf.DUMMYFUNCTION("""COMPUTED_VALUE"""),"https://i.postimg.cc/QdmN84js/Dark-Attacker.png")</f>
        <v>https://i.postimg.cc/QdmN84js/Dark-Attacker.png</v>
      </c>
      <c r="J48" s="267" t="str">
        <f>IFERROR(__xludf.DUMMYFUNCTION("""COMPUTED_VALUE"""),"2024-09-26")</f>
        <v>2024-09-26</v>
      </c>
      <c r="K48" s="263"/>
    </row>
    <row r="49">
      <c r="A49" s="263"/>
      <c r="B49" s="264">
        <f>IFERROR(__xludf.DUMMYFUNCTION("""COMPUTED_VALUE"""),296.0)</f>
        <v>296</v>
      </c>
      <c r="C49" s="265" t="str">
        <f>IFERROR(__xludf.DUMMYFUNCTION("""COMPUTED_VALUE"""),"https://i.postimg.cc/ryHDJR4K/296-Divine-Departure-Shanks.png")</f>
        <v>https://i.postimg.cc/ryHDJR4K/296-Divine-Departure-Shanks.png</v>
      </c>
      <c r="D49" s="266" t="str">
        <f>IFERROR(__xludf.DUMMYFUNCTION("""COMPUTED_VALUE"""),"Divine Departure ~ Shanks")</f>
        <v>Divine Departure ~ Shanks</v>
      </c>
      <c r="E49" s="266" t="str">
        <f>IFERROR(__xludf.DUMMYFUNCTION("""COMPUTED_VALUE"""),"4 Stars")</f>
        <v>4 Stars</v>
      </c>
      <c r="F49" s="266" t="str">
        <f>IFERROR(__xludf.DUMMYFUNCTION("""COMPUTED_VALUE"""),"Extreme")</f>
        <v>Extreme</v>
      </c>
      <c r="G49" s="266" t="str">
        <f>IFERROR(__xludf.DUMMYFUNCTION("""COMPUTED_VALUE"""),"Runner(s) ~ Red-Haired Pirates ~ Captain ~ New World ~ Roger Pirates / Ex-Roger Pirates")</f>
        <v>Runner(s) ~ Red-Haired Pirates ~ Captain ~ New World ~ Roger Pirates / Ex-Roger Pirates</v>
      </c>
      <c r="H49" s="266" t="str">
        <f>IFERROR(__xludf.DUMMYFUNCTION("""COMPUTED_VALUE"""),"Light ~ Runner")</f>
        <v>Light ~ Runner</v>
      </c>
      <c r="I49" s="265" t="str">
        <f>IFERROR(__xludf.DUMMYFUNCTION("""COMPUTED_VALUE"""),"https://i.postimg.cc/02q9pRQP/Light-Runner.png")</f>
        <v>https://i.postimg.cc/02q9pRQP/Light-Runner.png</v>
      </c>
      <c r="J49" s="267" t="str">
        <f>IFERROR(__xludf.DUMMYFUNCTION("""COMPUTED_VALUE"""),"2024-08-21")</f>
        <v>2024-08-21</v>
      </c>
      <c r="K49" s="263"/>
    </row>
    <row r="50">
      <c r="A50" s="263"/>
      <c r="B50" s="264">
        <f>IFERROR(__xludf.DUMMYFUNCTION("""COMPUTED_VALUE"""),295.0)</f>
        <v>295</v>
      </c>
      <c r="C50" s="265" t="str">
        <f>IFERROR(__xludf.DUMMYFUNCTION("""COMPUTED_VALUE"""),"https://i.postimg.cc/pdKbm7TM/295-Vegapunk-s-Spy-Stussy.png")</f>
        <v>https://i.postimg.cc/pdKbm7TM/295-Vegapunk-s-Spy-Stussy.png</v>
      </c>
      <c r="D50" s="266" t="str">
        <f>IFERROR(__xludf.DUMMYFUNCTION("""COMPUTED_VALUE"""),"Vegapunk's Spy ~ Stussy")</f>
        <v>Vegapunk's Spy ~ Stussy</v>
      </c>
      <c r="E50" s="266" t="str">
        <f>IFERROR(__xludf.DUMMYFUNCTION("""COMPUTED_VALUE"""),"4 Stars")</f>
        <v>4 Stars</v>
      </c>
      <c r="F50" s="266" t="str">
        <f>IFERROR(__xludf.DUMMYFUNCTION("""COMPUTED_VALUE"""),"Bounty Festival")</f>
        <v>Bounty Festival</v>
      </c>
      <c r="G50" s="266" t="str">
        <f>IFERROR(__xludf.DUMMYFUNCTION("""COMPUTED_VALUE"""),"Defender(s) ~ New World")</f>
        <v>Defender(s) ~ New World</v>
      </c>
      <c r="H50" s="266" t="str">
        <f>IFERROR(__xludf.DUMMYFUNCTION("""COMPUTED_VALUE"""),"Green ~ Defender")</f>
        <v>Green ~ Defender</v>
      </c>
      <c r="I50" s="265" t="str">
        <f>IFERROR(__xludf.DUMMYFUNCTION("""COMPUTED_VALUE"""),"https://i.postimg.cc/qRhpGpyM/Green-Defender.png")</f>
        <v>https://i.postimg.cc/qRhpGpyM/Green-Defender.png</v>
      </c>
      <c r="J50" s="267" t="str">
        <f>IFERROR(__xludf.DUMMYFUNCTION("""COMPUTED_VALUE"""),"2024-08-13")</f>
        <v>2024-08-13</v>
      </c>
      <c r="K50" s="263"/>
    </row>
    <row r="51">
      <c r="A51" s="263"/>
      <c r="B51" s="264">
        <f>IFERROR(__xludf.DUMMYFUNCTION("""COMPUTED_VALUE"""),294.0)</f>
        <v>294</v>
      </c>
      <c r="C51" s="265" t="str">
        <f>IFERROR(__xludf.DUMMYFUNCTION("""COMPUTED_VALUE"""),"https://i.postimg.cc/jd2ZcRj0/294-Awakened-Form-Kaku.png")</f>
        <v>https://i.postimg.cc/jd2ZcRj0/294-Awakened-Form-Kaku.png</v>
      </c>
      <c r="D51" s="266" t="str">
        <f>IFERROR(__xludf.DUMMYFUNCTION("""COMPUTED_VALUE"""),"Awakened Form ~ Kaku")</f>
        <v>Awakened Form ~ Kaku</v>
      </c>
      <c r="E51" s="266" t="str">
        <f>IFERROR(__xludf.DUMMYFUNCTION("""COMPUTED_VALUE"""),"4 Stars")</f>
        <v>4 Stars</v>
      </c>
      <c r="F51" s="266" t="str">
        <f>IFERROR(__xludf.DUMMYFUNCTION("""COMPUTED_VALUE"""),"Bounty Festival")</f>
        <v>Bounty Festival</v>
      </c>
      <c r="G51" s="266" t="str">
        <f>IFERROR(__xludf.DUMMYFUNCTION("""COMPUTED_VALUE"""),"Defender(s) ~ Cipher Pol ~ Zoan ~ Power users ~ New World")</f>
        <v>Defender(s) ~ Cipher Pol ~ Zoan ~ Power users ~ New World</v>
      </c>
      <c r="H51" s="266" t="str">
        <f>IFERROR(__xludf.DUMMYFUNCTION("""COMPUTED_VALUE"""),"Light ~ Defender")</f>
        <v>Light ~ Defender</v>
      </c>
      <c r="I51" s="265" t="str">
        <f>IFERROR(__xludf.DUMMYFUNCTION("""COMPUTED_VALUE"""),"https://i.postimg.cc/0j7xLZVT/Light-Defender.png")</f>
        <v>https://i.postimg.cc/0j7xLZVT/Light-Defender.png</v>
      </c>
      <c r="J51" s="267" t="str">
        <f>IFERROR(__xludf.DUMMYFUNCTION("""COMPUTED_VALUE"""),"2024-07-30")</f>
        <v>2024-07-30</v>
      </c>
      <c r="K51" s="263"/>
    </row>
    <row r="52">
      <c r="A52" s="263"/>
      <c r="B52" s="264">
        <f>IFERROR(__xludf.DUMMYFUNCTION("""COMPUTED_VALUE"""),293.0)</f>
        <v>293</v>
      </c>
      <c r="C52" s="265" t="str">
        <f>IFERROR(__xludf.DUMMYFUNCTION("""COMPUTED_VALUE"""),"https://i.postimg.cc/7YRXQjCC/293-Awakened-Form-Rob-Lucci.png")</f>
        <v>https://i.postimg.cc/7YRXQjCC/293-Awakened-Form-Rob-Lucci.png</v>
      </c>
      <c r="D52" s="266" t="str">
        <f>IFERROR(__xludf.DUMMYFUNCTION("""COMPUTED_VALUE"""),"Awakened Form ~ Rob Lucci")</f>
        <v>Awakened Form ~ Rob Lucci</v>
      </c>
      <c r="E52" s="266" t="str">
        <f>IFERROR(__xludf.DUMMYFUNCTION("""COMPUTED_VALUE"""),"4 Stars")</f>
        <v>4 Stars</v>
      </c>
      <c r="F52" s="266" t="str">
        <f>IFERROR(__xludf.DUMMYFUNCTION("""COMPUTED_VALUE"""),"Extreme")</f>
        <v>Extreme</v>
      </c>
      <c r="G52" s="266" t="str">
        <f>IFERROR(__xludf.DUMMYFUNCTION("""COMPUTED_VALUE"""),"Runner(s) ~ Cipher Pol ~ Zoan ~ Power users ~ New World")</f>
        <v>Runner(s) ~ Cipher Pol ~ Zoan ~ Power users ~ New World</v>
      </c>
      <c r="H52" s="266" t="str">
        <f>IFERROR(__xludf.DUMMYFUNCTION("""COMPUTED_VALUE"""),"Blue ~ Runner-Attacker")</f>
        <v>Blue ~ Runner-Attacker</v>
      </c>
      <c r="I52" s="265" t="str">
        <f>IFERROR(__xludf.DUMMYFUNCTION("""COMPUTED_VALUE"""),"https://i.postimg.cc/bN48nY15/Transforming-Class-Blue-Runner.png")</f>
        <v>https://i.postimg.cc/bN48nY15/Transforming-Class-Blue-Runner.png</v>
      </c>
      <c r="J52" s="267" t="str">
        <f>IFERROR(__xludf.DUMMYFUNCTION("""COMPUTED_VALUE"""),"2024-07-30")</f>
        <v>2024-07-30</v>
      </c>
      <c r="K52" s="263"/>
    </row>
    <row r="53">
      <c r="A53" s="263"/>
      <c r="B53" s="264">
        <f>IFERROR(__xludf.DUMMYFUNCTION("""COMPUTED_VALUE"""),292.0)</f>
        <v>292</v>
      </c>
      <c r="C53" s="265" t="str">
        <f>IFERROR(__xludf.DUMMYFUNCTION("""COMPUTED_VALUE"""),"https://i.postimg.cc/3x519MTZ/292-CP9-Jabra.png")</f>
        <v>https://i.postimg.cc/3x519MTZ/292-CP9-Jabra.png</v>
      </c>
      <c r="D53" s="266" t="str">
        <f>IFERROR(__xludf.DUMMYFUNCTION("""COMPUTED_VALUE"""),"CP9 ~ Jabra")</f>
        <v>CP9 ~ Jabra</v>
      </c>
      <c r="E53" s="266" t="str">
        <f>IFERROR(__xludf.DUMMYFUNCTION("""COMPUTED_VALUE"""),"4 Stars")</f>
        <v>4 Stars</v>
      </c>
      <c r="F53" s="266" t="str">
        <f>IFERROR(__xludf.DUMMYFUNCTION("""COMPUTED_VALUE"""),"Bounty Festival")</f>
        <v>Bounty Festival</v>
      </c>
      <c r="G53" s="266" t="str">
        <f>IFERROR(__xludf.DUMMYFUNCTION("""COMPUTED_VALUE"""),"Attacker(s) ~ Cipher Pol ~ Zoan ~ Power users ~ The Grand Line")</f>
        <v>Attacker(s) ~ Cipher Pol ~ Zoan ~ Power users ~ The Grand Line</v>
      </c>
      <c r="H53" s="266" t="str">
        <f>IFERROR(__xludf.DUMMYFUNCTION("""COMPUTED_VALUE"""),"Green ~ Attacker")</f>
        <v>Green ~ Attacker</v>
      </c>
      <c r="I53" s="265" t="str">
        <f>IFERROR(__xludf.DUMMYFUNCTION("""COMPUTED_VALUE"""),"https://i.postimg.cc/0NH8mz6B/Green-Attacker.png")</f>
        <v>https://i.postimg.cc/0NH8mz6B/Green-Attacker.png</v>
      </c>
      <c r="J53" s="267" t="str">
        <f>IFERROR(__xludf.DUMMYFUNCTION("""COMPUTED_VALUE"""),"2024-06-27")</f>
        <v>2024-06-27</v>
      </c>
      <c r="K53" s="263"/>
    </row>
    <row r="54">
      <c r="A54" s="263"/>
      <c r="B54" s="264">
        <f>IFERROR(__xludf.DUMMYFUNCTION("""COMPUTED_VALUE"""),291.0)</f>
        <v>291</v>
      </c>
      <c r="C54" s="265" t="str">
        <f>IFERROR(__xludf.DUMMYFUNCTION("""COMPUTED_VALUE"""),"https://i.postimg.cc/tCVDhqLT/291-CP9-Blueno.png")</f>
        <v>https://i.postimg.cc/tCVDhqLT/291-CP9-Blueno.png</v>
      </c>
      <c r="D54" s="266" t="str">
        <f>IFERROR(__xludf.DUMMYFUNCTION("""COMPUTED_VALUE"""),"CP9 ~ Blueno")</f>
        <v>CP9 ~ Blueno</v>
      </c>
      <c r="E54" s="266" t="str">
        <f>IFERROR(__xludf.DUMMYFUNCTION("""COMPUTED_VALUE"""),"4 Stars")</f>
        <v>4 Stars</v>
      </c>
      <c r="F54" s="266" t="str">
        <f>IFERROR(__xludf.DUMMYFUNCTION("""COMPUTED_VALUE"""),"Bounty Festival")</f>
        <v>Bounty Festival</v>
      </c>
      <c r="G54" s="266" t="str">
        <f>IFERROR(__xludf.DUMMYFUNCTION("""COMPUTED_VALUE"""),"Runner(s) ~ Cipher Pol ~ Paramecia ~ Power users ~ The Grand Line ~ Long-Range Normal Attacks")</f>
        <v>Runner(s) ~ Cipher Pol ~ Paramecia ~ Power users ~ The Grand Line ~ Long-Range Normal Attacks</v>
      </c>
      <c r="H54" s="266" t="str">
        <f>IFERROR(__xludf.DUMMYFUNCTION("""COMPUTED_VALUE"""),"Blue ~ Runner")</f>
        <v>Blue ~ Runner</v>
      </c>
      <c r="I54" s="265" t="str">
        <f>IFERROR(__xludf.DUMMYFUNCTION("""COMPUTED_VALUE"""),"https://i.postimg.cc/4NzNM4MY/Blue-Runner.png")</f>
        <v>https://i.postimg.cc/4NzNM4MY/Blue-Runner.png</v>
      </c>
      <c r="J54" s="267" t="str">
        <f>IFERROR(__xludf.DUMMYFUNCTION("""COMPUTED_VALUE"""),"2024-06-27")</f>
        <v>2024-06-27</v>
      </c>
      <c r="K54" s="263"/>
    </row>
    <row r="55">
      <c r="A55" s="263"/>
      <c r="B55" s="264">
        <f>IFERROR(__xludf.DUMMYFUNCTION("""COMPUTED_VALUE"""),290.0)</f>
        <v>290</v>
      </c>
      <c r="C55" s="265" t="str">
        <f>IFERROR(__xludf.DUMMYFUNCTION("""COMPUTED_VALUE"""),"https://i.postimg.cc/BZ1THsk5/290-Seraphim-S-Hawk.png")</f>
        <v>https://i.postimg.cc/BZ1THsk5/290-Seraphim-S-Hawk.png</v>
      </c>
      <c r="D55" s="266" t="str">
        <f>IFERROR(__xludf.DUMMYFUNCTION("""COMPUTED_VALUE"""),"Seraphim ~ S-Hawk")</f>
        <v>Seraphim ~ S-Hawk</v>
      </c>
      <c r="E55" s="266" t="str">
        <f>IFERROR(__xludf.DUMMYFUNCTION("""COMPUTED_VALUE"""),"4 Stars")</f>
        <v>4 Stars</v>
      </c>
      <c r="F55" s="266" t="str">
        <f>IFERROR(__xludf.DUMMYFUNCTION("""COMPUTED_VALUE"""),"Bounty Festival")</f>
        <v>Bounty Festival</v>
      </c>
      <c r="G55" s="266" t="str">
        <f>IFERROR(__xludf.DUMMYFUNCTION("""COMPUTED_VALUE"""),"Attacker(s) ~ Navy ~ Paramecia ~ Power users ~ New World")</f>
        <v>Attacker(s) ~ Navy ~ Paramecia ~ Power users ~ New World</v>
      </c>
      <c r="H55" s="266" t="str">
        <f>IFERROR(__xludf.DUMMYFUNCTION("""COMPUTED_VALUE"""),"Red ~ Attacker")</f>
        <v>Red ~ Attacker</v>
      </c>
      <c r="I55" s="265" t="str">
        <f>IFERROR(__xludf.DUMMYFUNCTION("""COMPUTED_VALUE"""),"https://i.postimg.cc/L6B2DCYf/Red-Attacker.png")</f>
        <v>https://i.postimg.cc/L6B2DCYf/Red-Attacker.png</v>
      </c>
      <c r="J55" s="267" t="str">
        <f>IFERROR(__xludf.DUMMYFUNCTION("""COMPUTED_VALUE"""),"2024-05-28")</f>
        <v>2024-05-28</v>
      </c>
      <c r="K55" s="263"/>
    </row>
    <row r="56">
      <c r="A56" s="263"/>
      <c r="B56" s="264">
        <f>IFERROR(__xludf.DUMMYFUNCTION("""COMPUTED_VALUE"""),289.0)</f>
        <v>289</v>
      </c>
      <c r="C56" s="265" t="str">
        <f>IFERROR(__xludf.DUMMYFUNCTION("""COMPUTED_VALUE"""),"https://i.postimg.cc/WbLM7CcB/289-Egghead-Roronoa-Zoro.png")</f>
        <v>https://i.postimg.cc/WbLM7CcB/289-Egghead-Roronoa-Zoro.png</v>
      </c>
      <c r="D56" s="266" t="str">
        <f>IFERROR(__xludf.DUMMYFUNCTION("""COMPUTED_VALUE"""),"Egghead ~ Roronoa Zoro")</f>
        <v>Egghead ~ Roronoa Zoro</v>
      </c>
      <c r="E56" s="266" t="str">
        <f>IFERROR(__xludf.DUMMYFUNCTION("""COMPUTED_VALUE"""),"4 Stars")</f>
        <v>4 Stars</v>
      </c>
      <c r="F56" s="266" t="str">
        <f>IFERROR(__xludf.DUMMYFUNCTION("""COMPUTED_VALUE"""),"Bounty Festival")</f>
        <v>Bounty Festival</v>
      </c>
      <c r="G56" s="266" t="str">
        <f>IFERROR(__xludf.DUMMYFUNCTION("""COMPUTED_VALUE"""),"Runner(s) ~ Straw Hat Pirates ~ New World ~ Worst Generation")</f>
        <v>Runner(s) ~ Straw Hat Pirates ~ New World ~ Worst Generation</v>
      </c>
      <c r="H56" s="266" t="str">
        <f>IFERROR(__xludf.DUMMYFUNCTION("""COMPUTED_VALUE"""),"Light ~ Runner")</f>
        <v>Light ~ Runner</v>
      </c>
      <c r="I56" s="265" t="str">
        <f>IFERROR(__xludf.DUMMYFUNCTION("""COMPUTED_VALUE"""),"https://i.postimg.cc/02q9pRQP/Light-Runner.png")</f>
        <v>https://i.postimg.cc/02q9pRQP/Light-Runner.png</v>
      </c>
      <c r="J56" s="267" t="str">
        <f>IFERROR(__xludf.DUMMYFUNCTION("""COMPUTED_VALUE"""),"2024-05-28")</f>
        <v>2024-05-28</v>
      </c>
      <c r="K56" s="263"/>
    </row>
    <row r="57">
      <c r="A57" s="263"/>
      <c r="B57" s="264">
        <f>IFERROR(__xludf.DUMMYFUNCTION("""COMPUTED_VALUE"""),288.0)</f>
        <v>288</v>
      </c>
      <c r="C57" s="265" t="str">
        <f>IFERROR(__xludf.DUMMYFUNCTION("""COMPUTED_VALUE"""),"https://i.postimg.cc/rsDwWZsY/287-Seraphim-S-Snake.png")</f>
        <v>https://i.postimg.cc/rsDwWZsY/287-Seraphim-S-Snake.png</v>
      </c>
      <c r="D57" s="266" t="str">
        <f>IFERROR(__xludf.DUMMYFUNCTION("""COMPUTED_VALUE"""),"Seraphim ~ S-Snake")</f>
        <v>Seraphim ~ S-Snake</v>
      </c>
      <c r="E57" s="266" t="str">
        <f>IFERROR(__xludf.DUMMYFUNCTION("""COMPUTED_VALUE"""),"4 Stars")</f>
        <v>4 Stars</v>
      </c>
      <c r="F57" s="266" t="str">
        <f>IFERROR(__xludf.DUMMYFUNCTION("""COMPUTED_VALUE"""),"Extreme")</f>
        <v>Extreme</v>
      </c>
      <c r="G57" s="266" t="str">
        <f>IFERROR(__xludf.DUMMYFUNCTION("""COMPUTED_VALUE"""),"Defender(s) ~ Navy ~ Paramecia ~ Power users ~ New World")</f>
        <v>Defender(s) ~ Navy ~ Paramecia ~ Power users ~ New World</v>
      </c>
      <c r="H57" s="266" t="str">
        <f>IFERROR(__xludf.DUMMYFUNCTION("""COMPUTED_VALUE"""),"Blue ~ Defender")</f>
        <v>Blue ~ Defender</v>
      </c>
      <c r="I57" s="265" t="str">
        <f>IFERROR(__xludf.DUMMYFUNCTION("""COMPUTED_VALUE"""),"https://i.postimg.cc/m2xg81dx/Blue-Defender.png")</f>
        <v>https://i.postimg.cc/m2xg81dx/Blue-Defender.png</v>
      </c>
      <c r="J57" s="267" t="str">
        <f>IFERROR(__xludf.DUMMYFUNCTION("""COMPUTED_VALUE"""),"2024-05-21")</f>
        <v>2024-05-21</v>
      </c>
      <c r="K57" s="263"/>
    </row>
    <row r="58">
      <c r="A58" s="263"/>
      <c r="B58" s="264">
        <f>IFERROR(__xludf.DUMMYFUNCTION("""COMPUTED_VALUE"""),287.0)</f>
        <v>287</v>
      </c>
      <c r="C58" s="265" t="str">
        <f>IFERROR(__xludf.DUMMYFUNCTION("""COMPUTED_VALUE"""),"https://i.postimg.cc/44QSGYNk/287-Egghead-Monkey-D-Luffy.png")</f>
        <v>https://i.postimg.cc/44QSGYNk/287-Egghead-Monkey-D-Luffy.png</v>
      </c>
      <c r="D58" s="266" t="str">
        <f>IFERROR(__xludf.DUMMYFUNCTION("""COMPUTED_VALUE"""),"Egghead ~ Monkey D. Luffy")</f>
        <v>Egghead ~ Monkey D. Luffy</v>
      </c>
      <c r="E58" s="266" t="str">
        <f>IFERROR(__xludf.DUMMYFUNCTION("""COMPUTED_VALUE"""),"4 Stars")</f>
        <v>4 Stars</v>
      </c>
      <c r="F58" s="266" t="str">
        <f>IFERROR(__xludf.DUMMYFUNCTION("""COMPUTED_VALUE"""),"Bounty Festival")</f>
        <v>Bounty Festival</v>
      </c>
      <c r="G58" s="266" t="str">
        <f>IFERROR(__xludf.DUMMYFUNCTION("""COMPUTED_VALUE"""),"Runner(s) ~ Straw Hat Pirates ~ Zoan ~ Captain ~ Power users ~ New World ~ Worst Generation")</f>
        <v>Runner(s) ~ Straw Hat Pirates ~ Zoan ~ Captain ~ Power users ~ New World ~ Worst Generation</v>
      </c>
      <c r="H58" s="266" t="str">
        <f>IFERROR(__xludf.DUMMYFUNCTION("""COMPUTED_VALUE"""),"Red ~ Runner")</f>
        <v>Red ~ Runner</v>
      </c>
      <c r="I58" s="265" t="str">
        <f>IFERROR(__xludf.DUMMYFUNCTION("""COMPUTED_VALUE"""),"https://i.postimg.cc/Hk6HDrtk/Red-Runner.png")</f>
        <v>https://i.postimg.cc/Hk6HDrtk/Red-Runner.png</v>
      </c>
      <c r="J58" s="267" t="str">
        <f>IFERROR(__xludf.DUMMYFUNCTION("""COMPUTED_VALUE"""),"2024-05-05")</f>
        <v>2024-05-05</v>
      </c>
      <c r="K58" s="263"/>
    </row>
    <row r="59">
      <c r="A59" s="263"/>
      <c r="B59" s="264">
        <f>IFERROR(__xludf.DUMMYFUNCTION("""COMPUTED_VALUE"""),286.0)</f>
        <v>286</v>
      </c>
      <c r="C59" s="265" t="str">
        <f>IFERROR(__xludf.DUMMYFUNCTION("""COMPUTED_VALUE"""),"https://i.postimg.cc/QCm4Jynx/286-The-Navy-s-Human-Weapon-Pacifista.png")</f>
        <v>https://i.postimg.cc/QCm4Jynx/286-The-Navy-s-Human-Weapon-Pacifista.png</v>
      </c>
      <c r="D59" s="266" t="str">
        <f>IFERROR(__xludf.DUMMYFUNCTION("""COMPUTED_VALUE"""),"The Navy's Human Weapon ~ Pacifista")</f>
        <v>The Navy's Human Weapon ~ Pacifista</v>
      </c>
      <c r="E59" s="266" t="str">
        <f>IFERROR(__xludf.DUMMYFUNCTION("""COMPUTED_VALUE"""),"4 Stars")</f>
        <v>4 Stars</v>
      </c>
      <c r="F59" s="266" t="str">
        <f>IFERROR(__xludf.DUMMYFUNCTION("""COMPUTED_VALUE"""),"Bounty Festival")</f>
        <v>Bounty Festival</v>
      </c>
      <c r="G59" s="266" t="str">
        <f>IFERROR(__xludf.DUMMYFUNCTION("""COMPUTED_VALUE"""),"Attacker(s) ~ Navy ~ New World")</f>
        <v>Attacker(s) ~ Navy ~ New World</v>
      </c>
      <c r="H59" s="266" t="str">
        <f>IFERROR(__xludf.DUMMYFUNCTION("""COMPUTED_VALUE"""),"Dark ~ Attacker")</f>
        <v>Dark ~ Attacker</v>
      </c>
      <c r="I59" s="265" t="str">
        <f>IFERROR(__xludf.DUMMYFUNCTION("""COMPUTED_VALUE"""),"https://i.postimg.cc/QdmN84js/Dark-Attacker.png")</f>
        <v>https://i.postimg.cc/QdmN84js/Dark-Attacker.png</v>
      </c>
      <c r="J59" s="267" t="str">
        <f>IFERROR(__xludf.DUMMYFUNCTION("""COMPUTED_VALUE"""),"2024-04-23")</f>
        <v>2024-04-23</v>
      </c>
      <c r="K59" s="263"/>
    </row>
    <row r="60">
      <c r="A60" s="263"/>
      <c r="B60" s="264">
        <f>IFERROR(__xludf.DUMMYFUNCTION("""COMPUTED_VALUE"""),285.0)</f>
        <v>285</v>
      </c>
      <c r="C60" s="265" t="str">
        <f>IFERROR(__xludf.DUMMYFUNCTION("""COMPUTED_VALUE"""),"https://i.postimg.cc/dtQSVJL7/285-The-Most-Defensive-Man-in-the-World-Sentomaru.png")</f>
        <v>https://i.postimg.cc/dtQSVJL7/285-The-Most-Defensive-Man-in-the-World-Sentomaru.png</v>
      </c>
      <c r="D60" s="266" t="str">
        <f>IFERROR(__xludf.DUMMYFUNCTION("""COMPUTED_VALUE"""),"The Most Defensive Man in the World ~ Sentomaru")</f>
        <v>The Most Defensive Man in the World ~ Sentomaru</v>
      </c>
      <c r="E60" s="266" t="str">
        <f>IFERROR(__xludf.DUMMYFUNCTION("""COMPUTED_VALUE"""),"4 Stars")</f>
        <v>4 Stars</v>
      </c>
      <c r="F60" s="266" t="str">
        <f>IFERROR(__xludf.DUMMYFUNCTION("""COMPUTED_VALUE"""),"Bounty Festival")</f>
        <v>Bounty Festival</v>
      </c>
      <c r="G60" s="266" t="str">
        <f>IFERROR(__xludf.DUMMYFUNCTION("""COMPUTED_VALUE"""),"Defender(s) ~ Navy ~ New World")</f>
        <v>Defender(s) ~ Navy ~ New World</v>
      </c>
      <c r="H60" s="266" t="str">
        <f>IFERROR(__xludf.DUMMYFUNCTION("""COMPUTED_VALUE"""),"Red ~ Defender")</f>
        <v>Red ~ Defender</v>
      </c>
      <c r="I60" s="265" t="str">
        <f>IFERROR(__xludf.DUMMYFUNCTION("""COMPUTED_VALUE"""),"https://i.postimg.cc/P5XhRWY7/Red-Defender.png")</f>
        <v>https://i.postimg.cc/P5XhRWY7/Red-Defender.png</v>
      </c>
      <c r="J60" s="267" t="str">
        <f>IFERROR(__xludf.DUMMYFUNCTION("""COMPUTED_VALUE"""),"2024-04-23")</f>
        <v>2024-04-23</v>
      </c>
      <c r="K60" s="263"/>
    </row>
    <row r="61">
      <c r="A61" s="263"/>
      <c r="B61" s="264">
        <f>IFERROR(__xludf.DUMMYFUNCTION("""COMPUTED_VALUE"""),284.0)</f>
        <v>284</v>
      </c>
      <c r="C61" s="265" t="str">
        <f>IFERROR(__xludf.DUMMYFUNCTION("""COMPUTED_VALUE"""),"https://i.postimg.cc/Dz5gh9DB/284-Fake-Straw-Hat-Pirates-Captain-Demaro-Black.png")</f>
        <v>https://i.postimg.cc/Dz5gh9DB/284-Fake-Straw-Hat-Pirates-Captain-Demaro-Black.png</v>
      </c>
      <c r="D61" s="266" t="str">
        <f>IFERROR(__xludf.DUMMYFUNCTION("""COMPUTED_VALUE"""),"Fake Straw Hat Pirates / Captain ~ Demaro Black")</f>
        <v>Fake Straw Hat Pirates / Captain ~ Demaro Black</v>
      </c>
      <c r="E61" s="266" t="str">
        <f>IFERROR(__xludf.DUMMYFUNCTION("""COMPUTED_VALUE"""),"3 Stars")</f>
        <v>3 Stars</v>
      </c>
      <c r="F61" s="266" t="str">
        <f>IFERROR(__xludf.DUMMYFUNCTION("""COMPUTED_VALUE"""),"Free ~ 3 Stars")</f>
        <v>Free ~ 3 Stars</v>
      </c>
      <c r="G61" s="266" t="str">
        <f>IFERROR(__xludf.DUMMYFUNCTION("""COMPUTED_VALUE"""),"Defender(s) ~ Captain ~ New World ~ Long-Range Normal Attacks")</f>
        <v>Defender(s) ~ Captain ~ New World ~ Long-Range Normal Attacks</v>
      </c>
      <c r="H61" s="266" t="str">
        <f>IFERROR(__xludf.DUMMYFUNCTION("""COMPUTED_VALUE"""),"Light ~ Defender")</f>
        <v>Light ~ Defender</v>
      </c>
      <c r="I61" s="265" t="str">
        <f>IFERROR(__xludf.DUMMYFUNCTION("""COMPUTED_VALUE"""),"https://i.postimg.cc/0j7xLZVT/Light-Defender.png")</f>
        <v>https://i.postimg.cc/0j7xLZVT/Light-Defender.png</v>
      </c>
      <c r="J61" s="267" t="str">
        <f>IFERROR(__xludf.DUMMYFUNCTION("""COMPUTED_VALUE"""),"2024-04-01")</f>
        <v>2024-04-01</v>
      </c>
      <c r="K61" s="263"/>
    </row>
    <row r="62">
      <c r="A62" s="263"/>
      <c r="B62" s="264">
        <f>IFERROR(__xludf.DUMMYFUNCTION("""COMPUTED_VALUE"""),283.0)</f>
        <v>283</v>
      </c>
      <c r="C62" s="265" t="str">
        <f>IFERROR(__xludf.DUMMYFUNCTION("""COMPUTED_VALUE"""),"https://i.postimg.cc/HjG03dcs/283-Lvneel-Kingdom-Exploration-Ship-Admiral-Mont-Blanc-Noland.png")</f>
        <v>https://i.postimg.cc/HjG03dcs/283-Lvneel-Kingdom-Exploration-Ship-Admiral-Mont-Blanc-Noland.png</v>
      </c>
      <c r="D62" s="266" t="str">
        <f>IFERROR(__xludf.DUMMYFUNCTION("""COMPUTED_VALUE"""),"Lvneel Kingdom / Exploration Ship Admiral ~ Mont Blanc Noland")</f>
        <v>Lvneel Kingdom / Exploration Ship Admiral ~ Mont Blanc Noland</v>
      </c>
      <c r="E62" s="266" t="str">
        <f>IFERROR(__xludf.DUMMYFUNCTION("""COMPUTED_VALUE"""),"4 Stars")</f>
        <v>4 Stars</v>
      </c>
      <c r="F62" s="266" t="str">
        <f>IFERROR(__xludf.DUMMYFUNCTION("""COMPUTED_VALUE"""),"Bounty Festival")</f>
        <v>Bounty Festival</v>
      </c>
      <c r="G62" s="266" t="str">
        <f>IFERROR(__xludf.DUMMYFUNCTION("""COMPUTED_VALUE"""),"Defender(s) ~ The Grand Line")</f>
        <v>Defender(s) ~ The Grand Line</v>
      </c>
      <c r="H62" s="266" t="str">
        <f>IFERROR(__xludf.DUMMYFUNCTION("""COMPUTED_VALUE"""),"Blue ~ Defender")</f>
        <v>Blue ~ Defender</v>
      </c>
      <c r="I62" s="265" t="str">
        <f>IFERROR(__xludf.DUMMYFUNCTION("""COMPUTED_VALUE"""),"https://i.postimg.cc/m2xg81dx/Blue-Defender.png")</f>
        <v>https://i.postimg.cc/m2xg81dx/Blue-Defender.png</v>
      </c>
      <c r="J62" s="267" t="str">
        <f>IFERROR(__xludf.DUMMYFUNCTION("""COMPUTED_VALUE"""),"2024-03-28")</f>
        <v>2024-03-28</v>
      </c>
      <c r="K62" s="263"/>
    </row>
    <row r="63">
      <c r="A63" s="263"/>
      <c r="B63" s="264">
        <f>IFERROR(__xludf.DUMMYFUNCTION("""COMPUTED_VALUE"""),282.0)</f>
        <v>282</v>
      </c>
      <c r="C63" s="265" t="str">
        <f>IFERROR(__xludf.DUMMYFUNCTION("""COMPUTED_VALUE"""),"https://i.postimg.cc/QNFR6m9R/282-The-Great-Warrior-of-Shandora-Kalgara.png")</f>
        <v>https://i.postimg.cc/QNFR6m9R/282-The-Great-Warrior-of-Shandora-Kalgara.png</v>
      </c>
      <c r="D63" s="266" t="str">
        <f>IFERROR(__xludf.DUMMYFUNCTION("""COMPUTED_VALUE"""),"The Great Warrior of Shandora ~ Kalgara")</f>
        <v>The Great Warrior of Shandora ~ Kalgara</v>
      </c>
      <c r="E63" s="266" t="str">
        <f>IFERROR(__xludf.DUMMYFUNCTION("""COMPUTED_VALUE"""),"4 Stars")</f>
        <v>4 Stars</v>
      </c>
      <c r="F63" s="266" t="str">
        <f>IFERROR(__xludf.DUMMYFUNCTION("""COMPUTED_VALUE"""),"Bounty Festival")</f>
        <v>Bounty Festival</v>
      </c>
      <c r="G63" s="266" t="str">
        <f>IFERROR(__xludf.DUMMYFUNCTION("""COMPUTED_VALUE"""),"Attacker(s) ~ The Grand Line")</f>
        <v>Attacker(s) ~ The Grand Line</v>
      </c>
      <c r="H63" s="266" t="str">
        <f>IFERROR(__xludf.DUMMYFUNCTION("""COMPUTED_VALUE"""),"Blue ~ Attacker")</f>
        <v>Blue ~ Attacker</v>
      </c>
      <c r="I63" s="265" t="str">
        <f>IFERROR(__xludf.DUMMYFUNCTION("""COMPUTED_VALUE"""),"https://i.postimg.cc/1zRtDxvf/Blue-Attacker.png")</f>
        <v>https://i.postimg.cc/1zRtDxvf/Blue-Attacker.png</v>
      </c>
      <c r="J63" s="267" t="str">
        <f>IFERROR(__xludf.DUMMYFUNCTION("""COMPUTED_VALUE"""),"2024-03-28")</f>
        <v>2024-03-28</v>
      </c>
      <c r="K63" s="263"/>
    </row>
    <row r="64">
      <c r="A64" s="263"/>
      <c r="B64" s="264">
        <f>IFERROR(__xludf.DUMMYFUNCTION("""COMPUTED_VALUE"""),281.0)</f>
        <v>281</v>
      </c>
      <c r="C64" s="265" t="str">
        <f>IFERROR(__xludf.DUMMYFUNCTION("""COMPUTED_VALUE"""),"https://i.postimg.cc/pr0hgxYV/281-The-Sky-Knight-Ganfor.png")</f>
        <v>https://i.postimg.cc/pr0hgxYV/281-The-Sky-Knight-Ganfor.png</v>
      </c>
      <c r="D64" s="266" t="str">
        <f>IFERROR(__xludf.DUMMYFUNCTION("""COMPUTED_VALUE"""),"The Sky Knight ~ Ganfor")</f>
        <v>The Sky Knight ~ Ganfor</v>
      </c>
      <c r="E64" s="266" t="str">
        <f>IFERROR(__xludf.DUMMYFUNCTION("""COMPUTED_VALUE"""),"4 Stars")</f>
        <v>4 Stars</v>
      </c>
      <c r="F64" s="266" t="str">
        <f>IFERROR(__xludf.DUMMYFUNCTION("""COMPUTED_VALUE"""),"Step Up")</f>
        <v>Step Up</v>
      </c>
      <c r="G64" s="266" t="str">
        <f>IFERROR(__xludf.DUMMYFUNCTION("""COMPUTED_VALUE"""),"Defender(s) ~ The Grand Line")</f>
        <v>Defender(s) ~ The Grand Line</v>
      </c>
      <c r="H64" s="266" t="str">
        <f>IFERROR(__xludf.DUMMYFUNCTION("""COMPUTED_VALUE"""),"Dark ~ Defender")</f>
        <v>Dark ~ Defender</v>
      </c>
      <c r="I64" s="265" t="str">
        <f>IFERROR(__xludf.DUMMYFUNCTION("""COMPUTED_VALUE"""),"https://i.postimg.cc/qv4MdVVj/Dark-Defender.png")</f>
        <v>https://i.postimg.cc/qv4MdVVj/Dark-Defender.png</v>
      </c>
      <c r="J64" s="267" t="str">
        <f>IFERROR(__xludf.DUMMYFUNCTION("""COMPUTED_VALUE"""),"2024-03-05")</f>
        <v>2024-03-05</v>
      </c>
      <c r="K64" s="263"/>
    </row>
    <row r="65">
      <c r="A65" s="263"/>
      <c r="B65" s="264">
        <f>IFERROR(__xludf.DUMMYFUNCTION("""COMPUTED_VALUE"""),280.0)</f>
        <v>280</v>
      </c>
      <c r="C65" s="265" t="str">
        <f>IFERROR(__xludf.DUMMYFUNCTION("""COMPUTED_VALUE"""),"https://i.postimg.cc/L8rmzm0P/280-Ex-Roger-Pirates-First-Mate-Silvers-Rayleigh.png")</f>
        <v>https://i.postimg.cc/L8rmzm0P/280-Ex-Roger-Pirates-First-Mate-Silvers-Rayleigh.png</v>
      </c>
      <c r="D65" s="266" t="str">
        <f>IFERROR(__xludf.DUMMYFUNCTION("""COMPUTED_VALUE"""),"Ex-Roger Pirates / First Mate ~ Silvers Rayleigh")</f>
        <v>Ex-Roger Pirates / First Mate ~ Silvers Rayleigh</v>
      </c>
      <c r="E65" s="266" t="str">
        <f>IFERROR(__xludf.DUMMYFUNCTION("""COMPUTED_VALUE"""),"4 Stars")</f>
        <v>4 Stars</v>
      </c>
      <c r="F65" s="266" t="str">
        <f>IFERROR(__xludf.DUMMYFUNCTION("""COMPUTED_VALUE"""),"Bounty Festival")</f>
        <v>Bounty Festival</v>
      </c>
      <c r="G65" s="266" t="str">
        <f>IFERROR(__xludf.DUMMYFUNCTION("""COMPUTED_VALUE"""),"Defender(s) ~ New World ~ Roger Pirates / Ex-Roger Pirates")</f>
        <v>Defender(s) ~ New World ~ Roger Pirates / Ex-Roger Pirates</v>
      </c>
      <c r="H65" s="266" t="str">
        <f>IFERROR(__xludf.DUMMYFUNCTION("""COMPUTED_VALUE"""),"Dark ~ Defender")</f>
        <v>Dark ~ Defender</v>
      </c>
      <c r="I65" s="265" t="str">
        <f>IFERROR(__xludf.DUMMYFUNCTION("""COMPUTED_VALUE"""),"https://i.postimg.cc/qv4MdVVj/Dark-Defender.png")</f>
        <v>https://i.postimg.cc/qv4MdVVj/Dark-Defender.png</v>
      </c>
      <c r="J65" s="267" t="str">
        <f>IFERROR(__xludf.DUMMYFUNCTION("""COMPUTED_VALUE"""),"2024-02-14")</f>
        <v>2024-02-14</v>
      </c>
      <c r="K65" s="263"/>
    </row>
    <row r="66">
      <c r="A66" s="263"/>
      <c r="B66" s="264">
        <f>IFERROR(__xludf.DUMMYFUNCTION("""COMPUTED_VALUE"""),279.0)</f>
        <v>279</v>
      </c>
      <c r="C66" s="265" t="str">
        <f>IFERROR(__xludf.DUMMYFUNCTION("""COMPUTED_VALUE"""),"https://i.postimg.cc/7L0w9jpW/279-Great-Pirate-Gol-D-Roger.png")</f>
        <v>https://i.postimg.cc/7L0w9jpW/279-Great-Pirate-Gol-D-Roger.png</v>
      </c>
      <c r="D66" s="266" t="str">
        <f>IFERROR(__xludf.DUMMYFUNCTION("""COMPUTED_VALUE"""),"Great Pirate ~ Gol D. Roger")</f>
        <v>Great Pirate ~ Gol D. Roger</v>
      </c>
      <c r="E66" s="266" t="str">
        <f>IFERROR(__xludf.DUMMYFUNCTION("""COMPUTED_VALUE"""),"4 Stars")</f>
        <v>4 Stars</v>
      </c>
      <c r="F66" s="266" t="str">
        <f>IFERROR(__xludf.DUMMYFUNCTION("""COMPUTED_VALUE"""),"Extreme")</f>
        <v>Extreme</v>
      </c>
      <c r="G66" s="266" t="str">
        <f>IFERROR(__xludf.DUMMYFUNCTION("""COMPUTED_VALUE"""),"Runner(s) ~ Captain ~ Roger Pirates / Ex-Roger Pirates")</f>
        <v>Runner(s) ~ Captain ~ Roger Pirates / Ex-Roger Pirates</v>
      </c>
      <c r="H66" s="266" t="str">
        <f>IFERROR(__xludf.DUMMYFUNCTION("""COMPUTED_VALUE"""),"Dark ~ Runner")</f>
        <v>Dark ~ Runner</v>
      </c>
      <c r="I66" s="265" t="str">
        <f>IFERROR(__xludf.DUMMYFUNCTION("""COMPUTED_VALUE"""),"https://i.postimg.cc/rppVK1p4/Dark-Runner.png")</f>
        <v>https://i.postimg.cc/rppVK1p4/Dark-Runner.png</v>
      </c>
      <c r="J66" s="267" t="str">
        <f>IFERROR(__xludf.DUMMYFUNCTION("""COMPUTED_VALUE"""),"2024-02-14")</f>
        <v>2024-02-14</v>
      </c>
      <c r="K66" s="263"/>
    </row>
    <row r="67">
      <c r="A67" s="263"/>
      <c r="B67" s="264">
        <f>IFERROR(__xludf.DUMMYFUNCTION("""COMPUTED_VALUE"""),278.0)</f>
        <v>278</v>
      </c>
      <c r="C67" s="265" t="str">
        <f>IFERROR(__xludf.DUMMYFUNCTION("""COMPUTED_VALUE"""),"https://i.postimg.cc/MHB3dMxV/278-Whole-Cake-Island-Carrot.png")</f>
        <v>https://i.postimg.cc/MHB3dMxV/278-Whole-Cake-Island-Carrot.png</v>
      </c>
      <c r="D67" s="266" t="str">
        <f>IFERROR(__xludf.DUMMYFUNCTION("""COMPUTED_VALUE"""),"Whole Cake Island ~ Carrot")</f>
        <v>Whole Cake Island ~ Carrot</v>
      </c>
      <c r="E67" s="266" t="str">
        <f>IFERROR(__xludf.DUMMYFUNCTION("""COMPUTED_VALUE"""),"4 Stars")</f>
        <v>4 Stars</v>
      </c>
      <c r="F67" s="266" t="str">
        <f>IFERROR(__xludf.DUMMYFUNCTION("""COMPUTED_VALUE"""),"Step Up")</f>
        <v>Step Up</v>
      </c>
      <c r="G67" s="266" t="str">
        <f>IFERROR(__xludf.DUMMYFUNCTION("""COMPUTED_VALUE"""),"Attacker(s) ~ New World ~ Minks")</f>
        <v>Attacker(s) ~ New World ~ Minks</v>
      </c>
      <c r="H67" s="266" t="str">
        <f>IFERROR(__xludf.DUMMYFUNCTION("""COMPUTED_VALUE"""),"Light ~ Attacker")</f>
        <v>Light ~ Attacker</v>
      </c>
      <c r="I67" s="265" t="str">
        <f>IFERROR(__xludf.DUMMYFUNCTION("""COMPUTED_VALUE"""),"https://i.postimg.cc/NGXg9fQd/Light-Attacker.png")</f>
        <v>https://i.postimg.cc/NGXg9fQd/Light-Attacker.png</v>
      </c>
      <c r="J67" s="267" t="str">
        <f>IFERROR(__xludf.DUMMYFUNCTION("""COMPUTED_VALUE"""),"2024-02-07")</f>
        <v>2024-02-07</v>
      </c>
      <c r="K67" s="263"/>
    </row>
    <row r="68">
      <c r="A68" s="263"/>
      <c r="B68" s="264">
        <f>IFERROR(__xludf.DUMMYFUNCTION("""COMPUTED_VALUE"""),277.0)</f>
        <v>277</v>
      </c>
      <c r="C68" s="265" t="str">
        <f>IFERROR(__xludf.DUMMYFUNCTION("""COMPUTED_VALUE"""),"https://i.postimg.cc/Df4N2Ds0/277-Heir-to-the-Shogun-of-Wano-Kozuki-Oden.png")</f>
        <v>https://i.postimg.cc/Df4N2Ds0/277-Heir-to-the-Shogun-of-Wano-Kozuki-Oden.png</v>
      </c>
      <c r="D68" s="266" t="str">
        <f>IFERROR(__xludf.DUMMYFUNCTION("""COMPUTED_VALUE"""),"Heir to the Shogun of Wano ~ Kozuki Oden")</f>
        <v>Heir to the Shogun of Wano ~ Kozuki Oden</v>
      </c>
      <c r="E68" s="266" t="str">
        <f>IFERROR(__xludf.DUMMYFUNCTION("""COMPUTED_VALUE"""),"4 Stars")</f>
        <v>4 Stars</v>
      </c>
      <c r="F68" s="266" t="str">
        <f>IFERROR(__xludf.DUMMYFUNCTION("""COMPUTED_VALUE"""),"Bounty Festival")</f>
        <v>Bounty Festival</v>
      </c>
      <c r="G68" s="266" t="str">
        <f>IFERROR(__xludf.DUMMYFUNCTION("""COMPUTED_VALUE"""),"Attacker(s) ~ Whitebeard Pirates ~ Kozuki Clan / Kozuki Clan Servant ~ Roger Pirates / Ex-Roger Pirates")</f>
        <v>Attacker(s) ~ Whitebeard Pirates ~ Kozuki Clan / Kozuki Clan Servant ~ Roger Pirates / Ex-Roger Pirates</v>
      </c>
      <c r="H68" s="266" t="str">
        <f>IFERROR(__xludf.DUMMYFUNCTION("""COMPUTED_VALUE"""),"Light ~ Attacker")</f>
        <v>Light ~ Attacker</v>
      </c>
      <c r="I68" s="265" t="str">
        <f>IFERROR(__xludf.DUMMYFUNCTION("""COMPUTED_VALUE"""),"https://i.postimg.cc/NGXg9fQd/Light-Attacker.png")</f>
        <v>https://i.postimg.cc/NGXg9fQd/Light-Attacker.png</v>
      </c>
      <c r="J68" s="267" t="str">
        <f>IFERROR(__xludf.DUMMYFUNCTION("""COMPUTED_VALUE"""),"2024-01-31")</f>
        <v>2024-01-31</v>
      </c>
      <c r="K68" s="263"/>
    </row>
    <row r="69">
      <c r="A69" s="263"/>
      <c r="B69" s="264">
        <f>IFERROR(__xludf.DUMMYFUNCTION("""COMPUTED_VALUE"""),276.0)</f>
        <v>276</v>
      </c>
      <c r="C69" s="265" t="str">
        <f>IFERROR(__xludf.DUMMYFUNCTION("""COMPUTED_VALUE"""),"https://i.postimg.cc/HLLSFPdp/276-Great-Pirate-Edward-Newgate.png")</f>
        <v>https://i.postimg.cc/HLLSFPdp/276-Great-Pirate-Edward-Newgate.png</v>
      </c>
      <c r="D69" s="266" t="str">
        <f>IFERROR(__xludf.DUMMYFUNCTION("""COMPUTED_VALUE"""),"Great Pirate ~ Edward Newgate")</f>
        <v>Great Pirate ~ Edward Newgate</v>
      </c>
      <c r="E69" s="266" t="str">
        <f>IFERROR(__xludf.DUMMYFUNCTION("""COMPUTED_VALUE"""),"4 Stars")</f>
        <v>4 Stars</v>
      </c>
      <c r="F69" s="266" t="str">
        <f>IFERROR(__xludf.DUMMYFUNCTION("""COMPUTED_VALUE"""),"Extreme")</f>
        <v>Extreme</v>
      </c>
      <c r="G69" s="266" t="str">
        <f>IFERROR(__xludf.DUMMYFUNCTION("""COMPUTED_VALUE"""),"Defender(s) ~ Whitebeard Pirates ~ Paramecia ~ Captain ~ Power users")</f>
        <v>Defender(s) ~ Whitebeard Pirates ~ Paramecia ~ Captain ~ Power users</v>
      </c>
      <c r="H69" s="266" t="str">
        <f>IFERROR(__xludf.DUMMYFUNCTION("""COMPUTED_VALUE"""),"Light ~ Defender")</f>
        <v>Light ~ Defender</v>
      </c>
      <c r="I69" s="265" t="str">
        <f>IFERROR(__xludf.DUMMYFUNCTION("""COMPUTED_VALUE"""),"https://i.postimg.cc/0j7xLZVT/Light-Defender.png")</f>
        <v>https://i.postimg.cc/0j7xLZVT/Light-Defender.png</v>
      </c>
      <c r="J69" s="267" t="str">
        <f>IFERROR(__xludf.DUMMYFUNCTION("""COMPUTED_VALUE"""),"2024-01-24")</f>
        <v>2024-01-24</v>
      </c>
      <c r="K69" s="263"/>
    </row>
    <row r="70">
      <c r="A70" s="263"/>
      <c r="B70" s="264">
        <f>IFERROR(__xludf.DUMMYFUNCTION("""COMPUTED_VALUE"""),275.0)</f>
        <v>275</v>
      </c>
      <c r="C70" s="265" t="str">
        <f>IFERROR(__xludf.DUMMYFUNCTION("""COMPUTED_VALUE"""),"https://i.postimg.cc/mr6d4Ng7/275-Fire-Fist-Ogre-Princess-Ace-Yamato.png")</f>
        <v>https://i.postimg.cc/mr6d4Ng7/275-Fire-Fist-Ogre-Princess-Ace-Yamato.png</v>
      </c>
      <c r="D70" s="266" t="str">
        <f>IFERROR(__xludf.DUMMYFUNCTION("""COMPUTED_VALUE"""),"Fire Fist Ogre Princess ~ Ace &amp; Yamato")</f>
        <v>Fire Fist Ogre Princess ~ Ace &amp; Yamato</v>
      </c>
      <c r="E70" s="266" t="str">
        <f>IFERROR(__xludf.DUMMYFUNCTION("""COMPUTED_VALUE"""),"4 Stars")</f>
        <v>4 Stars</v>
      </c>
      <c r="F70" s="266" t="str">
        <f>IFERROR(__xludf.DUMMYFUNCTION("""COMPUTED_VALUE"""),"Extreme")</f>
        <v>Extreme</v>
      </c>
      <c r="G70" s="266" t="str">
        <f>IFERROR(__xludf.DUMMYFUNCTION("""COMPUTED_VALUE"""),"Attacker(s) ~ Zoan ~ Logia ~ Captain ~ Power users ~ New World")</f>
        <v>Attacker(s) ~ Zoan ~ Logia ~ Captain ~ Power users ~ New World</v>
      </c>
      <c r="H70" s="266" t="str">
        <f>IFERROR(__xludf.DUMMYFUNCTION("""COMPUTED_VALUE"""),"Red ~ Attacker")</f>
        <v>Red ~ Attacker</v>
      </c>
      <c r="I70" s="265" t="str">
        <f>IFERROR(__xludf.DUMMYFUNCTION("""COMPUTED_VALUE"""),"https://i.postimg.cc/L6B2DCYf/Red-Attacker.png")</f>
        <v>https://i.postimg.cc/L6B2DCYf/Red-Attacker.png</v>
      </c>
      <c r="J70" s="267" t="str">
        <f>IFERROR(__xludf.DUMMYFUNCTION("""COMPUTED_VALUE"""),"2024-01-01")</f>
        <v>2024-01-01</v>
      </c>
      <c r="K70" s="263"/>
    </row>
    <row r="71">
      <c r="A71" s="263"/>
      <c r="B71" s="264">
        <f>IFERROR(__xludf.DUMMYFUNCTION("""COMPUTED_VALUE"""),274.0)</f>
        <v>274</v>
      </c>
      <c r="C71" s="265" t="str">
        <f>IFERROR(__xludf.DUMMYFUNCTION("""COMPUTED_VALUE"""),"https://i.postimg.cc/FsjnSLTQ/274-Shogun-of-Wano-Kozuki-Momonosuke.png")</f>
        <v>https://i.postimg.cc/FsjnSLTQ/274-Shogun-of-Wano-Kozuki-Momonosuke.png</v>
      </c>
      <c r="D71" s="266" t="str">
        <f>IFERROR(__xludf.DUMMYFUNCTION("""COMPUTED_VALUE"""),"Shogun of Wano ~ Kozuki Momonosuke")</f>
        <v>Shogun of Wano ~ Kozuki Momonosuke</v>
      </c>
      <c r="E71" s="266" t="str">
        <f>IFERROR(__xludf.DUMMYFUNCTION("""COMPUTED_VALUE"""),"4 Stars")</f>
        <v>4 Stars</v>
      </c>
      <c r="F71" s="266" t="str">
        <f>IFERROR(__xludf.DUMMYFUNCTION("""COMPUTED_VALUE"""),"Bounty Festival")</f>
        <v>Bounty Festival</v>
      </c>
      <c r="G71" s="266" t="str">
        <f>IFERROR(__xludf.DUMMYFUNCTION("""COMPUTED_VALUE"""),"Defender(s) ~ Zoan ~ Power users ~ New World ~ Kozuki Clan / Kozuki Clan Servant")</f>
        <v>Defender(s) ~ Zoan ~ Power users ~ New World ~ Kozuki Clan / Kozuki Clan Servant</v>
      </c>
      <c r="H71" s="266" t="str">
        <f>IFERROR(__xludf.DUMMYFUNCTION("""COMPUTED_VALUE"""),"Red ~ Defender")</f>
        <v>Red ~ Defender</v>
      </c>
      <c r="I71" s="265" t="str">
        <f>IFERROR(__xludf.DUMMYFUNCTION("""COMPUTED_VALUE"""),"https://i.postimg.cc/P5XhRWY7/Red-Defender.png")</f>
        <v>https://i.postimg.cc/P5XhRWY7/Red-Defender.png</v>
      </c>
      <c r="J71" s="267" t="str">
        <f>IFERROR(__xludf.DUMMYFUNCTION("""COMPUTED_VALUE"""),"2023-12-20")</f>
        <v>2023-12-20</v>
      </c>
      <c r="K71" s="263"/>
    </row>
    <row r="72">
      <c r="A72" s="263"/>
      <c r="B72" s="264">
        <f>IFERROR(__xludf.DUMMYFUNCTION("""COMPUTED_VALUE"""),273.0)</f>
        <v>273</v>
      </c>
      <c r="C72" s="265" t="str">
        <f>IFERROR(__xludf.DUMMYFUNCTION("""COMPUTED_VALUE"""),"https://i.postimg.cc/sgm66RF6/273-Navy-HQ-Admiral-Ryokugyu-Aramaki.png")</f>
        <v>https://i.postimg.cc/sgm66RF6/273-Navy-HQ-Admiral-Ryokugyu-Aramaki.png</v>
      </c>
      <c r="D72" s="266" t="str">
        <f>IFERROR(__xludf.DUMMYFUNCTION("""COMPUTED_VALUE"""),"Navy HQ / Admiral Ryokugyu ~ [Aramaki]")</f>
        <v>Navy HQ / Admiral Ryokugyu ~ [Aramaki]</v>
      </c>
      <c r="E72" s="266" t="str">
        <f>IFERROR(__xludf.DUMMYFUNCTION("""COMPUTED_VALUE"""),"4 Stars")</f>
        <v>4 Stars</v>
      </c>
      <c r="F72" s="266" t="str">
        <f>IFERROR(__xludf.DUMMYFUNCTION("""COMPUTED_VALUE"""),"Bounty Festival")</f>
        <v>Bounty Festival</v>
      </c>
      <c r="G72" s="266" t="str">
        <f>IFERROR(__xludf.DUMMYFUNCTION("""COMPUTED_VALUE"""),"Runner(s) ~ Navy ~ Logia ~ Power users ~ New World ~ Navy Admiral / Former Navy Admiral")</f>
        <v>Runner(s) ~ Navy ~ Logia ~ Power users ~ New World ~ Navy Admiral / Former Navy Admiral</v>
      </c>
      <c r="H72" s="266" t="str">
        <f>IFERROR(__xludf.DUMMYFUNCTION("""COMPUTED_VALUE"""),"Green ~ Runner")</f>
        <v>Green ~ Runner</v>
      </c>
      <c r="I72" s="265" t="str">
        <f>IFERROR(__xludf.DUMMYFUNCTION("""COMPUTED_VALUE"""),"https://i.postimg.cc/PxgT30Qb/Green-Runner.png")</f>
        <v>https://i.postimg.cc/PxgT30Qb/Green-Runner.png</v>
      </c>
      <c r="J72" s="267" t="str">
        <f>IFERROR(__xludf.DUMMYFUNCTION("""COMPUTED_VALUE"""),"2023-12-20")</f>
        <v>2023-12-20</v>
      </c>
      <c r="K72" s="263"/>
    </row>
    <row r="73">
      <c r="A73" s="263"/>
      <c r="B73" s="264">
        <f>IFERROR(__xludf.DUMMYFUNCTION("""COMPUTED_VALUE"""),272.0)</f>
        <v>272</v>
      </c>
      <c r="C73" s="265" t="str">
        <f>IFERROR(__xludf.DUMMYFUNCTION("""COMPUTED_VALUE"""),"https://i.postimg.cc/52bKS2rQ/272-Land-of-Wano-Otama-Komachiyo.png")</f>
        <v>https://i.postimg.cc/52bKS2rQ/272-Land-of-Wano-Otama-Komachiyo.png</v>
      </c>
      <c r="D73" s="266" t="str">
        <f>IFERROR(__xludf.DUMMYFUNCTION("""COMPUTED_VALUE"""),"Land of Wano ~ Otama &amp; Komachiyo")</f>
        <v>Land of Wano ~ Otama &amp; Komachiyo</v>
      </c>
      <c r="E73" s="266" t="str">
        <f>IFERROR(__xludf.DUMMYFUNCTION("""COMPUTED_VALUE"""),"4 Stars")</f>
        <v>4 Stars</v>
      </c>
      <c r="F73" s="266" t="str">
        <f>IFERROR(__xludf.DUMMYFUNCTION("""COMPUTED_VALUE"""),"Step Up")</f>
        <v>Step Up</v>
      </c>
      <c r="G73" s="266" t="str">
        <f>IFERROR(__xludf.DUMMYFUNCTION("""COMPUTED_VALUE"""),"Runner(s) ~ Paramecia ~ Power users ~ New World")</f>
        <v>Runner(s) ~ Paramecia ~ Power users ~ New World</v>
      </c>
      <c r="H73" s="266" t="str">
        <f>IFERROR(__xludf.DUMMYFUNCTION("""COMPUTED_VALUE"""),"Blue ~ Runner")</f>
        <v>Blue ~ Runner</v>
      </c>
      <c r="I73" s="265" t="str">
        <f>IFERROR(__xludf.DUMMYFUNCTION("""COMPUTED_VALUE"""),"https://i.postimg.cc/4NzNM4MY/Blue-Runner.png")</f>
        <v>https://i.postimg.cc/4NzNM4MY/Blue-Runner.png</v>
      </c>
      <c r="J73" s="267" t="str">
        <f>IFERROR(__xludf.DUMMYFUNCTION("""COMPUTED_VALUE"""),"2023-12-12")</f>
        <v>2023-12-12</v>
      </c>
      <c r="K73" s="263"/>
    </row>
    <row r="74">
      <c r="A74" s="263"/>
      <c r="B74" s="264">
        <f>IFERROR(__xludf.DUMMYFUNCTION("""COMPUTED_VALUE"""),271.0)</f>
        <v>271</v>
      </c>
      <c r="C74" s="265" t="str">
        <f>IFERROR(__xludf.DUMMYFUNCTION("""COMPUTED_VALUE"""),"https://i.postimg.cc/SN0vjr7r/271-Raid-on-Onigashima-Franky.png")</f>
        <v>https://i.postimg.cc/SN0vjr7r/271-Raid-on-Onigashima-Franky.png</v>
      </c>
      <c r="D74" s="266" t="str">
        <f>IFERROR(__xludf.DUMMYFUNCTION("""COMPUTED_VALUE"""),"Raid on Onigashima ~ Franky")</f>
        <v>Raid on Onigashima ~ Franky</v>
      </c>
      <c r="E74" s="266" t="str">
        <f>IFERROR(__xludf.DUMMYFUNCTION("""COMPUTED_VALUE"""),"4 Stars")</f>
        <v>4 Stars</v>
      </c>
      <c r="F74" s="266" t="str">
        <f>IFERROR(__xludf.DUMMYFUNCTION("""COMPUTED_VALUE"""),"Bounty Festival")</f>
        <v>Bounty Festival</v>
      </c>
      <c r="G74" s="266" t="str">
        <f>IFERROR(__xludf.DUMMYFUNCTION("""COMPUTED_VALUE"""),"Runner(s) ~ Straw Hat Pirates ~ New World")</f>
        <v>Runner(s) ~ Straw Hat Pirates ~ New World</v>
      </c>
      <c r="H74" s="266" t="str">
        <f>IFERROR(__xludf.DUMMYFUNCTION("""COMPUTED_VALUE"""),"Red ~ Runner")</f>
        <v>Red ~ Runner</v>
      </c>
      <c r="I74" s="265" t="str">
        <f>IFERROR(__xludf.DUMMYFUNCTION("""COMPUTED_VALUE"""),"https://i.postimg.cc/Hk6HDrtk/Red-Runner.png")</f>
        <v>https://i.postimg.cc/Hk6HDrtk/Red-Runner.png</v>
      </c>
      <c r="J74" s="267" t="str">
        <f>IFERROR(__xludf.DUMMYFUNCTION("""COMPUTED_VALUE"""),"2023-11-28")</f>
        <v>2023-11-28</v>
      </c>
      <c r="K74" s="263"/>
    </row>
    <row r="75">
      <c r="A75" s="263"/>
      <c r="B75" s="264">
        <f>IFERROR(__xludf.DUMMYFUNCTION("""COMPUTED_VALUE"""),270.0)</f>
        <v>270</v>
      </c>
      <c r="C75" s="265" t="str">
        <f>IFERROR(__xludf.DUMMYFUNCTION("""COMPUTED_VALUE"""),"https://i.postimg.cc/qRh1vhNS/270-Raid-on-Onigashima-Tony-Tony-Chopper.png")</f>
        <v>https://i.postimg.cc/qRh1vhNS/270-Raid-on-Onigashima-Tony-Tony-Chopper.png</v>
      </c>
      <c r="D75" s="266" t="str">
        <f>IFERROR(__xludf.DUMMYFUNCTION("""COMPUTED_VALUE"""),"Raid on Onigashima ~ Tony Tony Chopper")</f>
        <v>Raid on Onigashima ~ Tony Tony Chopper</v>
      </c>
      <c r="E75" s="266" t="str">
        <f>IFERROR(__xludf.DUMMYFUNCTION("""COMPUTED_VALUE"""),"4 Stars")</f>
        <v>4 Stars</v>
      </c>
      <c r="F75" s="266" t="str">
        <f>IFERROR(__xludf.DUMMYFUNCTION("""COMPUTED_VALUE"""),"Bounty Festival")</f>
        <v>Bounty Festival</v>
      </c>
      <c r="G75" s="266" t="str">
        <f>IFERROR(__xludf.DUMMYFUNCTION("""COMPUTED_VALUE"""),"Attacker(s) ~ Straw Hat Pirates ~ Zoan ~ Power users ~ New World")</f>
        <v>Attacker(s) ~ Straw Hat Pirates ~ Zoan ~ Power users ~ New World</v>
      </c>
      <c r="H75" s="266" t="str">
        <f>IFERROR(__xludf.DUMMYFUNCTION("""COMPUTED_VALUE"""),"Green ~ Attacker")</f>
        <v>Green ~ Attacker</v>
      </c>
      <c r="I75" s="265" t="str">
        <f>IFERROR(__xludf.DUMMYFUNCTION("""COMPUTED_VALUE"""),"https://i.postimg.cc/0NH8mz6B/Green-Attacker.png")</f>
        <v>https://i.postimg.cc/0NH8mz6B/Green-Attacker.png</v>
      </c>
      <c r="J75" s="267" t="str">
        <f>IFERROR(__xludf.DUMMYFUNCTION("""COMPUTED_VALUE"""),"2023-11-28")</f>
        <v>2023-11-28</v>
      </c>
      <c r="K75" s="263"/>
    </row>
    <row r="76">
      <c r="A76" s="263"/>
      <c r="B76" s="264">
        <f>IFERROR(__xludf.DUMMYFUNCTION("""COMPUTED_VALUE"""),269.0)</f>
        <v>269</v>
      </c>
      <c r="C76" s="265" t="str">
        <f>IFERROR(__xludf.DUMMYFUNCTION("""COMPUTED_VALUE"""),"https://i.postimg.cc/13mMNYgp/269-Animal-Kingdom-Pirates-Tobi-Roppo-Black-Maria.png")</f>
        <v>https://i.postimg.cc/13mMNYgp/269-Animal-Kingdom-Pirates-Tobi-Roppo-Black-Maria.png</v>
      </c>
      <c r="D76" s="266" t="str">
        <f>IFERROR(__xludf.DUMMYFUNCTION("""COMPUTED_VALUE"""),"Animal Kingdom Pirates / Tobi Roppo ~ Black Maria")</f>
        <v>Animal Kingdom Pirates / Tobi Roppo ~ Black Maria</v>
      </c>
      <c r="E76" s="266" t="str">
        <f>IFERROR(__xludf.DUMMYFUNCTION("""COMPUTED_VALUE"""),"4 Stars")</f>
        <v>4 Stars</v>
      </c>
      <c r="F76" s="266" t="str">
        <f>IFERROR(__xludf.DUMMYFUNCTION("""COMPUTED_VALUE"""),"Step Up")</f>
        <v>Step Up</v>
      </c>
      <c r="G76" s="266" t="str">
        <f>IFERROR(__xludf.DUMMYFUNCTION("""COMPUTED_VALUE"""),"Defender(s) ~ Zoan ~ Power users ~ New World ~ Animal Kingdom Pirates")</f>
        <v>Defender(s) ~ Zoan ~ Power users ~ New World ~ Animal Kingdom Pirates</v>
      </c>
      <c r="H76" s="266" t="str">
        <f>IFERROR(__xludf.DUMMYFUNCTION("""COMPUTED_VALUE"""),"Green ~ Defender")</f>
        <v>Green ~ Defender</v>
      </c>
      <c r="I76" s="265" t="str">
        <f>IFERROR(__xludf.DUMMYFUNCTION("""COMPUTED_VALUE"""),"https://i.postimg.cc/qRhpGpyM/Green-Defender.png")</f>
        <v>https://i.postimg.cc/qRhpGpyM/Green-Defender.png</v>
      </c>
      <c r="J76" s="267" t="str">
        <f>IFERROR(__xludf.DUMMYFUNCTION("""COMPUTED_VALUE"""),"2023-11-14")</f>
        <v>2023-11-14</v>
      </c>
      <c r="K76" s="263"/>
    </row>
    <row r="77">
      <c r="A77" s="263"/>
      <c r="B77" s="264">
        <f>IFERROR(__xludf.DUMMYFUNCTION("""COMPUTED_VALUE"""),268.0)</f>
        <v>268</v>
      </c>
      <c r="C77" s="265" t="str">
        <f>IFERROR(__xludf.DUMMYFUNCTION("""COMPUTED_VALUE"""),"https://i.postimg.cc/c4NFdJ0k/268-Revolutionary-Army-Captain-of-the-Eastern-Forces-Belo-Betty.png")</f>
        <v>https://i.postimg.cc/c4NFdJ0k/268-Revolutionary-Army-Captain-of-the-Eastern-Forces-Belo-Betty.png</v>
      </c>
      <c r="D77" s="266" t="str">
        <f>IFERROR(__xludf.DUMMYFUNCTION("""COMPUTED_VALUE"""),"Revolutionary Army / Captain of the Eastern Forces ~ Belo Betty")</f>
        <v>Revolutionary Army / Captain of the Eastern Forces ~ Belo Betty</v>
      </c>
      <c r="E77" s="266" t="str">
        <f>IFERROR(__xludf.DUMMYFUNCTION("""COMPUTED_VALUE"""),"4 Stars")</f>
        <v>4 Stars</v>
      </c>
      <c r="F77" s="266" t="str">
        <f>IFERROR(__xludf.DUMMYFUNCTION("""COMPUTED_VALUE"""),"Bounty Festival")</f>
        <v>Bounty Festival</v>
      </c>
      <c r="G77" s="266" t="str">
        <f>IFERROR(__xludf.DUMMYFUNCTION("""COMPUTED_VALUE"""),"Defender(s) ~ Revolutionary Army ~ Paramecia ~ Power users ~ New World")</f>
        <v>Defender(s) ~ Revolutionary Army ~ Paramecia ~ Power users ~ New World</v>
      </c>
      <c r="H77" s="266" t="str">
        <f>IFERROR(__xludf.DUMMYFUNCTION("""COMPUTED_VALUE"""),"Red ~ Defender")</f>
        <v>Red ~ Defender</v>
      </c>
      <c r="I77" s="265" t="str">
        <f>IFERROR(__xludf.DUMMYFUNCTION("""COMPUTED_VALUE"""),"https://i.postimg.cc/P5XhRWY7/Red-Defender.png")</f>
        <v>https://i.postimg.cc/P5XhRWY7/Red-Defender.png</v>
      </c>
      <c r="J77" s="267" t="str">
        <f>IFERROR(__xludf.DUMMYFUNCTION("""COMPUTED_VALUE"""),"2023-10-26")</f>
        <v>2023-10-26</v>
      </c>
      <c r="K77" s="263"/>
    </row>
    <row r="78">
      <c r="A78" s="263"/>
      <c r="B78" s="264">
        <f>IFERROR(__xludf.DUMMYFUNCTION("""COMPUTED_VALUE"""),267.0)</f>
        <v>267</v>
      </c>
      <c r="C78" s="265" t="str">
        <f>IFERROR(__xludf.DUMMYFUNCTION("""COMPUTED_VALUE"""),"https://i.postimg.cc/wTc0MdBq/267-Revolutionary-Army-Captain-of-the-Northern-Forces-Karasu.png")</f>
        <v>https://i.postimg.cc/wTc0MdBq/267-Revolutionary-Army-Captain-of-the-Northern-Forces-Karasu.png</v>
      </c>
      <c r="D78" s="266" t="str">
        <f>IFERROR(__xludf.DUMMYFUNCTION("""COMPUTED_VALUE"""),"Revolutionary Army / Captain of the Northern Forces ~ Karasu")</f>
        <v>Revolutionary Army / Captain of the Northern Forces ~ Karasu</v>
      </c>
      <c r="E78" s="266" t="str">
        <f>IFERROR(__xludf.DUMMYFUNCTION("""COMPUTED_VALUE"""),"4 Stars")</f>
        <v>4 Stars</v>
      </c>
      <c r="F78" s="266" t="str">
        <f>IFERROR(__xludf.DUMMYFUNCTION("""COMPUTED_VALUE"""),"Bounty Festival")</f>
        <v>Bounty Festival</v>
      </c>
      <c r="G78" s="266" t="str">
        <f>IFERROR(__xludf.DUMMYFUNCTION("""COMPUTED_VALUE"""),"Runner(s) ~ Revolutionary Army ~ Power users ~ New World ~ Long-Range Normal Attacks")</f>
        <v>Runner(s) ~ Revolutionary Army ~ Power users ~ New World ~ Long-Range Normal Attacks</v>
      </c>
      <c r="H78" s="266" t="str">
        <f>IFERROR(__xludf.DUMMYFUNCTION("""COMPUTED_VALUE"""),"Green ~ Runner")</f>
        <v>Green ~ Runner</v>
      </c>
      <c r="I78" s="265" t="str">
        <f>IFERROR(__xludf.DUMMYFUNCTION("""COMPUTED_VALUE"""),"https://i.postimg.cc/PxgT30Qb/Green-Runner.png")</f>
        <v>https://i.postimg.cc/PxgT30Qb/Green-Runner.png</v>
      </c>
      <c r="J78" s="267" t="str">
        <f>IFERROR(__xludf.DUMMYFUNCTION("""COMPUTED_VALUE"""),"2023-10-26")</f>
        <v>2023-10-26</v>
      </c>
      <c r="K78" s="263"/>
    </row>
    <row r="79">
      <c r="A79" s="263"/>
      <c r="B79" s="264">
        <f>IFERROR(__xludf.DUMMYFUNCTION("""COMPUTED_VALUE"""),266.0)</f>
        <v>266</v>
      </c>
      <c r="C79" s="265" t="str">
        <f>IFERROR(__xludf.DUMMYFUNCTION("""COMPUTED_VALUE"""),"https://i.postimg.cc/jqf8Vf0J/266-Revolutionary-Army-Officer-Inazuma.png")</f>
        <v>https://i.postimg.cc/jqf8Vf0J/266-Revolutionary-Army-Officer-Inazuma.png</v>
      </c>
      <c r="D79" s="266" t="str">
        <f>IFERROR(__xludf.DUMMYFUNCTION("""COMPUTED_VALUE"""),"Revolutionary Army / Officer ~ Inazuma")</f>
        <v>Revolutionary Army / Officer ~ Inazuma</v>
      </c>
      <c r="E79" s="266" t="str">
        <f>IFERROR(__xludf.DUMMYFUNCTION("""COMPUTED_VALUE"""),"4 Stars")</f>
        <v>4 Stars</v>
      </c>
      <c r="F79" s="266" t="str">
        <f>IFERROR(__xludf.DUMMYFUNCTION("""COMPUTED_VALUE"""),"Step Up")</f>
        <v>Step Up</v>
      </c>
      <c r="G79" s="266" t="str">
        <f>IFERROR(__xludf.DUMMYFUNCTION("""COMPUTED_VALUE"""),"Defender(s) ~ Revolutionary Army ~ Paramecia ~ Power users ~ The Grand Line")</f>
        <v>Defender(s) ~ Revolutionary Army ~ Paramecia ~ Power users ~ The Grand Line</v>
      </c>
      <c r="H79" s="266" t="str">
        <f>IFERROR(__xludf.DUMMYFUNCTION("""COMPUTED_VALUE"""),"Blue ~ Defender")</f>
        <v>Blue ~ Defender</v>
      </c>
      <c r="I79" s="265" t="str">
        <f>IFERROR(__xludf.DUMMYFUNCTION("""COMPUTED_VALUE"""),"https://i.postimg.cc/m2xg81dx/Blue-Defender.png")</f>
        <v>https://i.postimg.cc/m2xg81dx/Blue-Defender.png</v>
      </c>
      <c r="J79" s="267" t="str">
        <f>IFERROR(__xludf.DUMMYFUNCTION("""COMPUTED_VALUE"""),"2023-10-12")</f>
        <v>2023-10-12</v>
      </c>
      <c r="K79" s="263"/>
    </row>
    <row r="80">
      <c r="A80" s="263"/>
      <c r="B80" s="264">
        <f>IFERROR(__xludf.DUMMYFUNCTION("""COMPUTED_VALUE"""),265.0)</f>
        <v>265</v>
      </c>
      <c r="C80" s="265" t="str">
        <f>IFERROR(__xludf.DUMMYFUNCTION("""COMPUTED_VALUE"""),"https://i.postimg.cc/Xq9x9Rcg/265-Revolutionary-Army-Solider-Hack.png")</f>
        <v>https://i.postimg.cc/Xq9x9Rcg/265-Revolutionary-Army-Solider-Hack.png</v>
      </c>
      <c r="D80" s="266" t="str">
        <f>IFERROR(__xludf.DUMMYFUNCTION("""COMPUTED_VALUE"""),"Revolutionary Army / Solider ~ Hack")</f>
        <v>Revolutionary Army / Solider ~ Hack</v>
      </c>
      <c r="E80" s="266" t="str">
        <f>IFERROR(__xludf.DUMMYFUNCTION("""COMPUTED_VALUE"""),"4 Stars")</f>
        <v>4 Stars</v>
      </c>
      <c r="F80" s="266" t="str">
        <f>IFERROR(__xludf.DUMMYFUNCTION("""COMPUTED_VALUE"""),"Step Up")</f>
        <v>Step Up</v>
      </c>
      <c r="G80" s="266" t="str">
        <f>IFERROR(__xludf.DUMMYFUNCTION("""COMPUTED_VALUE"""),"Attacker(s) ~ Revolutionary Army ~ Fish-Man ~ New World")</f>
        <v>Attacker(s) ~ Revolutionary Army ~ Fish-Man ~ New World</v>
      </c>
      <c r="H80" s="266" t="str">
        <f>IFERROR(__xludf.DUMMYFUNCTION("""COMPUTED_VALUE"""),"Blue ~ Attacker")</f>
        <v>Blue ~ Attacker</v>
      </c>
      <c r="I80" s="265" t="str">
        <f>IFERROR(__xludf.DUMMYFUNCTION("""COMPUTED_VALUE"""),"https://i.postimg.cc/1zRtDxvf/Blue-Attacker.png")</f>
        <v>https://i.postimg.cc/1zRtDxvf/Blue-Attacker.png</v>
      </c>
      <c r="J80" s="267" t="str">
        <f>IFERROR(__xludf.DUMMYFUNCTION("""COMPUTED_VALUE"""),"2023-10-03")</f>
        <v>2023-10-03</v>
      </c>
      <c r="K80" s="263"/>
    </row>
    <row r="81">
      <c r="A81" s="263"/>
      <c r="B81" s="264">
        <f>IFERROR(__xludf.DUMMYFUNCTION("""COMPUTED_VALUE"""),264.0)</f>
        <v>264</v>
      </c>
      <c r="C81" s="265" t="str">
        <f>IFERROR(__xludf.DUMMYFUNCTION("""COMPUTED_VALUE"""),"https://i.postimg.cc/qv1wcXnW/264-Cyborg-Queen.png")</f>
        <v>https://i.postimg.cc/qv1wcXnW/264-Cyborg-Queen.png</v>
      </c>
      <c r="D81" s="266" t="str">
        <f>IFERROR(__xludf.DUMMYFUNCTION("""COMPUTED_VALUE"""),"Cyborg ~ Queen")</f>
        <v>Cyborg ~ Queen</v>
      </c>
      <c r="E81" s="266" t="str">
        <f>IFERROR(__xludf.DUMMYFUNCTION("""COMPUTED_VALUE"""),"4 Stars")</f>
        <v>4 Stars</v>
      </c>
      <c r="F81" s="266" t="str">
        <f>IFERROR(__xludf.DUMMYFUNCTION("""COMPUTED_VALUE"""),"Bounty Festival")</f>
        <v>Bounty Festival</v>
      </c>
      <c r="G81" s="266" t="str">
        <f>IFERROR(__xludf.DUMMYFUNCTION("""COMPUTED_VALUE"""),"Runner(s) ~ Zoan ~ Power users ~ New World ~ Animal Kingdom Pirates")</f>
        <v>Runner(s) ~ Zoan ~ Power users ~ New World ~ Animal Kingdom Pirates</v>
      </c>
      <c r="H81" s="266" t="str">
        <f>IFERROR(__xludf.DUMMYFUNCTION("""COMPUTED_VALUE"""),"Red ~ Runner")</f>
        <v>Red ~ Runner</v>
      </c>
      <c r="I81" s="265" t="str">
        <f>IFERROR(__xludf.DUMMYFUNCTION("""COMPUTED_VALUE"""),"https://i.postimg.cc/Hk6HDrtk/Red-Runner.png")</f>
        <v>https://i.postimg.cc/Hk6HDrtk/Red-Runner.png</v>
      </c>
      <c r="J81" s="267" t="str">
        <f>IFERROR(__xludf.DUMMYFUNCTION("""COMPUTED_VALUE"""),"2023-09-26")</f>
        <v>2023-09-26</v>
      </c>
      <c r="K81" s="263"/>
    </row>
    <row r="82">
      <c r="A82" s="263"/>
      <c r="B82" s="264">
        <f>IFERROR(__xludf.DUMMYFUNCTION("""COMPUTED_VALUE"""),263.0)</f>
        <v>263</v>
      </c>
      <c r="C82" s="265" t="str">
        <f>IFERROR(__xludf.DUMMYFUNCTION("""COMPUTED_VALUE"""),"https://i.postimg.cc/43n5W7Qy/263-Lunarian-Alber.png")</f>
        <v>https://i.postimg.cc/43n5W7Qy/263-Lunarian-Alber.png</v>
      </c>
      <c r="D82" s="266" t="str">
        <f>IFERROR(__xludf.DUMMYFUNCTION("""COMPUTED_VALUE"""),"Lunarian ~ Alber")</f>
        <v>Lunarian ~ Alber</v>
      </c>
      <c r="E82" s="266" t="str">
        <f>IFERROR(__xludf.DUMMYFUNCTION("""COMPUTED_VALUE"""),"4 Stars")</f>
        <v>4 Stars</v>
      </c>
      <c r="F82" s="266" t="str">
        <f>IFERROR(__xludf.DUMMYFUNCTION("""COMPUTED_VALUE"""),"Bounty Festival")</f>
        <v>Bounty Festival</v>
      </c>
      <c r="G82" s="266" t="str">
        <f>IFERROR(__xludf.DUMMYFUNCTION("""COMPUTED_VALUE"""),"Attacker(s) ~ Zoan ~ Power users ~ New World ~ Animal Kingdom Pirates")</f>
        <v>Attacker(s) ~ Zoan ~ Power users ~ New World ~ Animal Kingdom Pirates</v>
      </c>
      <c r="H82" s="266" t="str">
        <f>IFERROR(__xludf.DUMMYFUNCTION("""COMPUTED_VALUE"""),"Red ~ Attacker")</f>
        <v>Red ~ Attacker</v>
      </c>
      <c r="I82" s="265" t="str">
        <f>IFERROR(__xludf.DUMMYFUNCTION("""COMPUTED_VALUE"""),"https://i.postimg.cc/L6B2DCYf/Red-Attacker.png")</f>
        <v>https://i.postimg.cc/L6B2DCYf/Red-Attacker.png</v>
      </c>
      <c r="J82" s="267" t="str">
        <f>IFERROR(__xludf.DUMMYFUNCTION("""COMPUTED_VALUE"""),"2023-09-26")</f>
        <v>2023-09-26</v>
      </c>
      <c r="K82" s="263"/>
    </row>
    <row r="83">
      <c r="A83" s="263"/>
      <c r="B83" s="264">
        <f>IFERROR(__xludf.DUMMYFUNCTION("""COMPUTED_VALUE"""),262.0)</f>
        <v>262</v>
      </c>
      <c r="C83" s="265" t="str">
        <f>IFERROR(__xludf.DUMMYFUNCTION("""COMPUTED_VALUE"""),"https://i.postimg.cc/s28JqjTc/262-Animal-Kingdom-Pirates-Tobi-Roppo-Sasaki.png")</f>
        <v>https://i.postimg.cc/s28JqjTc/262-Animal-Kingdom-Pirates-Tobi-Roppo-Sasaki.png</v>
      </c>
      <c r="D83" s="266" t="str">
        <f>IFERROR(__xludf.DUMMYFUNCTION("""COMPUTED_VALUE"""),"Animal Kingdom Pirates / Tobi Roppo ~ Sasaki")</f>
        <v>Animal Kingdom Pirates / Tobi Roppo ~ Sasaki</v>
      </c>
      <c r="E83" s="266" t="str">
        <f>IFERROR(__xludf.DUMMYFUNCTION("""COMPUTED_VALUE"""),"4 Stars")</f>
        <v>4 Stars</v>
      </c>
      <c r="F83" s="266" t="str">
        <f>IFERROR(__xludf.DUMMYFUNCTION("""COMPUTED_VALUE"""),"Step Up")</f>
        <v>Step Up</v>
      </c>
      <c r="G83" s="266" t="str">
        <f>IFERROR(__xludf.DUMMYFUNCTION("""COMPUTED_VALUE"""),"Runner(s) ~ Zoan ~ Fish-Man ~ Power users ~ New World ~ Animal Kingdom Pirates")</f>
        <v>Runner(s) ~ Zoan ~ Fish-Man ~ Power users ~ New World ~ Animal Kingdom Pirates</v>
      </c>
      <c r="H83" s="266" t="str">
        <f>IFERROR(__xludf.DUMMYFUNCTION("""COMPUTED_VALUE"""),"Green ~ Runner")</f>
        <v>Green ~ Runner</v>
      </c>
      <c r="I83" s="265" t="str">
        <f>IFERROR(__xludf.DUMMYFUNCTION("""COMPUTED_VALUE"""),"https://i.postimg.cc/PxgT30Qb/Green-Runner.png")</f>
        <v>https://i.postimg.cc/PxgT30Qb/Green-Runner.png</v>
      </c>
      <c r="J83" s="267" t="str">
        <f>IFERROR(__xludf.DUMMYFUNCTION("""COMPUTED_VALUE"""),"2023-09-19")</f>
        <v>2023-09-19</v>
      </c>
      <c r="K83" s="263"/>
    </row>
    <row r="84">
      <c r="A84" s="263"/>
      <c r="B84" s="264">
        <f>IFERROR(__xludf.DUMMYFUNCTION("""COMPUTED_VALUE"""),261.0)</f>
        <v>261</v>
      </c>
      <c r="C84" s="265" t="str">
        <f>IFERROR(__xludf.DUMMYFUNCTION("""COMPUTED_VALUE"""),"https://i.postimg.cc/qqHxBmV6/261-Raid-on-Onigashima-Sanji.png")</f>
        <v>https://i.postimg.cc/qqHxBmV6/261-Raid-on-Onigashima-Sanji.png</v>
      </c>
      <c r="D84" s="266" t="str">
        <f>IFERROR(__xludf.DUMMYFUNCTION("""COMPUTED_VALUE"""),"Raid on Onigashima ~ Sanji")</f>
        <v>Raid on Onigashima ~ Sanji</v>
      </c>
      <c r="E84" s="266" t="str">
        <f>IFERROR(__xludf.DUMMYFUNCTION("""COMPUTED_VALUE"""),"4 Stars")</f>
        <v>4 Stars</v>
      </c>
      <c r="F84" s="266" t="str">
        <f>IFERROR(__xludf.DUMMYFUNCTION("""COMPUTED_VALUE"""),"Bounty Festival")</f>
        <v>Bounty Festival</v>
      </c>
      <c r="G84" s="266" t="str">
        <f>IFERROR(__xludf.DUMMYFUNCTION("""COMPUTED_VALUE"""),"Attacker(s) ~ Straw Hat Pirates ~ New World ~ Royalty / Former Royalty")</f>
        <v>Attacker(s) ~ Straw Hat Pirates ~ New World ~ Royalty / Former Royalty</v>
      </c>
      <c r="H84" s="266" t="str">
        <f>IFERROR(__xludf.DUMMYFUNCTION("""COMPUTED_VALUE"""),"Green-Red-Blue ~ Attacker")</f>
        <v>Green-Red-Blue ~ Attacker</v>
      </c>
      <c r="I84" s="265" t="str">
        <f>IFERROR(__xludf.DUMMYFUNCTION("""COMPUTED_VALUE"""),"https://i.postimg.cc/bJqqv61N/Transforming-Element-Green-Attacker.png")</f>
        <v>https://i.postimg.cc/bJqqv61N/Transforming-Element-Green-Attacker.png</v>
      </c>
      <c r="J84" s="267" t="str">
        <f>IFERROR(__xludf.DUMMYFUNCTION("""COMPUTED_VALUE"""),"2023-08-29")</f>
        <v>2023-08-29</v>
      </c>
      <c r="K84" s="263"/>
    </row>
    <row r="85">
      <c r="A85" s="263"/>
      <c r="B85" s="264">
        <f>IFERROR(__xludf.DUMMYFUNCTION("""COMPUTED_VALUE"""),260.0)</f>
        <v>260</v>
      </c>
      <c r="C85" s="265" t="str">
        <f>IFERROR(__xludf.DUMMYFUNCTION("""COMPUTED_VALUE"""),"https://i.postimg.cc/8cdB7hNK/260-Gear-Five-Monkey-D-Luffy.png")</f>
        <v>https://i.postimg.cc/8cdB7hNK/260-Gear-Five-Monkey-D-Luffy.png</v>
      </c>
      <c r="D85" s="266" t="str">
        <f>IFERROR(__xludf.DUMMYFUNCTION("""COMPUTED_VALUE"""),"Gear Five ~ Monkey D. Luffy")</f>
        <v>Gear Five ~ Monkey D. Luffy</v>
      </c>
      <c r="E85" s="266" t="str">
        <f>IFERROR(__xludf.DUMMYFUNCTION("""COMPUTED_VALUE"""),"4 Stars")</f>
        <v>4 Stars</v>
      </c>
      <c r="F85" s="266" t="str">
        <f>IFERROR(__xludf.DUMMYFUNCTION("""COMPUTED_VALUE"""),"Extreme")</f>
        <v>Extreme</v>
      </c>
      <c r="G85" s="266" t="str">
        <f>IFERROR(__xludf.DUMMYFUNCTION("""COMPUTED_VALUE"""),"Defender(s) ~ Straw Hat Pirates ~ Zoan ~ Captain ~ Power users ~ New World ~ Worst Generation")</f>
        <v>Defender(s) ~ Straw Hat Pirates ~ Zoan ~ Captain ~ Power users ~ New World ~ Worst Generation</v>
      </c>
      <c r="H85" s="266" t="str">
        <f>IFERROR(__xludf.DUMMYFUNCTION("""COMPUTED_VALUE"""),"Green ~ Defender-Attacker-Runner")</f>
        <v>Green ~ Defender-Attacker-Runner</v>
      </c>
      <c r="I85" s="265" t="str">
        <f>IFERROR(__xludf.DUMMYFUNCTION("""COMPUTED_VALUE"""),"https://i.postimg.cc/vZ9ytRzZ/Transforming-Class-Green-Defender.png")</f>
        <v>https://i.postimg.cc/vZ9ytRzZ/Transforming-Class-Green-Defender.png</v>
      </c>
      <c r="J85" s="267" t="str">
        <f>IFERROR(__xludf.DUMMYFUNCTION("""COMPUTED_VALUE"""),"2023-08-23")</f>
        <v>2023-08-23</v>
      </c>
      <c r="K85" s="263"/>
    </row>
    <row r="86">
      <c r="A86" s="263"/>
      <c r="B86" s="264">
        <f>IFERROR(__xludf.DUMMYFUNCTION("""COMPUTED_VALUE"""),259.0)</f>
        <v>259</v>
      </c>
      <c r="C86" s="265" t="str">
        <f>IFERROR(__xludf.DUMMYFUNCTION("""COMPUTED_VALUE"""),"https://i.postimg.cc/Kct5pyBP/259-Singer-of-the-New-Genesis-Uta.png")</f>
        <v>https://i.postimg.cc/Kct5pyBP/259-Singer-of-the-New-Genesis-Uta.png</v>
      </c>
      <c r="D86" s="266" t="str">
        <f>IFERROR(__xludf.DUMMYFUNCTION("""COMPUTED_VALUE"""),"Singer of the New Genesis ~ Uta")</f>
        <v>Singer of the New Genesis ~ Uta</v>
      </c>
      <c r="E86" s="266" t="str">
        <f>IFERROR(__xludf.DUMMYFUNCTION("""COMPUTED_VALUE"""),"4 Stars")</f>
        <v>4 Stars</v>
      </c>
      <c r="F86" s="266" t="str">
        <f>IFERROR(__xludf.DUMMYFUNCTION("""COMPUTED_VALUE"""),"Limited ~ Bounty Festival")</f>
        <v>Limited ~ Bounty Festival</v>
      </c>
      <c r="G86" s="266" t="str">
        <f>IFERROR(__xludf.DUMMYFUNCTION("""COMPUTED_VALUE"""),"Defender(s) ~ Paramecia ~ Power users ~ New World")</f>
        <v>Defender(s) ~ Paramecia ~ Power users ~ New World</v>
      </c>
      <c r="H86" s="266" t="str">
        <f>IFERROR(__xludf.DUMMYFUNCTION("""COMPUTED_VALUE"""),"Blue ~ Defender")</f>
        <v>Blue ~ Defender</v>
      </c>
      <c r="I86" s="265" t="str">
        <f>IFERROR(__xludf.DUMMYFUNCTION("""COMPUTED_VALUE"""),"https://i.postimg.cc/m2xg81dx/Blue-Defender.png")</f>
        <v>https://i.postimg.cc/m2xg81dx/Blue-Defender.png</v>
      </c>
      <c r="J86" s="267" t="str">
        <f>IFERROR(__xludf.DUMMYFUNCTION("""COMPUTED_VALUE"""),"2023-08-06")</f>
        <v>2023-08-06</v>
      </c>
      <c r="K86" s="263"/>
    </row>
    <row r="87">
      <c r="A87" s="263"/>
      <c r="B87" s="264">
        <f>IFERROR(__xludf.DUMMYFUNCTION("""COMPUTED_VALUE"""),258.0)</f>
        <v>258</v>
      </c>
      <c r="C87" s="265" t="str">
        <f>IFERROR(__xludf.DUMMYFUNCTION("""COMPUTED_VALUE"""),"https://i.postimg.cc/bNT98H6d/258-Raid-on-Onigashima-Killer.png")</f>
        <v>https://i.postimg.cc/bNT98H6d/258-Raid-on-Onigashima-Killer.png</v>
      </c>
      <c r="D87" s="266" t="str">
        <f>IFERROR(__xludf.DUMMYFUNCTION("""COMPUTED_VALUE"""),"Raid on Onigashima ~ Killer")</f>
        <v>Raid on Onigashima ~ Killer</v>
      </c>
      <c r="E87" s="266" t="str">
        <f>IFERROR(__xludf.DUMMYFUNCTION("""COMPUTED_VALUE"""),"4 Stars")</f>
        <v>4 Stars</v>
      </c>
      <c r="F87" s="266" t="str">
        <f>IFERROR(__xludf.DUMMYFUNCTION("""COMPUTED_VALUE"""),"Bounty Festival")</f>
        <v>Bounty Festival</v>
      </c>
      <c r="G87" s="266" t="str">
        <f>IFERROR(__xludf.DUMMYFUNCTION("""COMPUTED_VALUE"""),"Attacker(s) ~ New World ~ Worst Generation")</f>
        <v>Attacker(s) ~ New World ~ Worst Generation</v>
      </c>
      <c r="H87" s="266" t="str">
        <f>IFERROR(__xludf.DUMMYFUNCTION("""COMPUTED_VALUE"""),"Blue ~ Attacker")</f>
        <v>Blue ~ Attacker</v>
      </c>
      <c r="I87" s="265" t="str">
        <f>IFERROR(__xludf.DUMMYFUNCTION("""COMPUTED_VALUE"""),"https://i.postimg.cc/1zRtDxvf/Blue-Attacker.png")</f>
        <v>https://i.postimg.cc/1zRtDxvf/Blue-Attacker.png</v>
      </c>
      <c r="J87" s="267" t="str">
        <f>IFERROR(__xludf.DUMMYFUNCTION("""COMPUTED_VALUE"""),"2023-07-26")</f>
        <v>2023-07-26</v>
      </c>
      <c r="K87" s="263"/>
    </row>
    <row r="88">
      <c r="A88" s="263"/>
      <c r="B88" s="264">
        <f>IFERROR(__xludf.DUMMYFUNCTION("""COMPUTED_VALUE"""),257.0)</f>
        <v>257</v>
      </c>
      <c r="C88" s="265" t="str">
        <f>IFERROR(__xludf.DUMMYFUNCTION("""COMPUTED_VALUE"""),"https://i.postimg.cc/nLs448nQ/257-Battle-of-Monsters-on-Onigashima-Kid-Law.png")</f>
        <v>https://i.postimg.cc/nLs448nQ/257-Battle-of-Monsters-on-Onigashima-Kid-Law.png</v>
      </c>
      <c r="D88" s="266" t="str">
        <f>IFERROR(__xludf.DUMMYFUNCTION("""COMPUTED_VALUE"""),"Battle of Monsters on Onigashima ~ Kid &amp; Law")</f>
        <v>Battle of Monsters on Onigashima ~ Kid &amp; Law</v>
      </c>
      <c r="E88" s="266" t="str">
        <f>IFERROR(__xludf.DUMMYFUNCTION("""COMPUTED_VALUE"""),"4 Stars")</f>
        <v>4 Stars</v>
      </c>
      <c r="F88" s="266" t="str">
        <f>IFERROR(__xludf.DUMMYFUNCTION("""COMPUTED_VALUE"""),"Extreme")</f>
        <v>Extreme</v>
      </c>
      <c r="G88" s="266" t="str">
        <f>IFERROR(__xludf.DUMMYFUNCTION("""COMPUTED_VALUE"""),"Attacker(s) ~ The Seven Warlords of the Sea / Former Warlords of the Sea ~ Paramecia ~ Captain ~ Power users ~ New World ~ Worst Generation")</f>
        <v>Attacker(s) ~ The Seven Warlords of the Sea / Former Warlords of the Sea ~ Paramecia ~ Captain ~ Power users ~ New World ~ Worst Generation</v>
      </c>
      <c r="H88" s="266" t="str">
        <f>IFERROR(__xludf.DUMMYFUNCTION("""COMPUTED_VALUE"""),"Blue ~ Runner")</f>
        <v>Blue ~ Runner</v>
      </c>
      <c r="I88" s="265" t="str">
        <f>IFERROR(__xludf.DUMMYFUNCTION("""COMPUTED_VALUE"""),"https://i.postimg.cc/4NzNM4MY/Blue-Runner.png")</f>
        <v>https://i.postimg.cc/4NzNM4MY/Blue-Runner.png</v>
      </c>
      <c r="J88" s="267" t="str">
        <f>IFERROR(__xludf.DUMMYFUNCTION("""COMPUTED_VALUE"""),"2023-07-26")</f>
        <v>2023-07-26</v>
      </c>
      <c r="K88" s="263"/>
    </row>
    <row r="89">
      <c r="A89" s="263"/>
      <c r="B89" s="264">
        <f>IFERROR(__xludf.DUMMYFUNCTION("""COMPUTED_VALUE"""),256.0)</f>
        <v>256</v>
      </c>
      <c r="C89" s="265" t="str">
        <f>IFERROR(__xludf.DUMMYFUNCTION("""COMPUTED_VALUE"""),"https://i.postimg.cc/nc5wsVzq/256-New-Fish-Man-Pirates-Captain-Hody-Jones.png")</f>
        <v>https://i.postimg.cc/nc5wsVzq/256-New-Fish-Man-Pirates-Captain-Hody-Jones.png</v>
      </c>
      <c r="D89" s="266" t="str">
        <f>IFERROR(__xludf.DUMMYFUNCTION("""COMPUTED_VALUE"""),"New Fish-Man Pirates / Captain ~ Hody Jones")</f>
        <v>New Fish-Man Pirates / Captain ~ Hody Jones</v>
      </c>
      <c r="E89" s="266" t="str">
        <f>IFERROR(__xludf.DUMMYFUNCTION("""COMPUTED_VALUE"""),"4 Stars")</f>
        <v>4 Stars</v>
      </c>
      <c r="F89" s="266" t="str">
        <f>IFERROR(__xludf.DUMMYFUNCTION("""COMPUTED_VALUE"""),"Bounty Festival")</f>
        <v>Bounty Festival</v>
      </c>
      <c r="G89" s="266" t="str">
        <f>IFERROR(__xludf.DUMMYFUNCTION("""COMPUTED_VALUE"""),"Runner(s) ~ Captain ~ Fish-Man ~ New World")</f>
        <v>Runner(s) ~ Captain ~ Fish-Man ~ New World</v>
      </c>
      <c r="H89" s="266" t="str">
        <f>IFERROR(__xludf.DUMMYFUNCTION("""COMPUTED_VALUE"""),"Green ~ Runner")</f>
        <v>Green ~ Runner</v>
      </c>
      <c r="I89" s="265" t="str">
        <f>IFERROR(__xludf.DUMMYFUNCTION("""COMPUTED_VALUE"""),"https://i.postimg.cc/PxgT30Qb/Green-Runner.png")</f>
        <v>https://i.postimg.cc/PxgT30Qb/Green-Runner.png</v>
      </c>
      <c r="J89" s="267" t="str">
        <f>IFERROR(__xludf.DUMMYFUNCTION("""COMPUTED_VALUE"""),"2023-06-29")</f>
        <v>2023-06-29</v>
      </c>
      <c r="K89" s="263"/>
    </row>
    <row r="90">
      <c r="A90" s="263"/>
      <c r="B90" s="264">
        <f>IFERROR(__xludf.DUMMYFUNCTION("""COMPUTED_VALUE"""),255.0)</f>
        <v>255</v>
      </c>
      <c r="C90" s="265" t="str">
        <f>IFERROR(__xludf.DUMMYFUNCTION("""COMPUTED_VALUE"""),"https://i.postimg.cc/6pvbCs2g/255-Ryugu-Kingdom-King-Neptune.png")</f>
        <v>https://i.postimg.cc/6pvbCs2g/255-Ryugu-Kingdom-King-Neptune.png</v>
      </c>
      <c r="D90" s="266" t="str">
        <f>IFERROR(__xludf.DUMMYFUNCTION("""COMPUTED_VALUE"""),"Ryugu Kingdom / King ~ Neptune")</f>
        <v>Ryugu Kingdom / King ~ Neptune</v>
      </c>
      <c r="E90" s="266" t="str">
        <f>IFERROR(__xludf.DUMMYFUNCTION("""COMPUTED_VALUE"""),"4 Stars")</f>
        <v>4 Stars</v>
      </c>
      <c r="F90" s="266" t="str">
        <f>IFERROR(__xludf.DUMMYFUNCTION("""COMPUTED_VALUE"""),"Bounty Festival")</f>
        <v>Bounty Festival</v>
      </c>
      <c r="G90" s="266" t="str">
        <f>IFERROR(__xludf.DUMMYFUNCTION("""COMPUTED_VALUE"""),"Defender(s) ~ New World ~ Royalty / Former Royalty")</f>
        <v>Defender(s) ~ New World ~ Royalty / Former Royalty</v>
      </c>
      <c r="H90" s="266" t="str">
        <f>IFERROR(__xludf.DUMMYFUNCTION("""COMPUTED_VALUE"""),"Green ~ Defender")</f>
        <v>Green ~ Defender</v>
      </c>
      <c r="I90" s="265" t="str">
        <f>IFERROR(__xludf.DUMMYFUNCTION("""COMPUTED_VALUE"""),"https://i.postimg.cc/qRhpGpyM/Green-Defender.png")</f>
        <v>https://i.postimg.cc/qRhpGpyM/Green-Defender.png</v>
      </c>
      <c r="J90" s="267" t="str">
        <f>IFERROR(__xludf.DUMMYFUNCTION("""COMPUTED_VALUE"""),"2023-06-29")</f>
        <v>2023-06-29</v>
      </c>
      <c r="K90" s="263"/>
    </row>
    <row r="91">
      <c r="A91" s="263"/>
      <c r="B91" s="264">
        <f>IFERROR(__xludf.DUMMYFUNCTION("""COMPUTED_VALUE"""),254.0)</f>
        <v>254</v>
      </c>
      <c r="C91" s="265" t="str">
        <f>IFERROR(__xludf.DUMMYFUNCTION("""COMPUTED_VALUE"""),"https://i.postimg.cc/8zXdfkgS/254-Caribou-Pirates-Captain-Caribou.png")</f>
        <v>https://i.postimg.cc/8zXdfkgS/254-Caribou-Pirates-Captain-Caribou.png</v>
      </c>
      <c r="D91" s="266" t="str">
        <f>IFERROR(__xludf.DUMMYFUNCTION("""COMPUTED_VALUE"""),"Caribou Pirates / Captain ~ Caribou")</f>
        <v>Caribou Pirates / Captain ~ Caribou</v>
      </c>
      <c r="E91" s="266" t="str">
        <f>IFERROR(__xludf.DUMMYFUNCTION("""COMPUTED_VALUE"""),"4 Stars")</f>
        <v>4 Stars</v>
      </c>
      <c r="F91" s="266" t="str">
        <f>IFERROR(__xludf.DUMMYFUNCTION("""COMPUTED_VALUE"""),"Step Up")</f>
        <v>Step Up</v>
      </c>
      <c r="G91" s="266" t="str">
        <f>IFERROR(__xludf.DUMMYFUNCTION("""COMPUTED_VALUE"""),"Defender(s) ~ Logia ~ Captain ~ Power users ~ New World")</f>
        <v>Defender(s) ~ Logia ~ Captain ~ Power users ~ New World</v>
      </c>
      <c r="H91" s="266" t="str">
        <f>IFERROR(__xludf.DUMMYFUNCTION("""COMPUTED_VALUE"""),"Red ~ Defender")</f>
        <v>Red ~ Defender</v>
      </c>
      <c r="I91" s="265" t="str">
        <f>IFERROR(__xludf.DUMMYFUNCTION("""COMPUTED_VALUE"""),"https://i.postimg.cc/P5XhRWY7/Red-Defender.png")</f>
        <v>https://i.postimg.cc/P5XhRWY7/Red-Defender.png</v>
      </c>
      <c r="J91" s="267" t="str">
        <f>IFERROR(__xludf.DUMMYFUNCTION("""COMPUTED_VALUE"""),"2023-06-22")</f>
        <v>2023-06-22</v>
      </c>
      <c r="K91" s="263"/>
    </row>
    <row r="92">
      <c r="A92" s="263"/>
      <c r="B92" s="264">
        <f>IFERROR(__xludf.DUMMYFUNCTION("""COMPUTED_VALUE"""),253.0)</f>
        <v>253</v>
      </c>
      <c r="C92" s="265" t="str">
        <f>IFERROR(__xludf.DUMMYFUNCTION("""COMPUTED_VALUE"""),"https://i.postimg.cc/jSSQjw9c/253-Flying-Pirates-Captain-Vander-Decken-IX.png")</f>
        <v>https://i.postimg.cc/jSSQjw9c/253-Flying-Pirates-Captain-Vander-Decken-IX.png</v>
      </c>
      <c r="D92" s="266" t="str">
        <f>IFERROR(__xludf.DUMMYFUNCTION("""COMPUTED_VALUE"""),"Flying Pirates / Captain ~ Vander Decken IX")</f>
        <v>Flying Pirates / Captain ~ Vander Decken IX</v>
      </c>
      <c r="E92" s="266" t="str">
        <f>IFERROR(__xludf.DUMMYFUNCTION("""COMPUTED_VALUE"""),"4 Stars")</f>
        <v>4 Stars</v>
      </c>
      <c r="F92" s="266" t="str">
        <f>IFERROR(__xludf.DUMMYFUNCTION("""COMPUTED_VALUE"""),"Step Up")</f>
        <v>Step Up</v>
      </c>
      <c r="G92" s="266" t="str">
        <f>IFERROR(__xludf.DUMMYFUNCTION("""COMPUTED_VALUE"""),"Attacker(s) ~ Paramecia ~ Captain ~ Fish-Man ~ Power users ~ New World")</f>
        <v>Attacker(s) ~ Paramecia ~ Captain ~ Fish-Man ~ Power users ~ New World</v>
      </c>
      <c r="H92" s="266" t="str">
        <f>IFERROR(__xludf.DUMMYFUNCTION("""COMPUTED_VALUE"""),"Blue ~ Attacker")</f>
        <v>Blue ~ Attacker</v>
      </c>
      <c r="I92" s="265" t="str">
        <f>IFERROR(__xludf.DUMMYFUNCTION("""COMPUTED_VALUE"""),"https://i.postimg.cc/1zRtDxvf/Blue-Attacker.png")</f>
        <v>https://i.postimg.cc/1zRtDxvf/Blue-Attacker.png</v>
      </c>
      <c r="J92" s="267" t="str">
        <f>IFERROR(__xludf.DUMMYFUNCTION("""COMPUTED_VALUE"""),"2023-06-13")</f>
        <v>2023-06-13</v>
      </c>
      <c r="K92" s="263"/>
    </row>
    <row r="93">
      <c r="A93" s="263"/>
      <c r="B93" s="264">
        <f>IFERROR(__xludf.DUMMYFUNCTION("""COMPUTED_VALUE"""),252.0)</f>
        <v>252</v>
      </c>
      <c r="C93" s="265" t="str">
        <f>IFERROR(__xludf.DUMMYFUNCTION("""COMPUTED_VALUE"""),"https://i.postimg.cc/tgLhDrgv/252-Raid-on-Onigashima-Usopp.png")</f>
        <v>https://i.postimg.cc/tgLhDrgv/252-Raid-on-Onigashima-Usopp.png</v>
      </c>
      <c r="D93" s="266" t="str">
        <f>IFERROR(__xludf.DUMMYFUNCTION("""COMPUTED_VALUE"""),"Raid on Onigashima ~ Usopp")</f>
        <v>Raid on Onigashima ~ Usopp</v>
      </c>
      <c r="E93" s="266" t="str">
        <f>IFERROR(__xludf.DUMMYFUNCTION("""COMPUTED_VALUE"""),"4 Stars")</f>
        <v>4 Stars</v>
      </c>
      <c r="F93" s="266" t="str">
        <f>IFERROR(__xludf.DUMMYFUNCTION("""COMPUTED_VALUE"""),"Bounty Festival")</f>
        <v>Bounty Festival</v>
      </c>
      <c r="G93" s="266" t="str">
        <f>IFERROR(__xludf.DUMMYFUNCTION("""COMPUTED_VALUE"""),"Runner(s) ~ Straw Hat Pirates ~ New World ~ Long-Range Normal Attacks")</f>
        <v>Runner(s) ~ Straw Hat Pirates ~ New World ~ Long-Range Normal Attacks</v>
      </c>
      <c r="H93" s="266" t="str">
        <f>IFERROR(__xludf.DUMMYFUNCTION("""COMPUTED_VALUE"""),"Blue ~ Runner")</f>
        <v>Blue ~ Runner</v>
      </c>
      <c r="I93" s="265" t="str">
        <f>IFERROR(__xludf.DUMMYFUNCTION("""COMPUTED_VALUE"""),"https://i.postimg.cc/4NzNM4MY/Blue-Runner.png")</f>
        <v>https://i.postimg.cc/4NzNM4MY/Blue-Runner.png</v>
      </c>
      <c r="J93" s="267" t="str">
        <f>IFERROR(__xludf.DUMMYFUNCTION("""COMPUTED_VALUE"""),"2023-05-30")</f>
        <v>2023-05-30</v>
      </c>
      <c r="K93" s="263"/>
    </row>
    <row r="94">
      <c r="A94" s="263"/>
      <c r="B94" s="264">
        <f>IFERROR(__xludf.DUMMYFUNCTION("""COMPUTED_VALUE"""),251.0)</f>
        <v>251</v>
      </c>
      <c r="C94" s="265" t="str">
        <f>IFERROR(__xludf.DUMMYFUNCTION("""COMPUTED_VALUE"""),"https://i.postimg.cc/B6H2zxLS/251-Raid-on-Onigashima-Nami.png")</f>
        <v>https://i.postimg.cc/B6H2zxLS/251-Raid-on-Onigashima-Nami.png</v>
      </c>
      <c r="D94" s="266" t="str">
        <f>IFERROR(__xludf.DUMMYFUNCTION("""COMPUTED_VALUE"""),"Raid on Onigashima ~ Nami")</f>
        <v>Raid on Onigashima ~ Nami</v>
      </c>
      <c r="E94" s="266" t="str">
        <f>IFERROR(__xludf.DUMMYFUNCTION("""COMPUTED_VALUE"""),"4 Stars")</f>
        <v>4 Stars</v>
      </c>
      <c r="F94" s="266" t="str">
        <f>IFERROR(__xludf.DUMMYFUNCTION("""COMPUTED_VALUE"""),"Bounty Festival")</f>
        <v>Bounty Festival</v>
      </c>
      <c r="G94" s="266" t="str">
        <f>IFERROR(__xludf.DUMMYFUNCTION("""COMPUTED_VALUE"""),"Attacker(s) ~ Straw Hat Pirates ~ New World")</f>
        <v>Attacker(s) ~ Straw Hat Pirates ~ New World</v>
      </c>
      <c r="H94" s="266" t="str">
        <f>IFERROR(__xludf.DUMMYFUNCTION("""COMPUTED_VALUE"""),"Red ~ Attacker")</f>
        <v>Red ~ Attacker</v>
      </c>
      <c r="I94" s="265" t="str">
        <f>IFERROR(__xludf.DUMMYFUNCTION("""COMPUTED_VALUE"""),"https://i.postimg.cc/L6B2DCYf/Red-Attacker.png")</f>
        <v>https://i.postimg.cc/L6B2DCYf/Red-Attacker.png</v>
      </c>
      <c r="J94" s="267" t="str">
        <f>IFERROR(__xludf.DUMMYFUNCTION("""COMPUTED_VALUE"""),"2023-05-30")</f>
        <v>2023-05-30</v>
      </c>
      <c r="K94" s="263"/>
    </row>
    <row r="95">
      <c r="A95" s="263"/>
      <c r="B95" s="264">
        <f>IFERROR(__xludf.DUMMYFUNCTION("""COMPUTED_VALUE"""),250.0)</f>
        <v>250</v>
      </c>
      <c r="C95" s="265" t="str">
        <f>IFERROR(__xludf.DUMMYFUNCTION("""COMPUTED_VALUE"""),"https://i.postimg.cc/mk47WtCQ/250-Okuchi-no-Makami-Yamato.png")</f>
        <v>https://i.postimg.cc/mk47WtCQ/250-Okuchi-no-Makami-Yamato.png</v>
      </c>
      <c r="D95" s="266" t="str">
        <f>IFERROR(__xludf.DUMMYFUNCTION("""COMPUTED_VALUE"""),"Okuchi-no-Makami ~ Yamato")</f>
        <v>Okuchi-no-Makami ~ Yamato</v>
      </c>
      <c r="E95" s="266" t="str">
        <f>IFERROR(__xludf.DUMMYFUNCTION("""COMPUTED_VALUE"""),"4 Stars")</f>
        <v>4 Stars</v>
      </c>
      <c r="F95" s="266" t="str">
        <f>IFERROR(__xludf.DUMMYFUNCTION("""COMPUTED_VALUE"""),"Extreme")</f>
        <v>Extreme</v>
      </c>
      <c r="G95" s="266" t="str">
        <f>IFERROR(__xludf.DUMMYFUNCTION("""COMPUTED_VALUE"""),"Attacker(s) ~ Zoan ~ Power users ~ New World")</f>
        <v>Attacker(s) ~ Zoan ~ Power users ~ New World</v>
      </c>
      <c r="H95" s="266" t="str">
        <f>IFERROR(__xludf.DUMMYFUNCTION("""COMPUTED_VALUE"""),"Blue ~ Attacker")</f>
        <v>Blue ~ Attacker</v>
      </c>
      <c r="I95" s="265" t="str">
        <f>IFERROR(__xludf.DUMMYFUNCTION("""COMPUTED_VALUE"""),"https://i.postimg.cc/1zRtDxvf/Blue-Attacker.png")</f>
        <v>https://i.postimg.cc/1zRtDxvf/Blue-Attacker.png</v>
      </c>
      <c r="J95" s="267" t="str">
        <f>IFERROR(__xludf.DUMMYFUNCTION("""COMPUTED_VALUE"""),"2023-05-17")</f>
        <v>2023-05-17</v>
      </c>
      <c r="K95" s="263"/>
    </row>
    <row r="96">
      <c r="A96" s="263"/>
      <c r="B96" s="264">
        <f>IFERROR(__xludf.DUMMYFUNCTION("""COMPUTED_VALUE"""),249.0)</f>
        <v>249</v>
      </c>
      <c r="C96" s="265" t="str">
        <f>IFERROR(__xludf.DUMMYFUNCTION("""COMPUTED_VALUE"""),"https://i.postimg.cc/zXJTdHJN/249-Raid-on-Onigashima-Brook.png")</f>
        <v>https://i.postimg.cc/zXJTdHJN/249-Raid-on-Onigashima-Brook.png</v>
      </c>
      <c r="D96" s="266" t="str">
        <f>IFERROR(__xludf.DUMMYFUNCTION("""COMPUTED_VALUE"""),"Raid on Onigashima ~ Brook")</f>
        <v>Raid on Onigashima ~ Brook</v>
      </c>
      <c r="E96" s="266" t="str">
        <f>IFERROR(__xludf.DUMMYFUNCTION("""COMPUTED_VALUE"""),"4 Stars")</f>
        <v>4 Stars</v>
      </c>
      <c r="F96" s="266" t="str">
        <f>IFERROR(__xludf.DUMMYFUNCTION("""COMPUTED_VALUE"""),"Bounty Festival")</f>
        <v>Bounty Festival</v>
      </c>
      <c r="G96" s="266" t="str">
        <f>IFERROR(__xludf.DUMMYFUNCTION("""COMPUTED_VALUE"""),"Defender(s) ~ Straw Hat Pirates ~ Paramecia ~ Power users ~ New World")</f>
        <v>Defender(s) ~ Straw Hat Pirates ~ Paramecia ~ Power users ~ New World</v>
      </c>
      <c r="H96" s="266" t="str">
        <f>IFERROR(__xludf.DUMMYFUNCTION("""COMPUTED_VALUE"""),"Red ~ Defender")</f>
        <v>Red ~ Defender</v>
      </c>
      <c r="I96" s="265" t="str">
        <f>IFERROR(__xludf.DUMMYFUNCTION("""COMPUTED_VALUE"""),"https://i.postimg.cc/P5XhRWY7/Red-Defender.png")</f>
        <v>https://i.postimg.cc/P5XhRWY7/Red-Defender.png</v>
      </c>
      <c r="J96" s="267" t="str">
        <f>IFERROR(__xludf.DUMMYFUNCTION("""COMPUTED_VALUE"""),"2023-04-27")</f>
        <v>2023-04-27</v>
      </c>
      <c r="K96" s="263"/>
    </row>
    <row r="97">
      <c r="A97" s="263"/>
      <c r="B97" s="264">
        <f>IFERROR(__xludf.DUMMYFUNCTION("""COMPUTED_VALUE"""),248.0)</f>
        <v>248</v>
      </c>
      <c r="C97" s="265" t="str">
        <f>IFERROR(__xludf.DUMMYFUNCTION("""COMPUTED_VALUE"""),"https://i.postimg.cc/YqbYT29W/248-Raid-on-Onigashima-Nico-Robin.png")</f>
        <v>https://i.postimg.cc/YqbYT29W/248-Raid-on-Onigashima-Nico-Robin.png</v>
      </c>
      <c r="D97" s="266" t="str">
        <f>IFERROR(__xludf.DUMMYFUNCTION("""COMPUTED_VALUE"""),"Raid on Onigashima ~ Nico Robin")</f>
        <v>Raid on Onigashima ~ Nico Robin</v>
      </c>
      <c r="E97" s="266" t="str">
        <f>IFERROR(__xludf.DUMMYFUNCTION("""COMPUTED_VALUE"""),"4 Stars")</f>
        <v>4 Stars</v>
      </c>
      <c r="F97" s="266" t="str">
        <f>IFERROR(__xludf.DUMMYFUNCTION("""COMPUTED_VALUE"""),"Bounty Festival")</f>
        <v>Bounty Festival</v>
      </c>
      <c r="G97" s="266" t="str">
        <f>IFERROR(__xludf.DUMMYFUNCTION("""COMPUTED_VALUE"""),"Attacker(s) ~ Straw Hat Pirates ~ Paramecia ~ Power users ~ New World")</f>
        <v>Attacker(s) ~ Straw Hat Pirates ~ Paramecia ~ Power users ~ New World</v>
      </c>
      <c r="H97" s="266" t="str">
        <f>IFERROR(__xludf.DUMMYFUNCTION("""COMPUTED_VALUE"""),"Blue ~ Attacker")</f>
        <v>Blue ~ Attacker</v>
      </c>
      <c r="I97" s="265" t="str">
        <f>IFERROR(__xludf.DUMMYFUNCTION("""COMPUTED_VALUE"""),"https://i.postimg.cc/1zRtDxvf/Blue-Attacker.png")</f>
        <v>https://i.postimg.cc/1zRtDxvf/Blue-Attacker.png</v>
      </c>
      <c r="J97" s="267" t="str">
        <f>IFERROR(__xludf.DUMMYFUNCTION("""COMPUTED_VALUE"""),"2023-04-27")</f>
        <v>2023-04-27</v>
      </c>
      <c r="K97" s="263"/>
    </row>
    <row r="98">
      <c r="A98" s="263"/>
      <c r="B98" s="264">
        <f>IFERROR(__xludf.DUMMYFUNCTION("""COMPUTED_VALUE"""),247.0)</f>
        <v>247</v>
      </c>
      <c r="C98" s="265" t="str">
        <f>IFERROR(__xludf.DUMMYFUNCTION("""COMPUTED_VALUE"""),"https://i.postimg.cc/htvTnFz3/247-Triple-X-Level-Boxer-Ideo.png")</f>
        <v>https://i.postimg.cc/htvTnFz3/247-Triple-X-Level-Boxer-Ideo.png</v>
      </c>
      <c r="D98" s="266" t="str">
        <f>IFERROR(__xludf.DUMMYFUNCTION("""COMPUTED_VALUE"""),"Triple-X-Level Boxer ~ Ideo")</f>
        <v>Triple-X-Level Boxer ~ Ideo</v>
      </c>
      <c r="E98" s="266" t="str">
        <f>IFERROR(__xludf.DUMMYFUNCTION("""COMPUTED_VALUE"""),"4 Stars")</f>
        <v>4 Stars</v>
      </c>
      <c r="F98" s="266" t="str">
        <f>IFERROR(__xludf.DUMMYFUNCTION("""COMPUTED_VALUE"""),"Step Up")</f>
        <v>Step Up</v>
      </c>
      <c r="G98" s="266" t="str">
        <f>IFERROR(__xludf.DUMMYFUNCTION("""COMPUTED_VALUE"""),"Runner(s) ~ New World")</f>
        <v>Runner(s) ~ New World</v>
      </c>
      <c r="H98" s="266" t="str">
        <f>IFERROR(__xludf.DUMMYFUNCTION("""COMPUTED_VALUE"""),"Red ~ Runner")</f>
        <v>Red ~ Runner</v>
      </c>
      <c r="I98" s="265" t="str">
        <f>IFERROR(__xludf.DUMMYFUNCTION("""COMPUTED_VALUE"""),"https://i.postimg.cc/Hk6HDrtk/Red-Runner.png")</f>
        <v>https://i.postimg.cc/Hk6HDrtk/Red-Runner.png</v>
      </c>
      <c r="J98" s="267" t="str">
        <f>IFERROR(__xludf.DUMMYFUNCTION("""COMPUTED_VALUE"""),"2023-04-13")</f>
        <v>2023-04-13</v>
      </c>
      <c r="K98" s="263"/>
    </row>
    <row r="99">
      <c r="A99" s="263"/>
      <c r="B99" s="264">
        <f>IFERROR(__xludf.DUMMYFUNCTION("""COMPUTED_VALUE"""),246.0)</f>
        <v>246</v>
      </c>
      <c r="C99" s="265" t="str">
        <f>IFERROR(__xludf.DUMMYFUNCTION("""COMPUTED_VALUE"""),"https://i.postimg.cc/nLQmsv14/246-The-Kingdom-of-Prodence-King-Elizabello-II.png")</f>
        <v>https://i.postimg.cc/nLQmsv14/246-The-Kingdom-of-Prodence-King-Elizabello-II.png</v>
      </c>
      <c r="D99" s="266" t="str">
        <f>IFERROR(__xludf.DUMMYFUNCTION("""COMPUTED_VALUE"""),"The Kingdom of Prodence / King ~ Elizabello II")</f>
        <v>The Kingdom of Prodence / King ~ Elizabello II</v>
      </c>
      <c r="E99" s="266" t="str">
        <f>IFERROR(__xludf.DUMMYFUNCTION("""COMPUTED_VALUE"""),"4 Stars")</f>
        <v>4 Stars</v>
      </c>
      <c r="F99" s="266" t="str">
        <f>IFERROR(__xludf.DUMMYFUNCTION("""COMPUTED_VALUE"""),"Step Up")</f>
        <v>Step Up</v>
      </c>
      <c r="G99" s="266" t="str">
        <f>IFERROR(__xludf.DUMMYFUNCTION("""COMPUTED_VALUE"""),"Attacker(s) ~ New World ~ Royalty / Former Royalty")</f>
        <v>Attacker(s) ~ New World ~ Royalty / Former Royalty</v>
      </c>
      <c r="H99" s="266" t="str">
        <f>IFERROR(__xludf.DUMMYFUNCTION("""COMPUTED_VALUE"""),"Red ~ Attacker")</f>
        <v>Red ~ Attacker</v>
      </c>
      <c r="I99" s="265" t="str">
        <f>IFERROR(__xludf.DUMMYFUNCTION("""COMPUTED_VALUE"""),"https://i.postimg.cc/L6B2DCYf/Red-Attacker.png")</f>
        <v>https://i.postimg.cc/L6B2DCYf/Red-Attacker.png</v>
      </c>
      <c r="J99" s="267" t="str">
        <f>IFERROR(__xludf.DUMMYFUNCTION("""COMPUTED_VALUE"""),"2023-04-06")</f>
        <v>2023-04-06</v>
      </c>
      <c r="K99" s="263"/>
    </row>
    <row r="100">
      <c r="A100" s="263"/>
      <c r="B100" s="264">
        <f>IFERROR(__xludf.DUMMYFUNCTION("""COMPUTED_VALUE"""),245.0)</f>
        <v>245</v>
      </c>
      <c r="C100" s="265" t="str">
        <f>IFERROR(__xludf.DUMMYFUNCTION("""COMPUTED_VALUE"""),"https://i.postimg.cc/ZnJvDXzH/245-Disciple-of-the-Martial-Arts-Kung-Fu-Jugon.png")</f>
        <v>https://i.postimg.cc/ZnJvDXzH/245-Disciple-of-the-Martial-Arts-Kung-Fu-Jugon.png</v>
      </c>
      <c r="D100" s="266" t="str">
        <f>IFERROR(__xludf.DUMMYFUNCTION("""COMPUTED_VALUE"""),"Disciple of the Martial Arts ~ Kung Fu Jugon")</f>
        <v>Disciple of the Martial Arts ~ Kung Fu Jugon</v>
      </c>
      <c r="E100" s="266" t="str">
        <f>IFERROR(__xludf.DUMMYFUNCTION("""COMPUTED_VALUE"""),"3 Stars")</f>
        <v>3 Stars</v>
      </c>
      <c r="F100" s="266" t="str">
        <f>IFERROR(__xludf.DUMMYFUNCTION("""COMPUTED_VALUE"""),"Free ~ 3 Stars")</f>
        <v>Free ~ 3 Stars</v>
      </c>
      <c r="G100" s="266" t="str">
        <f>IFERROR(__xludf.DUMMYFUNCTION("""COMPUTED_VALUE"""),"Attacker(s) ~ The Grand Line")</f>
        <v>Attacker(s) ~ The Grand Line</v>
      </c>
      <c r="H100" s="266" t="str">
        <f>IFERROR(__xludf.DUMMYFUNCTION("""COMPUTED_VALUE"""),"Green-Red-Blue ~ Attacker")</f>
        <v>Green-Red-Blue ~ Attacker</v>
      </c>
      <c r="I100" s="265" t="str">
        <f>IFERROR(__xludf.DUMMYFUNCTION("""COMPUTED_VALUE"""),"https://i.postimg.cc/bJqqv61N/Transforming-Element-Green-Attacker.png")</f>
        <v>https://i.postimg.cc/bJqqv61N/Transforming-Element-Green-Attacker.png</v>
      </c>
      <c r="J100" s="267" t="str">
        <f>IFERROR(__xludf.DUMMYFUNCTION("""COMPUTED_VALUE"""),"2023-04-01")</f>
        <v>2023-04-01</v>
      </c>
      <c r="K100" s="263"/>
    </row>
    <row r="101">
      <c r="A101" s="263"/>
      <c r="B101" s="264">
        <f>IFERROR(__xludf.DUMMYFUNCTION("""COMPUTED_VALUE"""),244.0)</f>
        <v>244</v>
      </c>
      <c r="C101" s="265" t="str">
        <f>IFERROR(__xludf.DUMMYFUNCTION("""COMPUTED_VALUE"""),"https://i.postimg.cc/rFnRQhnG/244-Slicing-Winds-of-Rommel-Hakuba.png")</f>
        <v>https://i.postimg.cc/rFnRQhnG/244-Slicing-Winds-of-Rommel-Hakuba.png</v>
      </c>
      <c r="D101" s="266" t="str">
        <f>IFERROR(__xludf.DUMMYFUNCTION("""COMPUTED_VALUE"""),"Slicing Winds of Rommel ~ Hakuba")</f>
        <v>Slicing Winds of Rommel ~ Hakuba</v>
      </c>
      <c r="E101" s="266" t="str">
        <f>IFERROR(__xludf.DUMMYFUNCTION("""COMPUTED_VALUE"""),"4 Stars")</f>
        <v>4 Stars</v>
      </c>
      <c r="F101" s="266" t="str">
        <f>IFERROR(__xludf.DUMMYFUNCTION("""COMPUTED_VALUE"""),"Bounty Festival")</f>
        <v>Bounty Festival</v>
      </c>
      <c r="G101" s="266" t="str">
        <f>IFERROR(__xludf.DUMMYFUNCTION("""COMPUTED_VALUE"""),"Runner(s) ~ Captain ~ New World ~ Royalty / Former Royalty")</f>
        <v>Runner(s) ~ Captain ~ New World ~ Royalty / Former Royalty</v>
      </c>
      <c r="H101" s="266" t="str">
        <f>IFERROR(__xludf.DUMMYFUNCTION("""COMPUTED_VALUE"""),"Blue ~ Runner")</f>
        <v>Blue ~ Runner</v>
      </c>
      <c r="I101" s="265" t="str">
        <f>IFERROR(__xludf.DUMMYFUNCTION("""COMPUTED_VALUE"""),"https://i.postimg.cc/4NzNM4MY/Blue-Runner.png")</f>
        <v>https://i.postimg.cc/4NzNM4MY/Blue-Runner.png</v>
      </c>
      <c r="J101" s="267" t="str">
        <f>IFERROR(__xludf.DUMMYFUNCTION("""COMPUTED_VALUE"""),"2023-03-30")</f>
        <v>2023-03-30</v>
      </c>
      <c r="K101" s="263"/>
    </row>
    <row r="102">
      <c r="A102" s="263"/>
      <c r="B102" s="264">
        <f>IFERROR(__xludf.DUMMYFUNCTION("""COMPUTED_VALUE"""),243.0)</f>
        <v>243</v>
      </c>
      <c r="C102" s="265" t="str">
        <f>IFERROR(__xludf.DUMMYFUNCTION("""COMPUTED_VALUE"""),"https://i.postimg.cc/sgbQRMRv/243-Former-Happosui-Army-12th-Chief-Chin-Jao.png")</f>
        <v>https://i.postimg.cc/sgbQRMRv/243-Former-Happosui-Army-12th-Chief-Chin-Jao.png</v>
      </c>
      <c r="D102" s="266" t="str">
        <f>IFERROR(__xludf.DUMMYFUNCTION("""COMPUTED_VALUE"""),"Former Happosui Army / 12th Chief ~ Chin Jao")</f>
        <v>Former Happosui Army / 12th Chief ~ Chin Jao</v>
      </c>
      <c r="E102" s="266" t="str">
        <f>IFERROR(__xludf.DUMMYFUNCTION("""COMPUTED_VALUE"""),"4 Stars")</f>
        <v>4 Stars</v>
      </c>
      <c r="F102" s="266" t="str">
        <f>IFERROR(__xludf.DUMMYFUNCTION("""COMPUTED_VALUE"""),"Bounty Festival")</f>
        <v>Bounty Festival</v>
      </c>
      <c r="G102" s="266" t="str">
        <f>IFERROR(__xludf.DUMMYFUNCTION("""COMPUTED_VALUE"""),"Defender(s) ~ New World")</f>
        <v>Defender(s) ~ New World</v>
      </c>
      <c r="H102" s="266" t="str">
        <f>IFERROR(__xludf.DUMMYFUNCTION("""COMPUTED_VALUE"""),"Blue ~ Defender")</f>
        <v>Blue ~ Defender</v>
      </c>
      <c r="I102" s="265" t="str">
        <f>IFERROR(__xludf.DUMMYFUNCTION("""COMPUTED_VALUE"""),"https://i.postimg.cc/m2xg81dx/Blue-Defender.png")</f>
        <v>https://i.postimg.cc/m2xg81dx/Blue-Defender.png</v>
      </c>
      <c r="J102" s="267" t="str">
        <f>IFERROR(__xludf.DUMMYFUNCTION("""COMPUTED_VALUE"""),"2023-03-30")</f>
        <v>2023-03-30</v>
      </c>
      <c r="K102" s="263"/>
    </row>
    <row r="103">
      <c r="A103" s="263"/>
      <c r="B103" s="264">
        <f>IFERROR(__xludf.DUMMYFUNCTION("""COMPUTED_VALUE"""),242.0)</f>
        <v>242</v>
      </c>
      <c r="C103" s="265" t="str">
        <f>IFERROR(__xludf.DUMMYFUNCTION("""COMPUTED_VALUE"""),"https://i.postimg.cc/hjBXfNvn/242-Big-Mom-Pirates-Crewmate-Charoltte-Oven.png")</f>
        <v>https://i.postimg.cc/hjBXfNvn/242-Big-Mom-Pirates-Crewmate-Charoltte-Oven.png</v>
      </c>
      <c r="D103" s="266" t="str">
        <f>IFERROR(__xludf.DUMMYFUNCTION("""COMPUTED_VALUE"""),"Big Mom Pirates / Crewmate ~ Charoltte Oven")</f>
        <v>Big Mom Pirates / Crewmate ~ Charoltte Oven</v>
      </c>
      <c r="E103" s="266" t="str">
        <f>IFERROR(__xludf.DUMMYFUNCTION("""COMPUTED_VALUE"""),"4 Stars")</f>
        <v>4 Stars</v>
      </c>
      <c r="F103" s="266" t="str">
        <f>IFERROR(__xludf.DUMMYFUNCTION("""COMPUTED_VALUE"""),"Step Up")</f>
        <v>Step Up</v>
      </c>
      <c r="G103" s="266" t="str">
        <f>IFERROR(__xludf.DUMMYFUNCTION("""COMPUTED_VALUE"""),"Defender(s) ~ Paramecia ~ Power users ~ New World ~ Charlotte Family ~ Royalty / Former Royalty")</f>
        <v>Defender(s) ~ Paramecia ~ Power users ~ New World ~ Charlotte Family ~ Royalty / Former Royalty</v>
      </c>
      <c r="H103" s="266" t="str">
        <f>IFERROR(__xludf.DUMMYFUNCTION("""COMPUTED_VALUE"""),"Red ~ Defender")</f>
        <v>Red ~ Defender</v>
      </c>
      <c r="I103" s="265" t="str">
        <f>IFERROR(__xludf.DUMMYFUNCTION("""COMPUTED_VALUE"""),"https://i.postimg.cc/P5XhRWY7/Red-Defender.png")</f>
        <v>https://i.postimg.cc/P5XhRWY7/Red-Defender.png</v>
      </c>
      <c r="J103" s="267" t="str">
        <f>IFERROR(__xludf.DUMMYFUNCTION("""COMPUTED_VALUE"""),"2023-03-20")</f>
        <v>2023-03-20</v>
      </c>
      <c r="K103" s="263"/>
    </row>
    <row r="104">
      <c r="A104" s="263"/>
      <c r="B104" s="264">
        <f>IFERROR(__xludf.DUMMYFUNCTION("""COMPUTED_VALUE"""),241.0)</f>
        <v>241</v>
      </c>
      <c r="C104" s="265" t="str">
        <f>IFERROR(__xludf.DUMMYFUNCTION("""COMPUTED_VALUE"""),"https://i.postimg.cc/3NrWZp2b/241-Leader-of-the-Whale-Forest-Guardians-Pedro.png")</f>
        <v>https://i.postimg.cc/3NrWZp2b/241-Leader-of-the-Whale-Forest-Guardians-Pedro.png</v>
      </c>
      <c r="D104" s="266" t="str">
        <f>IFERROR(__xludf.DUMMYFUNCTION("""COMPUTED_VALUE"""),"Leader of the Whale Forest Guardians ~ Pedro")</f>
        <v>Leader of the Whale Forest Guardians ~ Pedro</v>
      </c>
      <c r="E104" s="266" t="str">
        <f>IFERROR(__xludf.DUMMYFUNCTION("""COMPUTED_VALUE"""),"4 Stars")</f>
        <v>4 Stars</v>
      </c>
      <c r="F104" s="266" t="str">
        <f>IFERROR(__xludf.DUMMYFUNCTION("""COMPUTED_VALUE"""),"Step Up")</f>
        <v>Step Up</v>
      </c>
      <c r="G104" s="266" t="str">
        <f>IFERROR(__xludf.DUMMYFUNCTION("""COMPUTED_VALUE"""),"Attacker(s) ~ New World ~ Minks")</f>
        <v>Attacker(s) ~ New World ~ Minks</v>
      </c>
      <c r="H104" s="266" t="str">
        <f>IFERROR(__xludf.DUMMYFUNCTION("""COMPUTED_VALUE"""),"Green ~ Attacker")</f>
        <v>Green ~ Attacker</v>
      </c>
      <c r="I104" s="265" t="str">
        <f>IFERROR(__xludf.DUMMYFUNCTION("""COMPUTED_VALUE"""),"https://i.postimg.cc/0NH8mz6B/Green-Attacker.png")</f>
        <v>https://i.postimg.cc/0NH8mz6B/Green-Attacker.png</v>
      </c>
      <c r="J104" s="267" t="str">
        <f>IFERROR(__xludf.DUMMYFUNCTION("""COMPUTED_VALUE"""),"2023-03-16")</f>
        <v>2023-03-16</v>
      </c>
      <c r="K104" s="263"/>
    </row>
    <row r="105">
      <c r="A105" s="263"/>
      <c r="B105" s="264">
        <f>IFERROR(__xludf.DUMMYFUNCTION("""COMPUTED_VALUE"""),240.0)</f>
        <v>240</v>
      </c>
      <c r="C105" s="265" t="str">
        <f>IFERROR(__xludf.DUMMYFUNCTION("""COMPUTED_VALUE"""),"https://i.postimg.cc/j28235Xq/240-Big-Mom-Pirates-Crewmate-Charlotte-Brulee.png")</f>
        <v>https://i.postimg.cc/j28235Xq/240-Big-Mom-Pirates-Crewmate-Charlotte-Brulee.png</v>
      </c>
      <c r="D105" s="266" t="str">
        <f>IFERROR(__xludf.DUMMYFUNCTION("""COMPUTED_VALUE"""),"Big Mom Pirates / Crewmate ~ Charlotte Brulee")</f>
        <v>Big Mom Pirates / Crewmate ~ Charlotte Brulee</v>
      </c>
      <c r="E105" s="266" t="str">
        <f>IFERROR(__xludf.DUMMYFUNCTION("""COMPUTED_VALUE"""),"4 Stars")</f>
        <v>4 Stars</v>
      </c>
      <c r="F105" s="266" t="str">
        <f>IFERROR(__xludf.DUMMYFUNCTION("""COMPUTED_VALUE"""),"Bounty Festival")</f>
        <v>Bounty Festival</v>
      </c>
      <c r="G105" s="266" t="str">
        <f>IFERROR(__xludf.DUMMYFUNCTION("""COMPUTED_VALUE"""),"Defender(s) ~ Paramecia ~ Power users ~ New World ~ Charlotte Family ~ Royalty / Former Royalty")</f>
        <v>Defender(s) ~ Paramecia ~ Power users ~ New World ~ Charlotte Family ~ Royalty / Former Royalty</v>
      </c>
      <c r="H105" s="266" t="str">
        <f>IFERROR(__xludf.DUMMYFUNCTION("""COMPUTED_VALUE"""),"Red ~ Defender")</f>
        <v>Red ~ Defender</v>
      </c>
      <c r="I105" s="265" t="str">
        <f>IFERROR(__xludf.DUMMYFUNCTION("""COMPUTED_VALUE"""),"https://i.postimg.cc/P5XhRWY7/Red-Defender.png")</f>
        <v>https://i.postimg.cc/P5XhRWY7/Red-Defender.png</v>
      </c>
      <c r="J105" s="267" t="str">
        <f>IFERROR(__xludf.DUMMYFUNCTION("""COMPUTED_VALUE"""),"2023-02-28")</f>
        <v>2023-02-28</v>
      </c>
      <c r="K105" s="263"/>
    </row>
    <row r="106">
      <c r="A106" s="263"/>
      <c r="B106" s="264">
        <f>IFERROR(__xludf.DUMMYFUNCTION("""COMPUTED_VALUE"""),239.0)</f>
        <v>239</v>
      </c>
      <c r="C106" s="265" t="str">
        <f>IFERROR(__xludf.DUMMYFUNCTION("""COMPUTED_VALUE"""),"https://i.postimg.cc/HsxVcwYr/239-Big-Mom-Pirates-Sweet-3-General-Charlotte-Cracker.png")</f>
        <v>https://i.postimg.cc/HsxVcwYr/239-Big-Mom-Pirates-Sweet-3-General-Charlotte-Cracker.png</v>
      </c>
      <c r="D106" s="266" t="str">
        <f>IFERROR(__xludf.DUMMYFUNCTION("""COMPUTED_VALUE"""),"Big Mom Pirates / ""Sweet 3"" General ~ Charlotte Cracker")</f>
        <v>Big Mom Pirates / "Sweet 3" General ~ Charlotte Cracker</v>
      </c>
      <c r="E106" s="266" t="str">
        <f>IFERROR(__xludf.DUMMYFUNCTION("""COMPUTED_VALUE"""),"4 Stars")</f>
        <v>4 Stars</v>
      </c>
      <c r="F106" s="266" t="str">
        <f>IFERROR(__xludf.DUMMYFUNCTION("""COMPUTED_VALUE"""),"Bounty Festival")</f>
        <v>Bounty Festival</v>
      </c>
      <c r="G106" s="266" t="str">
        <f>IFERROR(__xludf.DUMMYFUNCTION("""COMPUTED_VALUE"""),"Attacker(s) ~ Paramecia ~ Power users ~ New World ~ Charlotte Family ~ Royalty / Former Royalty")</f>
        <v>Attacker(s) ~ Paramecia ~ Power users ~ New World ~ Charlotte Family ~ Royalty / Former Royalty</v>
      </c>
      <c r="H106" s="266" t="str">
        <f>IFERROR(__xludf.DUMMYFUNCTION("""COMPUTED_VALUE"""),"Blue ~ Attacker")</f>
        <v>Blue ~ Attacker</v>
      </c>
      <c r="I106" s="265" t="str">
        <f>IFERROR(__xludf.DUMMYFUNCTION("""COMPUTED_VALUE"""),"https://i.postimg.cc/1zRtDxvf/Blue-Attacker.png")</f>
        <v>https://i.postimg.cc/1zRtDxvf/Blue-Attacker.png</v>
      </c>
      <c r="J106" s="267" t="str">
        <f>IFERROR(__xludf.DUMMYFUNCTION("""COMPUTED_VALUE"""),"2023-02-28")</f>
        <v>2023-02-28</v>
      </c>
      <c r="K106" s="263"/>
    </row>
    <row r="107">
      <c r="A107" s="263"/>
      <c r="B107" s="264">
        <f>IFERROR(__xludf.DUMMYFUNCTION("""COMPUTED_VALUE"""),238.0)</f>
        <v>238</v>
      </c>
      <c r="C107" s="265" t="str">
        <f>IFERROR(__xludf.DUMMYFUNCTION("""COMPUTED_VALUE"""),"https://i.postimg.cc/5tw0dp3R/238-First-Act-as-a-Married-Couple-Charlotte-Pudding.png")</f>
        <v>https://i.postimg.cc/5tw0dp3R/238-First-Act-as-a-Married-Couple-Charlotte-Pudding.png</v>
      </c>
      <c r="D107" s="266" t="str">
        <f>IFERROR(__xludf.DUMMYFUNCTION("""COMPUTED_VALUE"""),"First Act as a Married Couple ~ Charlotte Pudding")</f>
        <v>First Act as a Married Couple ~ Charlotte Pudding</v>
      </c>
      <c r="E107" s="266" t="str">
        <f>IFERROR(__xludf.DUMMYFUNCTION("""COMPUTED_VALUE"""),"4 Stars")</f>
        <v>4 Stars</v>
      </c>
      <c r="F107" s="266" t="str">
        <f>IFERROR(__xludf.DUMMYFUNCTION("""COMPUTED_VALUE"""),"Step Up")</f>
        <v>Step Up</v>
      </c>
      <c r="G107" s="266" t="str">
        <f>IFERROR(__xludf.DUMMYFUNCTION("""COMPUTED_VALUE"""),"Defender(s) ~ Paramecia ~ Power users ~ New World ~ Charlotte Family ~ Royalty / Former Royalty")</f>
        <v>Defender(s) ~ Paramecia ~ Power users ~ New World ~ Charlotte Family ~ Royalty / Former Royalty</v>
      </c>
      <c r="H107" s="266" t="str">
        <f>IFERROR(__xludf.DUMMYFUNCTION("""COMPUTED_VALUE"""),"Green ~ Defender")</f>
        <v>Green ~ Defender</v>
      </c>
      <c r="I107" s="265" t="str">
        <f>IFERROR(__xludf.DUMMYFUNCTION("""COMPUTED_VALUE"""),"https://i.postimg.cc/qRhpGpyM/Green-Defender.png")</f>
        <v>https://i.postimg.cc/qRhpGpyM/Green-Defender.png</v>
      </c>
      <c r="J107" s="267" t="str">
        <f>IFERROR(__xludf.DUMMYFUNCTION("""COMPUTED_VALUE"""),"2023-02-09")</f>
        <v>2023-02-09</v>
      </c>
      <c r="K107" s="263"/>
    </row>
    <row r="108">
      <c r="A108" s="263"/>
      <c r="B108" s="264">
        <f>IFERROR(__xludf.DUMMYFUNCTION("""COMPUTED_VALUE"""),237.0)</f>
        <v>237</v>
      </c>
      <c r="C108" s="265" t="str">
        <f>IFERROR(__xludf.DUMMYFUNCTION("""COMPUTED_VALUE"""),"https://i.postimg.cc/pTRd28cX/237-Animal-Kingdom-Pirates-Tobi-Roppo-Who-s-Who.png")</f>
        <v>https://i.postimg.cc/pTRd28cX/237-Animal-Kingdom-Pirates-Tobi-Roppo-Who-s-Who.png</v>
      </c>
      <c r="D108" s="266" t="str">
        <f>IFERROR(__xludf.DUMMYFUNCTION("""COMPUTED_VALUE"""),"Animal Kingdom Pirates / Tobi Roppo ~ Who`s-Who")</f>
        <v>Animal Kingdom Pirates / Tobi Roppo ~ Who`s-Who</v>
      </c>
      <c r="E108" s="266" t="str">
        <f>IFERROR(__xludf.DUMMYFUNCTION("""COMPUTED_VALUE"""),"4 Stars")</f>
        <v>4 Stars</v>
      </c>
      <c r="F108" s="266" t="str">
        <f>IFERROR(__xludf.DUMMYFUNCTION("""COMPUTED_VALUE"""),"Bounty Festival")</f>
        <v>Bounty Festival</v>
      </c>
      <c r="G108" s="266" t="str">
        <f>IFERROR(__xludf.DUMMYFUNCTION("""COMPUTED_VALUE"""),"Attacker(s) ~ Zoan ~ Power users ~ New World ~ Animal Kingdom Pirates")</f>
        <v>Attacker(s) ~ Zoan ~ Power users ~ New World ~ Animal Kingdom Pirates</v>
      </c>
      <c r="H108" s="266" t="str">
        <f>IFERROR(__xludf.DUMMYFUNCTION("""COMPUTED_VALUE"""),"Green ~ Attacker")</f>
        <v>Green ~ Attacker</v>
      </c>
      <c r="I108" s="265" t="str">
        <f>IFERROR(__xludf.DUMMYFUNCTION("""COMPUTED_VALUE"""),"https://i.postimg.cc/0NH8mz6B/Green-Attacker.png")</f>
        <v>https://i.postimg.cc/0NH8mz6B/Green-Attacker.png</v>
      </c>
      <c r="J108" s="267" t="str">
        <f>IFERROR(__xludf.DUMMYFUNCTION("""COMPUTED_VALUE"""),"2023-02-02")</f>
        <v>2023-02-02</v>
      </c>
      <c r="K108" s="263"/>
    </row>
    <row r="109">
      <c r="A109" s="263"/>
      <c r="B109" s="264">
        <f>IFERROR(__xludf.DUMMYFUNCTION("""COMPUTED_VALUE"""),236.0)</f>
        <v>236</v>
      </c>
      <c r="C109" s="265" t="str">
        <f>IFERROR(__xludf.DUMMYFUNCTION("""COMPUTED_VALUE"""),"https://i.postimg.cc/vBhZDBC7/236-Raid-on-Onigashima-Jinbe.png")</f>
        <v>https://i.postimg.cc/vBhZDBC7/236-Raid-on-Onigashima-Jinbe.png</v>
      </c>
      <c r="D109" s="266" t="str">
        <f>IFERROR(__xludf.DUMMYFUNCTION("""COMPUTED_VALUE"""),"Raid on Onigashima ~ Jinbe")</f>
        <v>Raid on Onigashima ~ Jinbe</v>
      </c>
      <c r="E109" s="266" t="str">
        <f>IFERROR(__xludf.DUMMYFUNCTION("""COMPUTED_VALUE"""),"4 Stars")</f>
        <v>4 Stars</v>
      </c>
      <c r="F109" s="266" t="str">
        <f>IFERROR(__xludf.DUMMYFUNCTION("""COMPUTED_VALUE"""),"Bounty Festival")</f>
        <v>Bounty Festival</v>
      </c>
      <c r="G109" s="266" t="str">
        <f>IFERROR(__xludf.DUMMYFUNCTION("""COMPUTED_VALUE"""),"Defender(s) ~ The Seven Warlords of the Sea / Former Warlords of the Sea ~ Straw Hat Pirates ~ Fish-Man ~ New World")</f>
        <v>Defender(s) ~ The Seven Warlords of the Sea / Former Warlords of the Sea ~ Straw Hat Pirates ~ Fish-Man ~ New World</v>
      </c>
      <c r="H109" s="266" t="str">
        <f>IFERROR(__xludf.DUMMYFUNCTION("""COMPUTED_VALUE"""),"Blue ~ Defender")</f>
        <v>Blue ~ Defender</v>
      </c>
      <c r="I109" s="265" t="str">
        <f>IFERROR(__xludf.DUMMYFUNCTION("""COMPUTED_VALUE"""),"https://i.postimg.cc/m2xg81dx/Blue-Defender.png")</f>
        <v>https://i.postimg.cc/m2xg81dx/Blue-Defender.png</v>
      </c>
      <c r="J109" s="267" t="str">
        <f>IFERROR(__xludf.DUMMYFUNCTION("""COMPUTED_VALUE"""),"2023-02-02")</f>
        <v>2023-02-02</v>
      </c>
      <c r="K109" s="263"/>
    </row>
    <row r="110">
      <c r="A110" s="263"/>
      <c r="B110" s="264">
        <f>IFERROR(__xludf.DUMMYFUNCTION("""COMPUTED_VALUE"""),235.0)</f>
        <v>235</v>
      </c>
      <c r="C110" s="265" t="str">
        <f>IFERROR(__xludf.DUMMYFUNCTION("""COMPUTED_VALUE"""),"https://i.postimg.cc/d3SQmfsL/235-Raid-on-Onigashima-Roronoa-Zoro.png")</f>
        <v>https://i.postimg.cc/d3SQmfsL/235-Raid-on-Onigashima-Roronoa-Zoro.png</v>
      </c>
      <c r="D110" s="266" t="str">
        <f>IFERROR(__xludf.DUMMYFUNCTION("""COMPUTED_VALUE"""),"Raid on Onigashima ~ Roronoa Zoro")</f>
        <v>Raid on Onigashima ~ Roronoa Zoro</v>
      </c>
      <c r="E110" s="266" t="str">
        <f>IFERROR(__xludf.DUMMYFUNCTION("""COMPUTED_VALUE"""),"4 Stars")</f>
        <v>4 Stars</v>
      </c>
      <c r="F110" s="266" t="str">
        <f>IFERROR(__xludf.DUMMYFUNCTION("""COMPUTED_VALUE"""),"Extreme")</f>
        <v>Extreme</v>
      </c>
      <c r="G110" s="266" t="str">
        <f>IFERROR(__xludf.DUMMYFUNCTION("""COMPUTED_VALUE"""),"Attacker(s) ~ Straw Hat Pirates ~ New World ~ Worst Generation")</f>
        <v>Attacker(s) ~ Straw Hat Pirates ~ New World ~ Worst Generation</v>
      </c>
      <c r="H110" s="266" t="str">
        <f>IFERROR(__xludf.DUMMYFUNCTION("""COMPUTED_VALUE"""),"Red-Blue-Green ~ Attacker")</f>
        <v>Red-Blue-Green ~ Attacker</v>
      </c>
      <c r="I110" s="265" t="str">
        <f>IFERROR(__xludf.DUMMYFUNCTION("""COMPUTED_VALUE"""),"https://i.postimg.cc/KjHbJxwR/Transforming-Element-Red-Attacker.png")</f>
        <v>https://i.postimg.cc/KjHbJxwR/Transforming-Element-Red-Attacker.png</v>
      </c>
      <c r="J110" s="267" t="str">
        <f>IFERROR(__xludf.DUMMYFUNCTION("""COMPUTED_VALUE"""),"2023-01-26")</f>
        <v>2023-01-26</v>
      </c>
      <c r="K110" s="263"/>
    </row>
    <row r="111">
      <c r="A111" s="263"/>
      <c r="B111" s="264">
        <f>IFERROR(__xludf.DUMMYFUNCTION("""COMPUTED_VALUE"""),234.0)</f>
        <v>234</v>
      </c>
      <c r="C111" s="265" t="str">
        <f>IFERROR(__xludf.DUMMYFUNCTION("""COMPUTED_VALUE"""),"https://i.postimg.cc/HWSLgrwd/234-Battle-of-Monsters-on-Onigashima-Kaido.png")</f>
        <v>https://i.postimg.cc/HWSLgrwd/234-Battle-of-Monsters-on-Onigashima-Kaido.png</v>
      </c>
      <c r="D111" s="266" t="str">
        <f>IFERROR(__xludf.DUMMYFUNCTION("""COMPUTED_VALUE"""),"Battle of Monsters on Onigashima ~ Kaido")</f>
        <v>Battle of Monsters on Onigashima ~ Kaido</v>
      </c>
      <c r="E111" s="266" t="str">
        <f>IFERROR(__xludf.DUMMYFUNCTION("""COMPUTED_VALUE"""),"4 Stars")</f>
        <v>4 Stars</v>
      </c>
      <c r="F111" s="266" t="str">
        <f>IFERROR(__xludf.DUMMYFUNCTION("""COMPUTED_VALUE"""),"Extreme")</f>
        <v>Extreme</v>
      </c>
      <c r="G111" s="266" t="str">
        <f>IFERROR(__xludf.DUMMYFUNCTION("""COMPUTED_VALUE"""),"Runner(s) ~ Zoan ~ Captain ~ Power users ~ New World ~ Animal Kingdom Pirates")</f>
        <v>Runner(s) ~ Zoan ~ Captain ~ Power users ~ New World ~ Animal Kingdom Pirates</v>
      </c>
      <c r="H111" s="266" t="str">
        <f>IFERROR(__xludf.DUMMYFUNCTION("""COMPUTED_VALUE"""),"Green ~ Runner")</f>
        <v>Green ~ Runner</v>
      </c>
      <c r="I111" s="265" t="str">
        <f>IFERROR(__xludf.DUMMYFUNCTION("""COMPUTED_VALUE"""),"https://i.postimg.cc/PxgT30Qb/Green-Runner.png")</f>
        <v>https://i.postimg.cc/PxgT30Qb/Green-Runner.png</v>
      </c>
      <c r="J111" s="267" t="str">
        <f>IFERROR(__xludf.DUMMYFUNCTION("""COMPUTED_VALUE"""),"2023-01-10")</f>
        <v>2023-01-10</v>
      </c>
      <c r="K111" s="263"/>
    </row>
    <row r="112">
      <c r="A112" s="263"/>
      <c r="B112" s="264">
        <f>IFERROR(__xludf.DUMMYFUNCTION("""COMPUTED_VALUE"""),233.0)</f>
        <v>233</v>
      </c>
      <c r="C112" s="265" t="str">
        <f>IFERROR(__xludf.DUMMYFUNCTION("""COMPUTED_VALUE"""),"https://i.postimg.cc/Kvwv1CpW/233-Battle-of-Monsters-on-Onigashima-Olin-the-Oiran.png")</f>
        <v>https://i.postimg.cc/Kvwv1CpW/233-Battle-of-Monsters-on-Onigashima-Olin-the-Oiran.png</v>
      </c>
      <c r="D112" s="266" t="str">
        <f>IFERROR(__xludf.DUMMYFUNCTION("""COMPUTED_VALUE"""),"Battle of Monsters on Onigashima ~ Olin the Oiran")</f>
        <v>Battle of Monsters on Onigashima ~ Olin the Oiran</v>
      </c>
      <c r="E112" s="266" t="str">
        <f>IFERROR(__xludf.DUMMYFUNCTION("""COMPUTED_VALUE"""),"4 Stars")</f>
        <v>4 Stars</v>
      </c>
      <c r="F112" s="266" t="str">
        <f>IFERROR(__xludf.DUMMYFUNCTION("""COMPUTED_VALUE"""),"Extreme")</f>
        <v>Extreme</v>
      </c>
      <c r="G112" s="266" t="str">
        <f>IFERROR(__xludf.DUMMYFUNCTION("""COMPUTED_VALUE"""),"Defender(s) ~ Paramecia ~ Captain ~ Power users ~ New World ~ Charlotte Family ~ Royalty / Former Royalty")</f>
        <v>Defender(s) ~ Paramecia ~ Captain ~ Power users ~ New World ~ Charlotte Family ~ Royalty / Former Royalty</v>
      </c>
      <c r="H112" s="266" t="str">
        <f>IFERROR(__xludf.DUMMYFUNCTION("""COMPUTED_VALUE"""),"Red ~ Defender-Runner")</f>
        <v>Red ~ Defender-Runner</v>
      </c>
      <c r="I112" s="265" t="str">
        <f>IFERROR(__xludf.DUMMYFUNCTION("""COMPUTED_VALUE"""),"https://i.postimg.cc/k4wqRxyN/Transforming-Class-Red-Defender.png")</f>
        <v>https://i.postimg.cc/k4wqRxyN/Transforming-Class-Red-Defender.png</v>
      </c>
      <c r="J112" s="267" t="str">
        <f>IFERROR(__xludf.DUMMYFUNCTION("""COMPUTED_VALUE"""),"2023-01-01")</f>
        <v>2023-01-01</v>
      </c>
      <c r="K112" s="263"/>
    </row>
    <row r="113">
      <c r="A113" s="263"/>
      <c r="B113" s="264">
        <f>IFERROR(__xludf.DUMMYFUNCTION("""COMPUTED_VALUE"""),232.0)</f>
        <v>232</v>
      </c>
      <c r="C113" s="265" t="str">
        <f>IFERROR(__xludf.DUMMYFUNCTION("""COMPUTED_VALUE"""),"https://i.postimg.cc/zGhDKp9G/232-ODYSSEY-Adio-Suerte.png")</f>
        <v>https://i.postimg.cc/zGhDKp9G/232-ODYSSEY-Adio-Suerte.png</v>
      </c>
      <c r="D113" s="266" t="str">
        <f>IFERROR(__xludf.DUMMYFUNCTION("""COMPUTED_VALUE"""),"ODYSSEY ~ Adio Suerte")</f>
        <v>ODYSSEY ~ Adio Suerte</v>
      </c>
      <c r="E113" s="266" t="str">
        <f>IFERROR(__xludf.DUMMYFUNCTION("""COMPUTED_VALUE"""),"4 Stars")</f>
        <v>4 Stars</v>
      </c>
      <c r="F113" s="266" t="str">
        <f>IFERROR(__xludf.DUMMYFUNCTION("""COMPUTED_VALUE"""),"Free ~ 4 Stars")</f>
        <v>Free ~ 4 Stars</v>
      </c>
      <c r="G113" s="266" t="str">
        <f>IFERROR(__xludf.DUMMYFUNCTION("""COMPUTED_VALUE"""),"Attacker(s) ~ New World")</f>
        <v>Attacker(s) ~ New World</v>
      </c>
      <c r="H113" s="266" t="str">
        <f>IFERROR(__xludf.DUMMYFUNCTION("""COMPUTED_VALUE"""),"Blue ~ Attacker")</f>
        <v>Blue ~ Attacker</v>
      </c>
      <c r="I113" s="265" t="str">
        <f>IFERROR(__xludf.DUMMYFUNCTION("""COMPUTED_VALUE"""),"https://i.postimg.cc/1zRtDxvf/Blue-Attacker.png")</f>
        <v>https://i.postimg.cc/1zRtDxvf/Blue-Attacker.png</v>
      </c>
      <c r="J113" s="267" t="str">
        <f>IFERROR(__xludf.DUMMYFUNCTION("""COMPUTED_VALUE"""),"2022-12-19")</f>
        <v>2022-12-19</v>
      </c>
      <c r="K113" s="263"/>
    </row>
    <row r="114">
      <c r="A114" s="263"/>
      <c r="B114" s="264">
        <f>IFERROR(__xludf.DUMMYFUNCTION("""COMPUTED_VALUE"""),231.0)</f>
        <v>231</v>
      </c>
      <c r="C114" s="265" t="str">
        <f>IFERROR(__xludf.DUMMYFUNCTION("""COMPUTED_VALUE"""),"https://i.postimg.cc/JhWrqZLc/231-Animal-Kingdom-Pirates-Lead-Performer-King.png")</f>
        <v>https://i.postimg.cc/JhWrqZLc/231-Animal-Kingdom-Pirates-Lead-Performer-King.png</v>
      </c>
      <c r="D114" s="266" t="str">
        <f>IFERROR(__xludf.DUMMYFUNCTION("""COMPUTED_VALUE"""),"Animal Kingdom Pirates / Lead Performer ~ King")</f>
        <v>Animal Kingdom Pirates / Lead Performer ~ King</v>
      </c>
      <c r="E114" s="266" t="str">
        <f>IFERROR(__xludf.DUMMYFUNCTION("""COMPUTED_VALUE"""),"4 Stars")</f>
        <v>4 Stars</v>
      </c>
      <c r="F114" s="266" t="str">
        <f>IFERROR(__xludf.DUMMYFUNCTION("""COMPUTED_VALUE"""),"Bounty Festival")</f>
        <v>Bounty Festival</v>
      </c>
      <c r="G114" s="266" t="str">
        <f>IFERROR(__xludf.DUMMYFUNCTION("""COMPUTED_VALUE"""),"Runner(s) ~ Zoan ~ Power users ~ New World ~ Animal Kingdom Pirates")</f>
        <v>Runner(s) ~ Zoan ~ Power users ~ New World ~ Animal Kingdom Pirates</v>
      </c>
      <c r="H114" s="266" t="str">
        <f>IFERROR(__xludf.DUMMYFUNCTION("""COMPUTED_VALUE"""),"Red ~ Runner")</f>
        <v>Red ~ Runner</v>
      </c>
      <c r="I114" s="265" t="str">
        <f>IFERROR(__xludf.DUMMYFUNCTION("""COMPUTED_VALUE"""),"https://i.postimg.cc/Hk6HDrtk/Red-Runner.png")</f>
        <v>https://i.postimg.cc/Hk6HDrtk/Red-Runner.png</v>
      </c>
      <c r="J114" s="267" t="str">
        <f>IFERROR(__xludf.DUMMYFUNCTION("""COMPUTED_VALUE"""),"2022-12-19")</f>
        <v>2022-12-19</v>
      </c>
      <c r="K114" s="263"/>
    </row>
    <row r="115">
      <c r="A115" s="263"/>
      <c r="B115" s="264">
        <f>IFERROR(__xludf.DUMMYFUNCTION("""COMPUTED_VALUE"""),230.0)</f>
        <v>230</v>
      </c>
      <c r="C115" s="265" t="str">
        <f>IFERROR(__xludf.DUMMYFUNCTION("""COMPUTED_VALUE"""),"https://i.postimg.cc/vTDbBvrM/230-Top-Secret-Special-Force-Captain-of-Sword-X-Drake.png")</f>
        <v>https://i.postimg.cc/vTDbBvrM/230-Top-Secret-Special-Force-Captain-of-Sword-X-Drake.png</v>
      </c>
      <c r="D115" s="266" t="str">
        <f>IFERROR(__xludf.DUMMYFUNCTION("""COMPUTED_VALUE"""),"Top Secret Special Force Captain of ""Sword"" ~ X. Drake")</f>
        <v>Top Secret Special Force Captain of "Sword" ~ X. Drake</v>
      </c>
      <c r="E115" s="266" t="str">
        <f>IFERROR(__xludf.DUMMYFUNCTION("""COMPUTED_VALUE"""),"4 Stars")</f>
        <v>4 Stars</v>
      </c>
      <c r="F115" s="266" t="str">
        <f>IFERROR(__xludf.DUMMYFUNCTION("""COMPUTED_VALUE"""),"Step Up")</f>
        <v>Step Up</v>
      </c>
      <c r="G115" s="266" t="str">
        <f>IFERROR(__xludf.DUMMYFUNCTION("""COMPUTED_VALUE"""),"Attacker(s) ~ Navy ~ Zoan ~ Power users ~ New World ~ Worst Generation")</f>
        <v>Attacker(s) ~ Navy ~ Zoan ~ Power users ~ New World ~ Worst Generation</v>
      </c>
      <c r="H115" s="266" t="str">
        <f>IFERROR(__xludf.DUMMYFUNCTION("""COMPUTED_VALUE"""),"Blue ~ Attacker")</f>
        <v>Blue ~ Attacker</v>
      </c>
      <c r="I115" s="265" t="str">
        <f>IFERROR(__xludf.DUMMYFUNCTION("""COMPUTED_VALUE"""),"https://i.postimg.cc/1zRtDxvf/Blue-Attacker.png")</f>
        <v>https://i.postimg.cc/1zRtDxvf/Blue-Attacker.png</v>
      </c>
      <c r="J115" s="267" t="str">
        <f>IFERROR(__xludf.DUMMYFUNCTION("""COMPUTED_VALUE"""),"2022-12-13")</f>
        <v>2022-12-13</v>
      </c>
      <c r="K115" s="263"/>
    </row>
    <row r="116">
      <c r="A116" s="263"/>
      <c r="B116" s="264">
        <f>IFERROR(__xludf.DUMMYFUNCTION("""COMPUTED_VALUE"""),229.0)</f>
        <v>229</v>
      </c>
      <c r="C116" s="265" t="str">
        <f>IFERROR(__xludf.DUMMYFUNCTION("""COMPUTED_VALUE"""),"https://i.postimg.cc/qv20zq3t/229-Hyogoro-Family-Big-Boss-Hyogoro.png")</f>
        <v>https://i.postimg.cc/qv20zq3t/229-Hyogoro-Family-Big-Boss-Hyogoro.png</v>
      </c>
      <c r="D116" s="266" t="str">
        <f>IFERROR(__xludf.DUMMYFUNCTION("""COMPUTED_VALUE"""),"Hyogoro Family / Big Boss ~ Hyogoro")</f>
        <v>Hyogoro Family / Big Boss ~ Hyogoro</v>
      </c>
      <c r="E116" s="266" t="str">
        <f>IFERROR(__xludf.DUMMYFUNCTION("""COMPUTED_VALUE"""),"4 Stars")</f>
        <v>4 Stars</v>
      </c>
      <c r="F116" s="266" t="str">
        <f>IFERROR(__xludf.DUMMYFUNCTION("""COMPUTED_VALUE"""),"Step Up")</f>
        <v>Step Up</v>
      </c>
      <c r="G116" s="266" t="str">
        <f>IFERROR(__xludf.DUMMYFUNCTION("""COMPUTED_VALUE"""),"Defender(s) ~ New World")</f>
        <v>Defender(s) ~ New World</v>
      </c>
      <c r="H116" s="266" t="str">
        <f>IFERROR(__xludf.DUMMYFUNCTION("""COMPUTED_VALUE"""),"Blue ~ Defender")</f>
        <v>Blue ~ Defender</v>
      </c>
      <c r="I116" s="265" t="str">
        <f>IFERROR(__xludf.DUMMYFUNCTION("""COMPUTED_VALUE"""),"https://i.postimg.cc/m2xg81dx/Blue-Defender.png")</f>
        <v>https://i.postimg.cc/m2xg81dx/Blue-Defender.png</v>
      </c>
      <c r="J116" s="267" t="str">
        <f>IFERROR(__xludf.DUMMYFUNCTION("""COMPUTED_VALUE"""),"2022-12-06")</f>
        <v>2022-12-06</v>
      </c>
      <c r="K116" s="263"/>
    </row>
    <row r="117">
      <c r="A117" s="263"/>
      <c r="B117" s="264">
        <f>IFERROR(__xludf.DUMMYFUNCTION("""COMPUTED_VALUE"""),228.0)</f>
        <v>228</v>
      </c>
      <c r="C117" s="265" t="str">
        <f>IFERROR(__xludf.DUMMYFUNCTION("""COMPUTED_VALUE"""),"https://i.postimg.cc/bv8PbPxm/228-Kozuki-Clan-Servant-Raizo.png")</f>
        <v>https://i.postimg.cc/bv8PbPxm/228-Kozuki-Clan-Servant-Raizo.png</v>
      </c>
      <c r="D117" s="266" t="str">
        <f>IFERROR(__xludf.DUMMYFUNCTION("""COMPUTED_VALUE"""),"Kozuki Clan / Servant ~ Raizo")</f>
        <v>Kozuki Clan / Servant ~ Raizo</v>
      </c>
      <c r="E117" s="266" t="str">
        <f>IFERROR(__xludf.DUMMYFUNCTION("""COMPUTED_VALUE"""),"4 Stars")</f>
        <v>4 Stars</v>
      </c>
      <c r="F117" s="266" t="str">
        <f>IFERROR(__xludf.DUMMYFUNCTION("""COMPUTED_VALUE"""),"Step Up")</f>
        <v>Step Up</v>
      </c>
      <c r="G117" s="266" t="str">
        <f>IFERROR(__xludf.DUMMYFUNCTION("""COMPUTED_VALUE"""),"Attacker(s) ~ Paramecia ~ Power users ~ New World ~ Long-Range Normal Attacks ~ Kozuki Clan / Kozuki Clan Servant ~ Ninja")</f>
        <v>Attacker(s) ~ Paramecia ~ Power users ~ New World ~ Long-Range Normal Attacks ~ Kozuki Clan / Kozuki Clan Servant ~ Ninja</v>
      </c>
      <c r="H117" s="266" t="str">
        <f>IFERROR(__xludf.DUMMYFUNCTION("""COMPUTED_VALUE"""),"Red ~ Attacker")</f>
        <v>Red ~ Attacker</v>
      </c>
      <c r="I117" s="265" t="str">
        <f>IFERROR(__xludf.DUMMYFUNCTION("""COMPUTED_VALUE"""),"https://i.postimg.cc/L6B2DCYf/Red-Attacker.png")</f>
        <v>https://i.postimg.cc/L6B2DCYf/Red-Attacker.png</v>
      </c>
      <c r="J117" s="267" t="str">
        <f>IFERROR(__xludf.DUMMYFUNCTION("""COMPUTED_VALUE"""),"2022-11-17")</f>
        <v>2022-11-17</v>
      </c>
      <c r="K117" s="263"/>
    </row>
    <row r="118">
      <c r="A118" s="263"/>
      <c r="B118" s="264">
        <f>IFERROR(__xludf.DUMMYFUNCTION("""COMPUTED_VALUE"""),227.0)</f>
        <v>227</v>
      </c>
      <c r="C118" s="265" t="str">
        <f>IFERROR(__xludf.DUMMYFUNCTION("""COMPUTED_VALUE"""),"https://i.postimg.cc/76trpTpR/227-Veteran-Kunoichi-Shinobu.png")</f>
        <v>https://i.postimg.cc/76trpTpR/227-Veteran-Kunoichi-Shinobu.png</v>
      </c>
      <c r="D118" s="266" t="str">
        <f>IFERROR(__xludf.DUMMYFUNCTION("""COMPUTED_VALUE"""),"Veteran Kunoichi ~ Shinobu")</f>
        <v>Veteran Kunoichi ~ Shinobu</v>
      </c>
      <c r="E118" s="266" t="str">
        <f>IFERROR(__xludf.DUMMYFUNCTION("""COMPUTED_VALUE"""),"4 Stars")</f>
        <v>4 Stars</v>
      </c>
      <c r="F118" s="266" t="str">
        <f>IFERROR(__xludf.DUMMYFUNCTION("""COMPUTED_VALUE"""),"Step Up")</f>
        <v>Step Up</v>
      </c>
      <c r="G118" s="266" t="str">
        <f>IFERROR(__xludf.DUMMYFUNCTION("""COMPUTED_VALUE"""),"Runner(s) ~ Paramecia ~ Power users ~ New World ~ Kozuki Clan / Kozuki Clan Servant ~ Ninja")</f>
        <v>Runner(s) ~ Paramecia ~ Power users ~ New World ~ Kozuki Clan / Kozuki Clan Servant ~ Ninja</v>
      </c>
      <c r="H118" s="266" t="str">
        <f>IFERROR(__xludf.DUMMYFUNCTION("""COMPUTED_VALUE"""),"Blue ~ Runner")</f>
        <v>Blue ~ Runner</v>
      </c>
      <c r="I118" s="265" t="str">
        <f>IFERROR(__xludf.DUMMYFUNCTION("""COMPUTED_VALUE"""),"https://i.postimg.cc/4NzNM4MY/Blue-Runner.png")</f>
        <v>https://i.postimg.cc/4NzNM4MY/Blue-Runner.png</v>
      </c>
      <c r="J118" s="267" t="str">
        <f>IFERROR(__xludf.DUMMYFUNCTION("""COMPUTED_VALUE"""),"2022-11-10")</f>
        <v>2022-11-10</v>
      </c>
      <c r="K118" s="263"/>
    </row>
    <row r="119">
      <c r="A119" s="263"/>
      <c r="B119" s="264">
        <f>IFERROR(__xludf.DUMMYFUNCTION("""COMPUTED_VALUE"""),226.0)</f>
        <v>226</v>
      </c>
      <c r="C119" s="265" t="str">
        <f>IFERROR(__xludf.DUMMYFUNCTION("""COMPUTED_VALUE"""),"https://i.postimg.cc/KjdSYhcr/226-Don-Quixote-Pirates-Supreme-Officer-Trebol.png")</f>
        <v>https://i.postimg.cc/KjdSYhcr/226-Don-Quixote-Pirates-Supreme-Officer-Trebol.png</v>
      </c>
      <c r="D119" s="266" t="str">
        <f>IFERROR(__xludf.DUMMYFUNCTION("""COMPUTED_VALUE"""),"Don Quixote Pirates / Supreme Officer ~ Trebol")</f>
        <v>Don Quixote Pirates / Supreme Officer ~ Trebol</v>
      </c>
      <c r="E119" s="266" t="str">
        <f>IFERROR(__xludf.DUMMYFUNCTION("""COMPUTED_VALUE"""),"4 Stars")</f>
        <v>4 Stars</v>
      </c>
      <c r="F119" s="266" t="str">
        <f>IFERROR(__xludf.DUMMYFUNCTION("""COMPUTED_VALUE"""),"Bounty Festival")</f>
        <v>Bounty Festival</v>
      </c>
      <c r="G119" s="266" t="str">
        <f>IFERROR(__xludf.DUMMYFUNCTION("""COMPUTED_VALUE"""),"Defender(s) ~ Don Quixote Family ~ Paramecia ~ Power users ~ New World")</f>
        <v>Defender(s) ~ Don Quixote Family ~ Paramecia ~ Power users ~ New World</v>
      </c>
      <c r="H119" s="266" t="str">
        <f>IFERROR(__xludf.DUMMYFUNCTION("""COMPUTED_VALUE"""),"Green ~ Defender")</f>
        <v>Green ~ Defender</v>
      </c>
      <c r="I119" s="265" t="str">
        <f>IFERROR(__xludf.DUMMYFUNCTION("""COMPUTED_VALUE"""),"https://i.postimg.cc/qRhpGpyM/Green-Defender.png")</f>
        <v>https://i.postimg.cc/qRhpGpyM/Green-Defender.png</v>
      </c>
      <c r="J119" s="267" t="str">
        <f>IFERROR(__xludf.DUMMYFUNCTION("""COMPUTED_VALUE"""),"2022-10-27")</f>
        <v>2022-10-27</v>
      </c>
      <c r="K119" s="263"/>
    </row>
    <row r="120">
      <c r="A120" s="263"/>
      <c r="B120" s="264">
        <f>IFERROR(__xludf.DUMMYFUNCTION("""COMPUTED_VALUE"""),225.0)</f>
        <v>225</v>
      </c>
      <c r="C120" s="265" t="str">
        <f>IFERROR(__xludf.DUMMYFUNCTION("""COMPUTED_VALUE"""),"https://i.postimg.cc/tTTLt4YN/225-Don-Quixote-Pirates-Supreme-Officer-Diamante.png")</f>
        <v>https://i.postimg.cc/tTTLt4YN/225-Don-Quixote-Pirates-Supreme-Officer-Diamante.png</v>
      </c>
      <c r="D120" s="266" t="str">
        <f>IFERROR(__xludf.DUMMYFUNCTION("""COMPUTED_VALUE"""),"Don Quixote Pirates / Supreme Officer ~ Diamante")</f>
        <v>Don Quixote Pirates / Supreme Officer ~ Diamante</v>
      </c>
      <c r="E120" s="266" t="str">
        <f>IFERROR(__xludf.DUMMYFUNCTION("""COMPUTED_VALUE"""),"4 Stars")</f>
        <v>4 Stars</v>
      </c>
      <c r="F120" s="266" t="str">
        <f>IFERROR(__xludf.DUMMYFUNCTION("""COMPUTED_VALUE"""),"Bounty Festival")</f>
        <v>Bounty Festival</v>
      </c>
      <c r="G120" s="266" t="str">
        <f>IFERROR(__xludf.DUMMYFUNCTION("""COMPUTED_VALUE"""),"Attacker(s) ~ Don Quixote Family ~ Paramecia ~ Power users ~ New World")</f>
        <v>Attacker(s) ~ Don Quixote Family ~ Paramecia ~ Power users ~ New World</v>
      </c>
      <c r="H120" s="266" t="str">
        <f>IFERROR(__xludf.DUMMYFUNCTION("""COMPUTED_VALUE"""),"Green ~ Attacker")</f>
        <v>Green ~ Attacker</v>
      </c>
      <c r="I120" s="265" t="str">
        <f>IFERROR(__xludf.DUMMYFUNCTION("""COMPUTED_VALUE"""),"https://i.postimg.cc/0NH8mz6B/Green-Attacker.png")</f>
        <v>https://i.postimg.cc/0NH8mz6B/Green-Attacker.png</v>
      </c>
      <c r="J120" s="267" t="str">
        <f>IFERROR(__xludf.DUMMYFUNCTION("""COMPUTED_VALUE"""),"2022-10-27")</f>
        <v>2022-10-27</v>
      </c>
      <c r="K120" s="263"/>
    </row>
    <row r="121">
      <c r="A121" s="263"/>
      <c r="B121" s="264">
        <f>IFERROR(__xludf.DUMMYFUNCTION("""COMPUTED_VALUE"""),224.0)</f>
        <v>224</v>
      </c>
      <c r="C121" s="265" t="str">
        <f>IFERROR(__xludf.DUMMYFUNCTION("""COMPUTED_VALUE"""),"https://i.postimg.cc/rmP7h24X/224-The-Bullet-of-Dressrosa-Bellamy.png")</f>
        <v>https://i.postimg.cc/rmP7h24X/224-The-Bullet-of-Dressrosa-Bellamy.png</v>
      </c>
      <c r="D121" s="266" t="str">
        <f>IFERROR(__xludf.DUMMYFUNCTION("""COMPUTED_VALUE"""),"The Bullet of Dressrosa ~ Bellamy")</f>
        <v>The Bullet of Dressrosa ~ Bellamy</v>
      </c>
      <c r="E121" s="266" t="str">
        <f>IFERROR(__xludf.DUMMYFUNCTION("""COMPUTED_VALUE"""),"4 Stars")</f>
        <v>4 Stars</v>
      </c>
      <c r="F121" s="266" t="str">
        <f>IFERROR(__xludf.DUMMYFUNCTION("""COMPUTED_VALUE"""),"Step Up")</f>
        <v>Step Up</v>
      </c>
      <c r="G121" s="266" t="str">
        <f>IFERROR(__xludf.DUMMYFUNCTION("""COMPUTED_VALUE"""),"Runner(s) ~ Paramecia ~ Power users ~ New World")</f>
        <v>Runner(s) ~ Paramecia ~ Power users ~ New World</v>
      </c>
      <c r="H121" s="266" t="str">
        <f>IFERROR(__xludf.DUMMYFUNCTION("""COMPUTED_VALUE"""),"Green ~ Runner")</f>
        <v>Green ~ Runner</v>
      </c>
      <c r="I121" s="265" t="str">
        <f>IFERROR(__xludf.DUMMYFUNCTION("""COMPUTED_VALUE"""),"https://i.postimg.cc/PxgT30Qb/Green-Runner.png")</f>
        <v>https://i.postimg.cc/PxgT30Qb/Green-Runner.png</v>
      </c>
      <c r="J121" s="267" t="str">
        <f>IFERROR(__xludf.DUMMYFUNCTION("""COMPUTED_VALUE"""),"2022-10-13")</f>
        <v>2022-10-13</v>
      </c>
      <c r="K121" s="263"/>
    </row>
    <row r="122">
      <c r="A122" s="263"/>
      <c r="B122" s="264">
        <f>IFERROR(__xludf.DUMMYFUNCTION("""COMPUTED_VALUE"""),223.0)</f>
        <v>223</v>
      </c>
      <c r="C122" s="265" t="str">
        <f>IFERROR(__xludf.DUMMYFUNCTION("""COMPUTED_VALUE"""),"https://i.postimg.cc/PNG9jbKS/223-FILM-RED-Usopp.png")</f>
        <v>https://i.postimg.cc/PNG9jbKS/223-FILM-RED-Usopp.png</v>
      </c>
      <c r="D122" s="266" t="str">
        <f>IFERROR(__xludf.DUMMYFUNCTION("""COMPUTED_VALUE"""),"FILM RED ~ Usopp")</f>
        <v>FILM RED ~ Usopp</v>
      </c>
      <c r="E122" s="266" t="str">
        <f>IFERROR(__xludf.DUMMYFUNCTION("""COMPUTED_VALUE"""),"4 Stars")</f>
        <v>4 Stars</v>
      </c>
      <c r="F122" s="266" t="str">
        <f>IFERROR(__xludf.DUMMYFUNCTION("""COMPUTED_VALUE"""),"Limited ~ Bounty Festival")</f>
        <v>Limited ~ Bounty Festival</v>
      </c>
      <c r="G122" s="266" t="str">
        <f>IFERROR(__xludf.DUMMYFUNCTION("""COMPUTED_VALUE"""),"Attacker(s) ~ Straw Hat Pirates ~ New World ~ Long-Range Normal Attacks")</f>
        <v>Attacker(s) ~ Straw Hat Pirates ~ New World ~ Long-Range Normal Attacks</v>
      </c>
      <c r="H122" s="266" t="str">
        <f>IFERROR(__xludf.DUMMYFUNCTION("""COMPUTED_VALUE"""),"Red ~ Attacker")</f>
        <v>Red ~ Attacker</v>
      </c>
      <c r="I122" s="265" t="str">
        <f>IFERROR(__xludf.DUMMYFUNCTION("""COMPUTED_VALUE"""),"https://i.postimg.cc/L6B2DCYf/Red-Attacker.png")</f>
        <v>https://i.postimg.cc/L6B2DCYf/Red-Attacker.png</v>
      </c>
      <c r="J122" s="267" t="str">
        <f>IFERROR(__xludf.DUMMYFUNCTION("""COMPUTED_VALUE"""),"2022-09-29")</f>
        <v>2022-09-29</v>
      </c>
      <c r="K122" s="263"/>
    </row>
    <row r="123">
      <c r="A123" s="263"/>
      <c r="B123" s="264">
        <f>IFERROR(__xludf.DUMMYFUNCTION("""COMPUTED_VALUE"""),222.0)</f>
        <v>222</v>
      </c>
      <c r="C123" s="265" t="str">
        <f>IFERROR(__xludf.DUMMYFUNCTION("""COMPUTED_VALUE"""),"https://i.postimg.cc/BZ8vJqMF/222-FILM-RED-Yasopp.png")</f>
        <v>https://i.postimg.cc/BZ8vJqMF/222-FILM-RED-Yasopp.png</v>
      </c>
      <c r="D123" s="266" t="str">
        <f>IFERROR(__xludf.DUMMYFUNCTION("""COMPUTED_VALUE"""),"FILM RED ~ Yasopp")</f>
        <v>FILM RED ~ Yasopp</v>
      </c>
      <c r="E123" s="266" t="str">
        <f>IFERROR(__xludf.DUMMYFUNCTION("""COMPUTED_VALUE"""),"4 Stars")</f>
        <v>4 Stars</v>
      </c>
      <c r="F123" s="266" t="str">
        <f>IFERROR(__xludf.DUMMYFUNCTION("""COMPUTED_VALUE"""),"Limited ~ Bounty Festival")</f>
        <v>Limited ~ Bounty Festival</v>
      </c>
      <c r="G123" s="266" t="str">
        <f>IFERROR(__xludf.DUMMYFUNCTION("""COMPUTED_VALUE"""),"Defender(s) ~ Red-Haired Pirates ~ New World ~ Long-Range Normal Attacks")</f>
        <v>Defender(s) ~ Red-Haired Pirates ~ New World ~ Long-Range Normal Attacks</v>
      </c>
      <c r="H123" s="266" t="str">
        <f>IFERROR(__xludf.DUMMYFUNCTION("""COMPUTED_VALUE"""),"Red ~ Defender")</f>
        <v>Red ~ Defender</v>
      </c>
      <c r="I123" s="265" t="str">
        <f>IFERROR(__xludf.DUMMYFUNCTION("""COMPUTED_VALUE"""),"https://i.postimg.cc/P5XhRWY7/Red-Defender.png")</f>
        <v>https://i.postimg.cc/P5XhRWY7/Red-Defender.png</v>
      </c>
      <c r="J123" s="267" t="str">
        <f>IFERROR(__xludf.DUMMYFUNCTION("""COMPUTED_VALUE"""),"2022-09-29")</f>
        <v>2022-09-29</v>
      </c>
      <c r="K123" s="263"/>
    </row>
    <row r="124">
      <c r="A124" s="263"/>
      <c r="B124" s="264">
        <f>IFERROR(__xludf.DUMMYFUNCTION("""COMPUTED_VALUE"""),221.0)</f>
        <v>221</v>
      </c>
      <c r="C124" s="265" t="str">
        <f>IFERROR(__xludf.DUMMYFUNCTION("""COMPUTED_VALUE"""),"https://i.postimg.cc/QdDNgcsg/221-FILM-RED-Tony-Tony-Chopper.png")</f>
        <v>https://i.postimg.cc/QdDNgcsg/221-FILM-RED-Tony-Tony-Chopper.png</v>
      </c>
      <c r="D124" s="266" t="str">
        <f>IFERROR(__xludf.DUMMYFUNCTION("""COMPUTED_VALUE"""),"FILM RED ~ Tony Tony Chopper")</f>
        <v>FILM RED ~ Tony Tony Chopper</v>
      </c>
      <c r="E124" s="266" t="str">
        <f>IFERROR(__xludf.DUMMYFUNCTION("""COMPUTED_VALUE"""),"4 Stars")</f>
        <v>4 Stars</v>
      </c>
      <c r="F124" s="266" t="str">
        <f>IFERROR(__xludf.DUMMYFUNCTION("""COMPUTED_VALUE"""),"Limited ~ Step Up")</f>
        <v>Limited ~ Step Up</v>
      </c>
      <c r="G124" s="266" t="str">
        <f>IFERROR(__xludf.DUMMYFUNCTION("""COMPUTED_VALUE"""),"Defender(s) ~ Straw Hat Pirates ~ Zoan ~ Power users ~ New World")</f>
        <v>Defender(s) ~ Straw Hat Pirates ~ Zoan ~ Power users ~ New World</v>
      </c>
      <c r="H124" s="266" t="str">
        <f>IFERROR(__xludf.DUMMYFUNCTION("""COMPUTED_VALUE"""),"Green ~ Defender")</f>
        <v>Green ~ Defender</v>
      </c>
      <c r="I124" s="265" t="str">
        <f>IFERROR(__xludf.DUMMYFUNCTION("""COMPUTED_VALUE"""),"https://i.postimg.cc/qRhpGpyM/Green-Defender.png")</f>
        <v>https://i.postimg.cc/qRhpGpyM/Green-Defender.png</v>
      </c>
      <c r="J124" s="267" t="str">
        <f>IFERROR(__xludf.DUMMYFUNCTION("""COMPUTED_VALUE"""),"2022-09-15")</f>
        <v>2022-09-15</v>
      </c>
      <c r="K124" s="263"/>
    </row>
    <row r="125">
      <c r="A125" s="263"/>
      <c r="B125" s="264">
        <f>IFERROR(__xludf.DUMMYFUNCTION("""COMPUTED_VALUE"""),220.0)</f>
        <v>220</v>
      </c>
      <c r="C125" s="265" t="str">
        <f>IFERROR(__xludf.DUMMYFUNCTION("""COMPUTED_VALUE"""),"https://i.postimg.cc/15w5Nvx5/220-FILM-RED-Nami.png")</f>
        <v>https://i.postimg.cc/15w5Nvx5/220-FILM-RED-Nami.png</v>
      </c>
      <c r="D125" s="266" t="str">
        <f>IFERROR(__xludf.DUMMYFUNCTION("""COMPUTED_VALUE"""),"FILM RED ~ Nami")</f>
        <v>FILM RED ~ Nami</v>
      </c>
      <c r="E125" s="266" t="str">
        <f>IFERROR(__xludf.DUMMYFUNCTION("""COMPUTED_VALUE"""),"4 Stars")</f>
        <v>4 Stars</v>
      </c>
      <c r="F125" s="266" t="str">
        <f>IFERROR(__xludf.DUMMYFUNCTION("""COMPUTED_VALUE"""),"Limited ~ Step Up")</f>
        <v>Limited ~ Step Up</v>
      </c>
      <c r="G125" s="266" t="str">
        <f>IFERROR(__xludf.DUMMYFUNCTION("""COMPUTED_VALUE"""),"Runner(s) ~ Straw Hat Pirates ~ New World ~ Long-Range Normal Attacks")</f>
        <v>Runner(s) ~ Straw Hat Pirates ~ New World ~ Long-Range Normal Attacks</v>
      </c>
      <c r="H125" s="266" t="str">
        <f>IFERROR(__xludf.DUMMYFUNCTION("""COMPUTED_VALUE"""),"Blue ~ Runner")</f>
        <v>Blue ~ Runner</v>
      </c>
      <c r="I125" s="265" t="str">
        <f>IFERROR(__xludf.DUMMYFUNCTION("""COMPUTED_VALUE"""),"https://i.postimg.cc/4NzNM4MY/Blue-Runner.png")</f>
        <v>https://i.postimg.cc/4NzNM4MY/Blue-Runner.png</v>
      </c>
      <c r="J125" s="267" t="str">
        <f>IFERROR(__xludf.DUMMYFUNCTION("""COMPUTED_VALUE"""),"2022-09-08")</f>
        <v>2022-09-08</v>
      </c>
      <c r="K125" s="263"/>
    </row>
    <row r="126">
      <c r="A126" s="263"/>
      <c r="B126" s="264">
        <f>IFERROR(__xludf.DUMMYFUNCTION("""COMPUTED_VALUE"""),219.0)</f>
        <v>219</v>
      </c>
      <c r="C126" s="265" t="str">
        <f>IFERROR(__xludf.DUMMYFUNCTION("""COMPUTED_VALUE"""),"https://i.postimg.cc/3xZ8tWJs/219-FILM-RED-Ben-Beckman.png")</f>
        <v>https://i.postimg.cc/3xZ8tWJs/219-FILM-RED-Ben-Beckman.png</v>
      </c>
      <c r="D126" s="266" t="str">
        <f>IFERROR(__xludf.DUMMYFUNCTION("""COMPUTED_VALUE"""),"FILM RED ~ Ben Beckman")</f>
        <v>FILM RED ~ Ben Beckman</v>
      </c>
      <c r="E126" s="266" t="str">
        <f>IFERROR(__xludf.DUMMYFUNCTION("""COMPUTED_VALUE"""),"4 Stars")</f>
        <v>4 Stars</v>
      </c>
      <c r="F126" s="266" t="str">
        <f>IFERROR(__xludf.DUMMYFUNCTION("""COMPUTED_VALUE"""),"Limited ~ Bounty Festival")</f>
        <v>Limited ~ Bounty Festival</v>
      </c>
      <c r="G126" s="266" t="str">
        <f>IFERROR(__xludf.DUMMYFUNCTION("""COMPUTED_VALUE"""),"Defender(s) ~ Red-Haired Pirates ~ New World")</f>
        <v>Defender(s) ~ Red-Haired Pirates ~ New World</v>
      </c>
      <c r="H126" s="266" t="str">
        <f>IFERROR(__xludf.DUMMYFUNCTION("""COMPUTED_VALUE"""),"Blue ~ Defender")</f>
        <v>Blue ~ Defender</v>
      </c>
      <c r="I126" s="265" t="str">
        <f>IFERROR(__xludf.DUMMYFUNCTION("""COMPUTED_VALUE"""),"https://i.postimg.cc/m2xg81dx/Blue-Defender.png")</f>
        <v>https://i.postimg.cc/m2xg81dx/Blue-Defender.png</v>
      </c>
      <c r="J126" s="267" t="str">
        <f>IFERROR(__xludf.DUMMYFUNCTION("""COMPUTED_VALUE"""),"2022-08-25")</f>
        <v>2022-08-25</v>
      </c>
      <c r="K126" s="263"/>
    </row>
    <row r="127">
      <c r="A127" s="263"/>
      <c r="B127" s="264">
        <f>IFERROR(__xludf.DUMMYFUNCTION("""COMPUTED_VALUE"""),218.0)</f>
        <v>218</v>
      </c>
      <c r="C127" s="265" t="str">
        <f>IFERROR(__xludf.DUMMYFUNCTION("""COMPUTED_VALUE"""),"https://i.postimg.cc/tgSXHf6D/218-FILM-RED-Shanks.png")</f>
        <v>https://i.postimg.cc/tgSXHf6D/218-FILM-RED-Shanks.png</v>
      </c>
      <c r="D127" s="266" t="str">
        <f>IFERROR(__xludf.DUMMYFUNCTION("""COMPUTED_VALUE"""),"FILM RED ~ Shanks")</f>
        <v>FILM RED ~ Shanks</v>
      </c>
      <c r="E127" s="266" t="str">
        <f>IFERROR(__xludf.DUMMYFUNCTION("""COMPUTED_VALUE"""),"4 Stars")</f>
        <v>4 Stars</v>
      </c>
      <c r="F127" s="266" t="str">
        <f>IFERROR(__xludf.DUMMYFUNCTION("""COMPUTED_VALUE"""),"Extreme")</f>
        <v>Extreme</v>
      </c>
      <c r="G127" s="266" t="str">
        <f>IFERROR(__xludf.DUMMYFUNCTION("""COMPUTED_VALUE"""),"Defender(s) ~ East Blue ~ Red-Haired Pirates ~ Captain ~ Roger Pirates / Ex-Roger Pirates")</f>
        <v>Defender(s) ~ East Blue ~ Red-Haired Pirates ~ Captain ~ Roger Pirates / Ex-Roger Pirates</v>
      </c>
      <c r="H127" s="266" t="str">
        <f>IFERROR(__xludf.DUMMYFUNCTION("""COMPUTED_VALUE"""),"Green ~ Attacker")</f>
        <v>Green ~ Attacker</v>
      </c>
      <c r="I127" s="265" t="str">
        <f>IFERROR(__xludf.DUMMYFUNCTION("""COMPUTED_VALUE"""),"https://i.postimg.cc/0NH8mz6B/Green-Attacker.png")</f>
        <v>https://i.postimg.cc/0NH8mz6B/Green-Attacker.png</v>
      </c>
      <c r="J127" s="267" t="str">
        <f>IFERROR(__xludf.DUMMYFUNCTION("""COMPUTED_VALUE"""),"2022-08-25")</f>
        <v>2022-08-25</v>
      </c>
      <c r="K127" s="263"/>
    </row>
    <row r="128">
      <c r="A128" s="263"/>
      <c r="B128" s="264">
        <f>IFERROR(__xludf.DUMMYFUNCTION("""COMPUTED_VALUE"""),217.0)</f>
        <v>217</v>
      </c>
      <c r="C128" s="265" t="str">
        <f>IFERROR(__xludf.DUMMYFUNCTION("""COMPUTED_VALUE"""),"https://i.postimg.cc/Kz1mcNrb/217-FILM-RED-Monkey-D-Luffy.png")</f>
        <v>https://i.postimg.cc/Kz1mcNrb/217-FILM-RED-Monkey-D-Luffy.png</v>
      </c>
      <c r="D128" s="266" t="str">
        <f>IFERROR(__xludf.DUMMYFUNCTION("""COMPUTED_VALUE"""),"FILM RED ~ Monkey D. Luffy")</f>
        <v>FILM RED ~ Monkey D. Luffy</v>
      </c>
      <c r="E128" s="266" t="str">
        <f>IFERROR(__xludf.DUMMYFUNCTION("""COMPUTED_VALUE"""),"3 Stars")</f>
        <v>3 Stars</v>
      </c>
      <c r="F128" s="266" t="str">
        <f>IFERROR(__xludf.DUMMYFUNCTION("""COMPUTED_VALUE"""),"Limited ~ 3 Stars")</f>
        <v>Limited ~ 3 Stars</v>
      </c>
      <c r="G128" s="266" t="str">
        <f>IFERROR(__xludf.DUMMYFUNCTION("""COMPUTED_VALUE"""),"Attacker(s) ~ Straw Hat Pirates ~ Paramecia ~ Captain ~ Power users ~ New World ~ Worst Generation")</f>
        <v>Attacker(s) ~ Straw Hat Pirates ~ Paramecia ~ Captain ~ Power users ~ New World ~ Worst Generation</v>
      </c>
      <c r="H128" s="266" t="str">
        <f>IFERROR(__xludf.DUMMYFUNCTION("""COMPUTED_VALUE"""),"Red ~ Attacker")</f>
        <v>Red ~ Attacker</v>
      </c>
      <c r="I128" s="265" t="str">
        <f>IFERROR(__xludf.DUMMYFUNCTION("""COMPUTED_VALUE"""),"https://i.postimg.cc/L6B2DCYf/Red-Attacker.png")</f>
        <v>https://i.postimg.cc/L6B2DCYf/Red-Attacker.png</v>
      </c>
      <c r="J128" s="267" t="str">
        <f>IFERROR(__xludf.DUMMYFUNCTION("""COMPUTED_VALUE"""),"2022-08-04")</f>
        <v>2022-08-04</v>
      </c>
      <c r="K128" s="263"/>
    </row>
    <row r="129">
      <c r="A129" s="263"/>
      <c r="B129" s="264">
        <f>IFERROR(__xludf.DUMMYFUNCTION("""COMPUTED_VALUE"""),216.0)</f>
        <v>216</v>
      </c>
      <c r="C129" s="265" t="str">
        <f>IFERROR(__xludf.DUMMYFUNCTION("""COMPUTED_VALUE"""),"https://i.postimg.cc/NMZBKHpH/216-FILM-RED-Uta.png")</f>
        <v>https://i.postimg.cc/NMZBKHpH/216-FILM-RED-Uta.png</v>
      </c>
      <c r="D129" s="266" t="str">
        <f>IFERROR(__xludf.DUMMYFUNCTION("""COMPUTED_VALUE"""),"FILM RED ~ Uta")</f>
        <v>FILM RED ~ Uta</v>
      </c>
      <c r="E129" s="266" t="str">
        <f>IFERROR(__xludf.DUMMYFUNCTION("""COMPUTED_VALUE"""),"4 Stars")</f>
        <v>4 Stars</v>
      </c>
      <c r="F129" s="266" t="str">
        <f>IFERROR(__xludf.DUMMYFUNCTION("""COMPUTED_VALUE"""),"Limited ~ Bounty Festival")</f>
        <v>Limited ~ Bounty Festival</v>
      </c>
      <c r="G129" s="266" t="str">
        <f>IFERROR(__xludf.DUMMYFUNCTION("""COMPUTED_VALUE"""),"Attacker(s) ~ Paramecia ~ Power users ~ New World")</f>
        <v>Attacker(s) ~ Paramecia ~ Power users ~ New World</v>
      </c>
      <c r="H129" s="266" t="str">
        <f>IFERROR(__xludf.DUMMYFUNCTION("""COMPUTED_VALUE"""),"Red ~ Attacker")</f>
        <v>Red ~ Attacker</v>
      </c>
      <c r="I129" s="265" t="str">
        <f>IFERROR(__xludf.DUMMYFUNCTION("""COMPUTED_VALUE"""),"https://i.postimg.cc/L6B2DCYf/Red-Attacker.png")</f>
        <v>https://i.postimg.cc/L6B2DCYf/Red-Attacker.png</v>
      </c>
      <c r="J129" s="267" t="str">
        <f>IFERROR(__xludf.DUMMYFUNCTION("""COMPUTED_VALUE"""),"2022-08-04")</f>
        <v>2022-08-04</v>
      </c>
      <c r="K129" s="263"/>
    </row>
    <row r="130">
      <c r="A130" s="263"/>
      <c r="B130" s="264">
        <f>IFERROR(__xludf.DUMMYFUNCTION("""COMPUTED_VALUE"""),215.0)</f>
        <v>215</v>
      </c>
      <c r="C130" s="265" t="str">
        <f>IFERROR(__xludf.DUMMYFUNCTION("""COMPUTED_VALUE"""),"https://i.postimg.cc/QC5s1dyn/215-FILM-Z-Zephyr.png")</f>
        <v>https://i.postimg.cc/QC5s1dyn/215-FILM-Z-Zephyr.png</v>
      </c>
      <c r="D130" s="266" t="str">
        <f>IFERROR(__xludf.DUMMYFUNCTION("""COMPUTED_VALUE"""),"FILM Z ~ Zephyr")</f>
        <v>FILM Z ~ Zephyr</v>
      </c>
      <c r="E130" s="266" t="str">
        <f>IFERROR(__xludf.DUMMYFUNCTION("""COMPUTED_VALUE"""),"4 Stars")</f>
        <v>4 Stars</v>
      </c>
      <c r="F130" s="266" t="str">
        <f>IFERROR(__xludf.DUMMYFUNCTION("""COMPUTED_VALUE"""),"Extreme")</f>
        <v>Extreme</v>
      </c>
      <c r="G130" s="266" t="str">
        <f>IFERROR(__xludf.DUMMYFUNCTION("""COMPUTED_VALUE"""),"Defender(s) ~ New World ~ Navy Admiral / Former Navy Admiral")</f>
        <v>Defender(s) ~ New World ~ Navy Admiral / Former Navy Admiral</v>
      </c>
      <c r="H130" s="266" t="str">
        <f>IFERROR(__xludf.DUMMYFUNCTION("""COMPUTED_VALUE"""),"Green ~ Defender")</f>
        <v>Green ~ Defender</v>
      </c>
      <c r="I130" s="265" t="str">
        <f>IFERROR(__xludf.DUMMYFUNCTION("""COMPUTED_VALUE"""),"https://i.postimg.cc/qRhpGpyM/Green-Defender.png")</f>
        <v>https://i.postimg.cc/qRhpGpyM/Green-Defender.png</v>
      </c>
      <c r="J130" s="267" t="str">
        <f>IFERROR(__xludf.DUMMYFUNCTION("""COMPUTED_VALUE"""),"2022-07-25")</f>
        <v>2022-07-25</v>
      </c>
      <c r="K130" s="263"/>
    </row>
    <row r="131">
      <c r="A131" s="263"/>
      <c r="B131" s="264">
        <f>IFERROR(__xludf.DUMMYFUNCTION("""COMPUTED_VALUE"""),214.0)</f>
        <v>214</v>
      </c>
      <c r="C131" s="265" t="str">
        <f>IFERROR(__xludf.DUMMYFUNCTION("""COMPUTED_VALUE"""),"https://i.postimg.cc/3rD3PtxC/214-FILM-GOLD-Gild-Tesoro.png")</f>
        <v>https://i.postimg.cc/3rD3PtxC/214-FILM-GOLD-Gild-Tesoro.png</v>
      </c>
      <c r="D131" s="266" t="str">
        <f>IFERROR(__xludf.DUMMYFUNCTION("""COMPUTED_VALUE"""),"FILM GOLD ~ Gild Tesoro")</f>
        <v>FILM GOLD ~ Gild Tesoro</v>
      </c>
      <c r="E131" s="266" t="str">
        <f>IFERROR(__xludf.DUMMYFUNCTION("""COMPUTED_VALUE"""),"4 Stars")</f>
        <v>4 Stars</v>
      </c>
      <c r="F131" s="266" t="str">
        <f>IFERROR(__xludf.DUMMYFUNCTION("""COMPUTED_VALUE"""),"Limited ~ Bounty Festival")</f>
        <v>Limited ~ Bounty Festival</v>
      </c>
      <c r="G131" s="266" t="str">
        <f>IFERROR(__xludf.DUMMYFUNCTION("""COMPUTED_VALUE"""),"Attacker(s) ~ Paramecia ~ Power users ~ New World ~ Royalty / Former Royalty")</f>
        <v>Attacker(s) ~ Paramecia ~ Power users ~ New World ~ Royalty / Former Royalty</v>
      </c>
      <c r="H131" s="266" t="str">
        <f>IFERROR(__xludf.DUMMYFUNCTION("""COMPUTED_VALUE"""),"Blue ~ Attacker")</f>
        <v>Blue ~ Attacker</v>
      </c>
      <c r="I131" s="265" t="str">
        <f>IFERROR(__xludf.DUMMYFUNCTION("""COMPUTED_VALUE"""),"https://i.postimg.cc/1zRtDxvf/Blue-Attacker.png")</f>
        <v>https://i.postimg.cc/1zRtDxvf/Blue-Attacker.png</v>
      </c>
      <c r="J131" s="267" t="str">
        <f>IFERROR(__xludf.DUMMYFUNCTION("""COMPUTED_VALUE"""),"2022-07-12")</f>
        <v>2022-07-12</v>
      </c>
      <c r="K131" s="263"/>
    </row>
    <row r="132">
      <c r="A132" s="263"/>
      <c r="B132" s="264">
        <f>IFERROR(__xludf.DUMMYFUNCTION("""COMPUTED_VALUE"""),213.0)</f>
        <v>213</v>
      </c>
      <c r="C132" s="265" t="str">
        <f>IFERROR(__xludf.DUMMYFUNCTION("""COMPUTED_VALUE"""),"https://i.postimg.cc/J4VRmjyw/213-FILM-STRONG-WORLD-Shiki.png")</f>
        <v>https://i.postimg.cc/J4VRmjyw/213-FILM-STRONG-WORLD-Shiki.png</v>
      </c>
      <c r="D132" s="266" t="str">
        <f>IFERROR(__xludf.DUMMYFUNCTION("""COMPUTED_VALUE"""),"FILM STRONG WORLD ~ Shiki")</f>
        <v>FILM STRONG WORLD ~ Shiki</v>
      </c>
      <c r="E132" s="266" t="str">
        <f>IFERROR(__xludf.DUMMYFUNCTION("""COMPUTED_VALUE"""),"4 Stars")</f>
        <v>4 Stars</v>
      </c>
      <c r="F132" s="266" t="str">
        <f>IFERROR(__xludf.DUMMYFUNCTION("""COMPUTED_VALUE"""),"Limited ~ Bounty Festival")</f>
        <v>Limited ~ Bounty Festival</v>
      </c>
      <c r="G132" s="266" t="str">
        <f>IFERROR(__xludf.DUMMYFUNCTION("""COMPUTED_VALUE"""),"Runner(s) ~ Paramecia ~ Captain ~ Power users ~ The Grand Line")</f>
        <v>Runner(s) ~ Paramecia ~ Captain ~ Power users ~ The Grand Line</v>
      </c>
      <c r="H132" s="266" t="str">
        <f>IFERROR(__xludf.DUMMYFUNCTION("""COMPUTED_VALUE"""),"Red ~ Runner")</f>
        <v>Red ~ Runner</v>
      </c>
      <c r="I132" s="265" t="str">
        <f>IFERROR(__xludf.DUMMYFUNCTION("""COMPUTED_VALUE"""),"https://i.postimg.cc/Hk6HDrtk/Red-Runner.png")</f>
        <v>https://i.postimg.cc/Hk6HDrtk/Red-Runner.png</v>
      </c>
      <c r="J132" s="267" t="str">
        <f>IFERROR(__xludf.DUMMYFUNCTION("""COMPUTED_VALUE"""),"2022-07-05")</f>
        <v>2022-07-05</v>
      </c>
      <c r="K132" s="263"/>
    </row>
    <row r="133">
      <c r="A133" s="263"/>
      <c r="B133" s="264">
        <f>IFERROR(__xludf.DUMMYFUNCTION("""COMPUTED_VALUE"""),212.0)</f>
        <v>212</v>
      </c>
      <c r="C133" s="265" t="str">
        <f>IFERROR(__xludf.DUMMYFUNCTION("""COMPUTED_VALUE"""),"https://i.postimg.cc/y87B3BXv/212-STAMPEDE-Boa-Hancock.png")</f>
        <v>https://i.postimg.cc/y87B3BXv/212-STAMPEDE-Boa-Hancock.png</v>
      </c>
      <c r="D133" s="266" t="str">
        <f>IFERROR(__xludf.DUMMYFUNCTION("""COMPUTED_VALUE"""),"STAMPEDE ~ Boa Hancock")</f>
        <v>STAMPEDE ~ Boa Hancock</v>
      </c>
      <c r="E133" s="266" t="str">
        <f>IFERROR(__xludf.DUMMYFUNCTION("""COMPUTED_VALUE"""),"4 Stars")</f>
        <v>4 Stars</v>
      </c>
      <c r="F133" s="266" t="str">
        <f>IFERROR(__xludf.DUMMYFUNCTION("""COMPUTED_VALUE"""),"Limited ~ Bounty Festival")</f>
        <v>Limited ~ Bounty Festival</v>
      </c>
      <c r="G133" s="266" t="str">
        <f>IFERROR(__xludf.DUMMYFUNCTION("""COMPUTED_VALUE"""),"Runner(s) ~ The Seven Warlords of the Sea / Former Warlords of the Sea ~ Kuja Pirates ~ Paramecia ~ Captain ~ Power users ~ New World")</f>
        <v>Runner(s) ~ The Seven Warlords of the Sea / Former Warlords of the Sea ~ Kuja Pirates ~ Paramecia ~ Captain ~ Power users ~ New World</v>
      </c>
      <c r="H133" s="266" t="str">
        <f>IFERROR(__xludf.DUMMYFUNCTION("""COMPUTED_VALUE"""),"Blue ~ Runner")</f>
        <v>Blue ~ Runner</v>
      </c>
      <c r="I133" s="265" t="str">
        <f>IFERROR(__xludf.DUMMYFUNCTION("""COMPUTED_VALUE"""),"https://i.postimg.cc/4NzNM4MY/Blue-Runner.png")</f>
        <v>https://i.postimg.cc/4NzNM4MY/Blue-Runner.png</v>
      </c>
      <c r="J133" s="267" t="str">
        <f>IFERROR(__xludf.DUMMYFUNCTION("""COMPUTED_VALUE"""),"2022-06-28")</f>
        <v>2022-06-28</v>
      </c>
      <c r="K133" s="263"/>
    </row>
    <row r="134">
      <c r="A134" s="263"/>
      <c r="B134" s="264">
        <f>IFERROR(__xludf.DUMMYFUNCTION("""COMPUTED_VALUE"""),211.0)</f>
        <v>211</v>
      </c>
      <c r="C134" s="265" t="str">
        <f>IFERROR(__xludf.DUMMYFUNCTION("""COMPUTED_VALUE"""),"https://i.postimg.cc/DzZT5gNG/211-Land-of-Wano-Marco.png")</f>
        <v>https://i.postimg.cc/DzZT5gNG/211-Land-of-Wano-Marco.png</v>
      </c>
      <c r="D134" s="266" t="str">
        <f>IFERROR(__xludf.DUMMYFUNCTION("""COMPUTED_VALUE"""),"Land of Wano ~ Marco")</f>
        <v>Land of Wano ~ Marco</v>
      </c>
      <c r="E134" s="266" t="str">
        <f>IFERROR(__xludf.DUMMYFUNCTION("""COMPUTED_VALUE"""),"4 Stars")</f>
        <v>4 Stars</v>
      </c>
      <c r="F134" s="266" t="str">
        <f>IFERROR(__xludf.DUMMYFUNCTION("""COMPUTED_VALUE"""),"Bounty Festival")</f>
        <v>Bounty Festival</v>
      </c>
      <c r="G134" s="266" t="str">
        <f>IFERROR(__xludf.DUMMYFUNCTION("""COMPUTED_VALUE"""),"Runner(s) ~ Whitebeard Pirates ~ Zoan ~ Power users ~ New World")</f>
        <v>Runner(s) ~ Whitebeard Pirates ~ Zoan ~ Power users ~ New World</v>
      </c>
      <c r="H134" s="266" t="str">
        <f>IFERROR(__xludf.DUMMYFUNCTION("""COMPUTED_VALUE"""),"Green ~ Runner")</f>
        <v>Green ~ Runner</v>
      </c>
      <c r="I134" s="265" t="str">
        <f>IFERROR(__xludf.DUMMYFUNCTION("""COMPUTED_VALUE"""),"https://i.postimg.cc/PxgT30Qb/Green-Runner.png")</f>
        <v>https://i.postimg.cc/PxgT30Qb/Green-Runner.png</v>
      </c>
      <c r="J134" s="267" t="str">
        <f>IFERROR(__xludf.DUMMYFUNCTION("""COMPUTED_VALUE"""),"2022-05-26")</f>
        <v>2022-05-26</v>
      </c>
      <c r="K134" s="263"/>
    </row>
    <row r="135">
      <c r="A135" s="263"/>
      <c r="B135" s="264">
        <f>IFERROR(__xludf.DUMMYFUNCTION("""COMPUTED_VALUE"""),210.0)</f>
        <v>210</v>
      </c>
      <c r="C135" s="265" t="str">
        <f>IFERROR(__xludf.DUMMYFUNCTION("""COMPUTED_VALUE"""),"https://i.postimg.cc/pd6tSjN6/210-Big-Mom-Pirates-Crewmate-Charlotte-Perospero.png")</f>
        <v>https://i.postimg.cc/pd6tSjN6/210-Big-Mom-Pirates-Crewmate-Charlotte-Perospero.png</v>
      </c>
      <c r="D135" s="266" t="str">
        <f>IFERROR(__xludf.DUMMYFUNCTION("""COMPUTED_VALUE"""),"Big Mom Pirates / Crewmate ~ Charlotte Perospero")</f>
        <v>Big Mom Pirates / Crewmate ~ Charlotte Perospero</v>
      </c>
      <c r="E135" s="266" t="str">
        <f>IFERROR(__xludf.DUMMYFUNCTION("""COMPUTED_VALUE"""),"4 Stars")</f>
        <v>4 Stars</v>
      </c>
      <c r="F135" s="266" t="str">
        <f>IFERROR(__xludf.DUMMYFUNCTION("""COMPUTED_VALUE"""),"Bounty Festival")</f>
        <v>Bounty Festival</v>
      </c>
      <c r="G135" s="266" t="str">
        <f>IFERROR(__xludf.DUMMYFUNCTION("""COMPUTED_VALUE"""),"Attacker(s) ~ Paramecia ~ Power users ~ New World ~ Charlotte Family ~ Royalty / Former Royalty")</f>
        <v>Attacker(s) ~ Paramecia ~ Power users ~ New World ~ Charlotte Family ~ Royalty / Former Royalty</v>
      </c>
      <c r="H135" s="266" t="str">
        <f>IFERROR(__xludf.DUMMYFUNCTION("""COMPUTED_VALUE"""),"Green ~ Attacker")</f>
        <v>Green ~ Attacker</v>
      </c>
      <c r="I135" s="265" t="str">
        <f>IFERROR(__xludf.DUMMYFUNCTION("""COMPUTED_VALUE"""),"https://i.postimg.cc/0NH8mz6B/Green-Attacker.png")</f>
        <v>https://i.postimg.cc/0NH8mz6B/Green-Attacker.png</v>
      </c>
      <c r="J135" s="267" t="str">
        <f>IFERROR(__xludf.DUMMYFUNCTION("""COMPUTED_VALUE"""),"2022-05-26")</f>
        <v>2022-05-26</v>
      </c>
      <c r="K135" s="263"/>
    </row>
    <row r="136">
      <c r="A136" s="263"/>
      <c r="B136" s="264">
        <f>IFERROR(__xludf.DUMMYFUNCTION("""COMPUTED_VALUE"""),209.0)</f>
        <v>209</v>
      </c>
      <c r="C136" s="265" t="str">
        <f>IFERROR(__xludf.DUMMYFUNCTION("""COMPUTED_VALUE"""),"https://i.postimg.cc/B6PGfv4Q/209-Animal-Kingdom-Pirates-Tobi-Roppo-Ulti.png")</f>
        <v>https://i.postimg.cc/B6PGfv4Q/209-Animal-Kingdom-Pirates-Tobi-Roppo-Ulti.png</v>
      </c>
      <c r="D136" s="266" t="str">
        <f>IFERROR(__xludf.DUMMYFUNCTION("""COMPUTED_VALUE"""),"Animal Kingdom Pirates / Tobi Roppo ~ Ulti")</f>
        <v>Animal Kingdom Pirates / Tobi Roppo ~ Ulti</v>
      </c>
      <c r="E136" s="266" t="str">
        <f>IFERROR(__xludf.DUMMYFUNCTION("""COMPUTED_VALUE"""),"4 Stars")</f>
        <v>4 Stars</v>
      </c>
      <c r="F136" s="266" t="str">
        <f>IFERROR(__xludf.DUMMYFUNCTION("""COMPUTED_VALUE"""),"Bounty Festival")</f>
        <v>Bounty Festival</v>
      </c>
      <c r="G136" s="266" t="str">
        <f>IFERROR(__xludf.DUMMYFUNCTION("""COMPUTED_VALUE"""),"Attacker(s) ~ Zoan ~ Power users ~ New World ~ Animal Kingdom Pirates")</f>
        <v>Attacker(s) ~ Zoan ~ Power users ~ New World ~ Animal Kingdom Pirates</v>
      </c>
      <c r="H136" s="266" t="str">
        <f>IFERROR(__xludf.DUMMYFUNCTION("""COMPUTED_VALUE"""),"Blue ~ Attacker")</f>
        <v>Blue ~ Attacker</v>
      </c>
      <c r="I136" s="265" t="str">
        <f>IFERROR(__xludf.DUMMYFUNCTION("""COMPUTED_VALUE"""),"https://i.postimg.cc/1zRtDxvf/Blue-Attacker.png")</f>
        <v>https://i.postimg.cc/1zRtDxvf/Blue-Attacker.png</v>
      </c>
      <c r="J136" s="267" t="str">
        <f>IFERROR(__xludf.DUMMYFUNCTION("""COMPUTED_VALUE"""),"2022-05-12")</f>
        <v>2022-05-12</v>
      </c>
      <c r="K136" s="263"/>
    </row>
    <row r="137">
      <c r="A137" s="263"/>
      <c r="B137" s="264">
        <f>IFERROR(__xludf.DUMMYFUNCTION("""COMPUTED_VALUE"""),208.0)</f>
        <v>208</v>
      </c>
      <c r="C137" s="265" t="str">
        <f>IFERROR(__xludf.DUMMYFUNCTION("""COMPUTED_VALUE"""),"https://i.postimg.cc/cCQy65vp/208-Animal-Kingdom-Pirates-Tobi-Roppo-Page-One.png")</f>
        <v>https://i.postimg.cc/cCQy65vp/208-Animal-Kingdom-Pirates-Tobi-Roppo-Page-One.png</v>
      </c>
      <c r="D137" s="266" t="str">
        <f>IFERROR(__xludf.DUMMYFUNCTION("""COMPUTED_VALUE"""),"Animal Kingdom Pirates / Tobi Roppo ~ Page One")</f>
        <v>Animal Kingdom Pirates / Tobi Roppo ~ Page One</v>
      </c>
      <c r="E137" s="266" t="str">
        <f>IFERROR(__xludf.DUMMYFUNCTION("""COMPUTED_VALUE"""),"4 Stars")</f>
        <v>4 Stars</v>
      </c>
      <c r="F137" s="266" t="str">
        <f>IFERROR(__xludf.DUMMYFUNCTION("""COMPUTED_VALUE"""),"Bounty Festival")</f>
        <v>Bounty Festival</v>
      </c>
      <c r="G137" s="266" t="str">
        <f>IFERROR(__xludf.DUMMYFUNCTION("""COMPUTED_VALUE"""),"Defender(s) ~ Zoan ~ Power users ~ New World ~ Animal Kingdom Pirates")</f>
        <v>Defender(s) ~ Zoan ~ Power users ~ New World ~ Animal Kingdom Pirates</v>
      </c>
      <c r="H137" s="266" t="str">
        <f>IFERROR(__xludf.DUMMYFUNCTION("""COMPUTED_VALUE"""),"Red ~ Defender")</f>
        <v>Red ~ Defender</v>
      </c>
      <c r="I137" s="265" t="str">
        <f>IFERROR(__xludf.DUMMYFUNCTION("""COMPUTED_VALUE"""),"https://i.postimg.cc/P5XhRWY7/Red-Defender.png")</f>
        <v>https://i.postimg.cc/P5XhRWY7/Red-Defender.png</v>
      </c>
      <c r="J137" s="267" t="str">
        <f>IFERROR(__xludf.DUMMYFUNCTION("""COMPUTED_VALUE"""),"2022-05-12")</f>
        <v>2022-05-12</v>
      </c>
      <c r="K137" s="263"/>
    </row>
    <row r="138">
      <c r="A138" s="263"/>
      <c r="B138" s="264">
        <f>IFERROR(__xludf.DUMMYFUNCTION("""COMPUTED_VALUE"""),207.0)</f>
        <v>207</v>
      </c>
      <c r="C138" s="265" t="str">
        <f>IFERROR(__xludf.DUMMYFUNCTION("""COMPUTED_VALUE"""),"https://i.postimg.cc/1R6ZW4vv/207-Shandian-Warrior-Wyper.png")</f>
        <v>https://i.postimg.cc/1R6ZW4vv/207-Shandian-Warrior-Wyper.png</v>
      </c>
      <c r="D138" s="266" t="str">
        <f>IFERROR(__xludf.DUMMYFUNCTION("""COMPUTED_VALUE"""),"Shandian Warrior ~ Wyper")</f>
        <v>Shandian Warrior ~ Wyper</v>
      </c>
      <c r="E138" s="266" t="str">
        <f>IFERROR(__xludf.DUMMYFUNCTION("""COMPUTED_VALUE"""),"3 Stars")</f>
        <v>3 Stars</v>
      </c>
      <c r="F138" s="266" t="str">
        <f>IFERROR(__xludf.DUMMYFUNCTION("""COMPUTED_VALUE"""),"Free ~ 3 Stars")</f>
        <v>Free ~ 3 Stars</v>
      </c>
      <c r="G138" s="266" t="str">
        <f>IFERROR(__xludf.DUMMYFUNCTION("""COMPUTED_VALUE"""),"Runner(s) ~ The Grand Line ~ Long-Range Normal Attacks")</f>
        <v>Runner(s) ~ The Grand Line ~ Long-Range Normal Attacks</v>
      </c>
      <c r="H138" s="266" t="str">
        <f>IFERROR(__xludf.DUMMYFUNCTION("""COMPUTED_VALUE"""),"Red ~ Runner")</f>
        <v>Red ~ Runner</v>
      </c>
      <c r="I138" s="265" t="str">
        <f>IFERROR(__xludf.DUMMYFUNCTION("""COMPUTED_VALUE"""),"https://i.postimg.cc/Hk6HDrtk/Red-Runner.png")</f>
        <v>https://i.postimg.cc/Hk6HDrtk/Red-Runner.png</v>
      </c>
      <c r="J138" s="267" t="str">
        <f>IFERROR(__xludf.DUMMYFUNCTION("""COMPUTED_VALUE"""),"2022-04-26")</f>
        <v>2022-04-26</v>
      </c>
      <c r="K138" s="263"/>
    </row>
    <row r="139">
      <c r="A139" s="263"/>
      <c r="B139" s="264">
        <f>IFERROR(__xludf.DUMMYFUNCTION("""COMPUTED_VALUE"""),206.0)</f>
        <v>206</v>
      </c>
      <c r="C139" s="265" t="str">
        <f>IFERROR(__xludf.DUMMYFUNCTION("""COMPUTED_VALUE"""),"https://i.postimg.cc/bN9fhWcb/206-Land-of-Wano-Franosuke.png")</f>
        <v>https://i.postimg.cc/bN9fhWcb/206-Land-of-Wano-Franosuke.png</v>
      </c>
      <c r="D139" s="266" t="str">
        <f>IFERROR(__xludf.DUMMYFUNCTION("""COMPUTED_VALUE"""),"Land of Wano ~ Franosuke")</f>
        <v>Land of Wano ~ Franosuke</v>
      </c>
      <c r="E139" s="266" t="str">
        <f>IFERROR(__xludf.DUMMYFUNCTION("""COMPUTED_VALUE"""),"4 Stars")</f>
        <v>4 Stars</v>
      </c>
      <c r="F139" s="266" t="str">
        <f>IFERROR(__xludf.DUMMYFUNCTION("""COMPUTED_VALUE"""),"Step Up")</f>
        <v>Step Up</v>
      </c>
      <c r="G139" s="266" t="str">
        <f>IFERROR(__xludf.DUMMYFUNCTION("""COMPUTED_VALUE"""),"Attacker(s) ~ Straw Hat Pirates ~ New World")</f>
        <v>Attacker(s) ~ Straw Hat Pirates ~ New World</v>
      </c>
      <c r="H139" s="266" t="str">
        <f>IFERROR(__xludf.DUMMYFUNCTION("""COMPUTED_VALUE"""),"Blue ~ Attacker")</f>
        <v>Blue ~ Attacker</v>
      </c>
      <c r="I139" s="265" t="str">
        <f>IFERROR(__xludf.DUMMYFUNCTION("""COMPUTED_VALUE"""),"https://i.postimg.cc/1zRtDxvf/Blue-Attacker.png")</f>
        <v>https://i.postimg.cc/1zRtDxvf/Blue-Attacker.png</v>
      </c>
      <c r="J139" s="267" t="str">
        <f>IFERROR(__xludf.DUMMYFUNCTION("""COMPUTED_VALUE"""),"2022-04-14")</f>
        <v>2022-04-14</v>
      </c>
      <c r="K139" s="263"/>
    </row>
    <row r="140">
      <c r="A140" s="263"/>
      <c r="B140" s="264">
        <f>IFERROR(__xludf.DUMMYFUNCTION("""COMPUTED_VALUE"""),205.0)</f>
        <v>205</v>
      </c>
      <c r="C140" s="265" t="str">
        <f>IFERROR(__xludf.DUMMYFUNCTION("""COMPUTED_VALUE"""),"https://i.postimg.cc/3xLMyGwx/205-Land-of-Wano-Usohachi.png")</f>
        <v>https://i.postimg.cc/3xLMyGwx/205-Land-of-Wano-Usohachi.png</v>
      </c>
      <c r="D140" s="266" t="str">
        <f>IFERROR(__xludf.DUMMYFUNCTION("""COMPUTED_VALUE"""),"Land of Wano ~ Usohachi")</f>
        <v>Land of Wano ~ Usohachi</v>
      </c>
      <c r="E140" s="266" t="str">
        <f>IFERROR(__xludf.DUMMYFUNCTION("""COMPUTED_VALUE"""),"4 Stars")</f>
        <v>4 Stars</v>
      </c>
      <c r="F140" s="266" t="str">
        <f>IFERROR(__xludf.DUMMYFUNCTION("""COMPUTED_VALUE"""),"Step Up")</f>
        <v>Step Up</v>
      </c>
      <c r="G140" s="266" t="str">
        <f>IFERROR(__xludf.DUMMYFUNCTION("""COMPUTED_VALUE"""),"Defender(s) ~ Straw Hat Pirates ~ New World ~ Long-Range Normal Attacks")</f>
        <v>Defender(s) ~ Straw Hat Pirates ~ New World ~ Long-Range Normal Attacks</v>
      </c>
      <c r="H140" s="266" t="str">
        <f>IFERROR(__xludf.DUMMYFUNCTION("""COMPUTED_VALUE"""),"Red ~ Defender")</f>
        <v>Red ~ Defender</v>
      </c>
      <c r="I140" s="265" t="str">
        <f>IFERROR(__xludf.DUMMYFUNCTION("""COMPUTED_VALUE"""),"https://i.postimg.cc/P5XhRWY7/Red-Defender.png")</f>
        <v>https://i.postimg.cc/P5XhRWY7/Red-Defender.png</v>
      </c>
      <c r="J140" s="267" t="str">
        <f>IFERROR(__xludf.DUMMYFUNCTION("""COMPUTED_VALUE"""),"2022-04-07")</f>
        <v>2022-04-07</v>
      </c>
      <c r="K140" s="263"/>
    </row>
    <row r="141">
      <c r="A141" s="263"/>
      <c r="B141" s="264">
        <f>IFERROR(__xludf.DUMMYFUNCTION("""COMPUTED_VALUE"""),204.0)</f>
        <v>204</v>
      </c>
      <c r="C141" s="265" t="str">
        <f>IFERROR(__xludf.DUMMYFUNCTION("""COMPUTED_VALUE"""),"https://i.postimg.cc/1z4kDzgc/204-Blackbeard-Pirates-Former-Head-Jailer-of-Impel-Down-Shiryu.png")</f>
        <v>https://i.postimg.cc/1z4kDzgc/204-Blackbeard-Pirates-Former-Head-Jailer-of-Impel-Down-Shiryu.png</v>
      </c>
      <c r="D141" s="266" t="str">
        <f>IFERROR(__xludf.DUMMYFUNCTION("""COMPUTED_VALUE"""),"Blackbeard Pirates / Former Head Jailer of Impel Down ~ Shiryu")</f>
        <v>Blackbeard Pirates / Former Head Jailer of Impel Down ~ Shiryu</v>
      </c>
      <c r="E141" s="266" t="str">
        <f>IFERROR(__xludf.DUMMYFUNCTION("""COMPUTED_VALUE"""),"4 Stars")</f>
        <v>4 Stars</v>
      </c>
      <c r="F141" s="266" t="str">
        <f>IFERROR(__xludf.DUMMYFUNCTION("""COMPUTED_VALUE"""),"Bounty Festival")</f>
        <v>Bounty Festival</v>
      </c>
      <c r="G141" s="266" t="str">
        <f>IFERROR(__xludf.DUMMYFUNCTION("""COMPUTED_VALUE"""),"Attacker(s) ~ The Grand Line ~ Blackbeard Pirates")</f>
        <v>Attacker(s) ~ The Grand Line ~ Blackbeard Pirates</v>
      </c>
      <c r="H141" s="266" t="str">
        <f>IFERROR(__xludf.DUMMYFUNCTION("""COMPUTED_VALUE"""),"Red ~ Attacker")</f>
        <v>Red ~ Attacker</v>
      </c>
      <c r="I141" s="265" t="str">
        <f>IFERROR(__xludf.DUMMYFUNCTION("""COMPUTED_VALUE"""),"https://i.postimg.cc/L6B2DCYf/Red-Attacker.png")</f>
        <v>https://i.postimg.cc/L6B2DCYf/Red-Attacker.png</v>
      </c>
      <c r="J141" s="267" t="str">
        <f>IFERROR(__xludf.DUMMYFUNCTION("""COMPUTED_VALUE"""),"2022-03-31")</f>
        <v>2022-03-31</v>
      </c>
      <c r="K141" s="263"/>
    </row>
    <row r="142">
      <c r="A142" s="263"/>
      <c r="B142" s="264">
        <f>IFERROR(__xludf.DUMMYFUNCTION("""COMPUTED_VALUE"""),203.0)</f>
        <v>203</v>
      </c>
      <c r="C142" s="265" t="str">
        <f>IFERROR(__xludf.DUMMYFUNCTION("""COMPUTED_VALUE"""),"https://i.postimg.cc/NFvZh7dp/203-Whitebeard-Pirates-3rd-Division-Commander-Jozu.png")</f>
        <v>https://i.postimg.cc/NFvZh7dp/203-Whitebeard-Pirates-3rd-Division-Commander-Jozu.png</v>
      </c>
      <c r="D142" s="266" t="str">
        <f>IFERROR(__xludf.DUMMYFUNCTION("""COMPUTED_VALUE"""),"Whitebeard Pirates / 3rd Division Commander ~ Jozu")</f>
        <v>Whitebeard Pirates / 3rd Division Commander ~ Jozu</v>
      </c>
      <c r="E142" s="266" t="str">
        <f>IFERROR(__xludf.DUMMYFUNCTION("""COMPUTED_VALUE"""),"4 Stars")</f>
        <v>4 Stars</v>
      </c>
      <c r="F142" s="266" t="str">
        <f>IFERROR(__xludf.DUMMYFUNCTION("""COMPUTED_VALUE"""),"Bounty Festival")</f>
        <v>Bounty Festival</v>
      </c>
      <c r="G142" s="266" t="str">
        <f>IFERROR(__xludf.DUMMYFUNCTION("""COMPUTED_VALUE"""),"Defender(s) ~ Whitebeard Pirates ~ Paramecia ~ Power users ~ The Grand Line")</f>
        <v>Defender(s) ~ Whitebeard Pirates ~ Paramecia ~ Power users ~ The Grand Line</v>
      </c>
      <c r="H142" s="266" t="str">
        <f>IFERROR(__xludf.DUMMYFUNCTION("""COMPUTED_VALUE"""),"Blue ~ Defender")</f>
        <v>Blue ~ Defender</v>
      </c>
      <c r="I142" s="265" t="str">
        <f>IFERROR(__xludf.DUMMYFUNCTION("""COMPUTED_VALUE"""),"https://i.postimg.cc/m2xg81dx/Blue-Defender.png")</f>
        <v>https://i.postimg.cc/m2xg81dx/Blue-Defender.png</v>
      </c>
      <c r="J142" s="267" t="str">
        <f>IFERROR(__xludf.DUMMYFUNCTION("""COMPUTED_VALUE"""),"2022-03-31")</f>
        <v>2022-03-31</v>
      </c>
      <c r="K142" s="263"/>
    </row>
    <row r="143">
      <c r="A143" s="263"/>
      <c r="B143" s="264">
        <f>IFERROR(__xludf.DUMMYFUNCTION("""COMPUTED_VALUE"""),202.0)</f>
        <v>202</v>
      </c>
      <c r="C143" s="265" t="str">
        <f>IFERROR(__xludf.DUMMYFUNCTION("""COMPUTED_VALUE"""),"https://i.postimg.cc/gJZ1BBHx/202-Whitebeard-Pirates-5th-Division-Commander-Vista.png")</f>
        <v>https://i.postimg.cc/gJZ1BBHx/202-Whitebeard-Pirates-5th-Division-Commander-Vista.png</v>
      </c>
      <c r="D143" s="266" t="str">
        <f>IFERROR(__xludf.DUMMYFUNCTION("""COMPUTED_VALUE"""),"Whitebeard Pirates / 5th Division Commander ~ Vista")</f>
        <v>Whitebeard Pirates / 5th Division Commander ~ Vista</v>
      </c>
      <c r="E143" s="266" t="str">
        <f>IFERROR(__xludf.DUMMYFUNCTION("""COMPUTED_VALUE"""),"4 Stars")</f>
        <v>4 Stars</v>
      </c>
      <c r="F143" s="266" t="str">
        <f>IFERROR(__xludf.DUMMYFUNCTION("""COMPUTED_VALUE"""),"Step Up")</f>
        <v>Step Up</v>
      </c>
      <c r="G143" s="266" t="str">
        <f>IFERROR(__xludf.DUMMYFUNCTION("""COMPUTED_VALUE"""),"Attacker(s) ~ Whitebeard Pirates ~ Logia ~ Power users ~ The Grand Line ~ Long-Range Normal Attacks")</f>
        <v>Attacker(s) ~ Whitebeard Pirates ~ Logia ~ Power users ~ The Grand Line ~ Long-Range Normal Attacks</v>
      </c>
      <c r="H143" s="266" t="str">
        <f>IFERROR(__xludf.DUMMYFUNCTION("""COMPUTED_VALUE"""),"Blue ~ Runner")</f>
        <v>Blue ~ Runner</v>
      </c>
      <c r="I143" s="265" t="str">
        <f>IFERROR(__xludf.DUMMYFUNCTION("""COMPUTED_VALUE"""),"https://i.postimg.cc/4NzNM4MY/Blue-Runner.png")</f>
        <v>https://i.postimg.cc/4NzNM4MY/Blue-Runner.png</v>
      </c>
      <c r="J143" s="267" t="str">
        <f>IFERROR(__xludf.DUMMYFUNCTION("""COMPUTED_VALUE"""),"2022-03-17")</f>
        <v>2022-03-17</v>
      </c>
      <c r="K143" s="263"/>
    </row>
    <row r="144">
      <c r="A144" s="263"/>
      <c r="B144" s="264">
        <f>IFERROR(__xludf.DUMMYFUNCTION("""COMPUTED_VALUE"""),201.0)</f>
        <v>201</v>
      </c>
      <c r="C144" s="265" t="str">
        <f>IFERROR(__xludf.DUMMYFUNCTION("""COMPUTED_VALUE"""),"https://i.postimg.cc/g05fsP89/201-Blackbeard-Pirates-Helsman-Champ-Jesus-Burgess-png.png")</f>
        <v>https://i.postimg.cc/g05fsP89/201-Blackbeard-Pirates-Helsman-Champ-Jesus-Burgess-png.png</v>
      </c>
      <c r="D144" s="266" t="str">
        <f>IFERROR(__xludf.DUMMYFUNCTION("""COMPUTED_VALUE"""),"Blackbeard Pirates / Helsman ""Champ"" ~ Jesus Burgess")</f>
        <v>Blackbeard Pirates / Helsman "Champ" ~ Jesus Burgess</v>
      </c>
      <c r="E144" s="266" t="str">
        <f>IFERROR(__xludf.DUMMYFUNCTION("""COMPUTED_VALUE"""),"4 Stars")</f>
        <v>4 Stars</v>
      </c>
      <c r="F144" s="266" t="str">
        <f>IFERROR(__xludf.DUMMYFUNCTION("""COMPUTED_VALUE"""),"Step Up")</f>
        <v>Step Up</v>
      </c>
      <c r="G144" s="266" t="str">
        <f>IFERROR(__xludf.DUMMYFUNCTION("""COMPUTED_VALUE"""),"Attacker(s) ~ The Grand Line ~ Blackbeard Pirates")</f>
        <v>Attacker(s) ~ The Grand Line ~ Blackbeard Pirates</v>
      </c>
      <c r="H144" s="266" t="str">
        <f>IFERROR(__xludf.DUMMYFUNCTION("""COMPUTED_VALUE"""),"Green ~ Attacker")</f>
        <v>Green ~ Attacker</v>
      </c>
      <c r="I144" s="265" t="str">
        <f>IFERROR(__xludf.DUMMYFUNCTION("""COMPUTED_VALUE"""),"https://i.postimg.cc/0NH8mz6B/Green-Attacker.png")</f>
        <v>https://i.postimg.cc/0NH8mz6B/Green-Attacker.png</v>
      </c>
      <c r="J144" s="267" t="str">
        <f>IFERROR(__xludf.DUMMYFUNCTION("""COMPUTED_VALUE"""),"2022-03-07")</f>
        <v>2022-03-07</v>
      </c>
      <c r="K144" s="263"/>
    </row>
    <row r="145">
      <c r="A145" s="263"/>
      <c r="B145" s="264">
        <f>IFERROR(__xludf.DUMMYFUNCTION("""COMPUTED_VALUE"""),200.0)</f>
        <v>200</v>
      </c>
      <c r="C145" s="265" t="str">
        <f>IFERROR(__xludf.DUMMYFUNCTION("""COMPUTED_VALUE"""),"https://i.postimg.cc/XN9Tfmvh/200-Stealth-Black-Soba-Mask.png")</f>
        <v>https://i.postimg.cc/XN9Tfmvh/200-Stealth-Black-Soba-Mask.png</v>
      </c>
      <c r="D145" s="266" t="str">
        <f>IFERROR(__xludf.DUMMYFUNCTION("""COMPUTED_VALUE"""),"Stealth Black ~ Soba Mask")</f>
        <v>Stealth Black ~ Soba Mask</v>
      </c>
      <c r="E145" s="266" t="str">
        <f>IFERROR(__xludf.DUMMYFUNCTION("""COMPUTED_VALUE"""),"4 Stars")</f>
        <v>4 Stars</v>
      </c>
      <c r="F145" s="266" t="str">
        <f>IFERROR(__xludf.DUMMYFUNCTION("""COMPUTED_VALUE"""),"Bounty Festival")</f>
        <v>Bounty Festival</v>
      </c>
      <c r="G145" s="266" t="str">
        <f>IFERROR(__xludf.DUMMYFUNCTION("""COMPUTED_VALUE"""),"Runner(s) ~ Straw Hat Pirates ~ New World ~ Germa 66 ~ Royalty / Former Royalty")</f>
        <v>Runner(s) ~ Straw Hat Pirates ~ New World ~ Germa 66 ~ Royalty / Former Royalty</v>
      </c>
      <c r="H145" s="266" t="str">
        <f>IFERROR(__xludf.DUMMYFUNCTION("""COMPUTED_VALUE"""),"Green ~ Runner")</f>
        <v>Green ~ Runner</v>
      </c>
      <c r="I145" s="265" t="str">
        <f>IFERROR(__xludf.DUMMYFUNCTION("""COMPUTED_VALUE"""),"https://i.postimg.cc/PxgT30Qb/Green-Runner.png")</f>
        <v>https://i.postimg.cc/PxgT30Qb/Green-Runner.png</v>
      </c>
      <c r="J145" s="267" t="str">
        <f>IFERROR(__xludf.DUMMYFUNCTION("""COMPUTED_VALUE"""),"2022-02-28")</f>
        <v>2022-02-28</v>
      </c>
      <c r="K145" s="263"/>
    </row>
    <row r="146">
      <c r="A146" s="263"/>
      <c r="B146" s="264">
        <f>IFERROR(__xludf.DUMMYFUNCTION("""COMPUTED_VALUE"""),199.0)</f>
        <v>199</v>
      </c>
      <c r="C146" s="265" t="str">
        <f>IFERROR(__xludf.DUMMYFUNCTION("""COMPUTED_VALUE"""),"https://i.postimg.cc/CLNXt8ks/199-Germa-66-Generalissimo-Vinsmoke-Judge.png")</f>
        <v>https://i.postimg.cc/CLNXt8ks/199-Germa-66-Generalissimo-Vinsmoke-Judge.png</v>
      </c>
      <c r="D146" s="266" t="str">
        <f>IFERROR(__xludf.DUMMYFUNCTION("""COMPUTED_VALUE"""),"Germa 66 / Generalissimo ~ Vinsmoke Judge")</f>
        <v>Germa 66 / Generalissimo ~ Vinsmoke Judge</v>
      </c>
      <c r="E146" s="266" t="str">
        <f>IFERROR(__xludf.DUMMYFUNCTION("""COMPUTED_VALUE"""),"4 Stars")</f>
        <v>4 Stars</v>
      </c>
      <c r="F146" s="266" t="str">
        <f>IFERROR(__xludf.DUMMYFUNCTION("""COMPUTED_VALUE"""),"Bounty Festival")</f>
        <v>Bounty Festival</v>
      </c>
      <c r="G146" s="266" t="str">
        <f>IFERROR(__xludf.DUMMYFUNCTION("""COMPUTED_VALUE"""),"Defender(s) ~ New World ~ Germa 66 ~ Royalty / Former Royalty")</f>
        <v>Defender(s) ~ New World ~ Germa 66 ~ Royalty / Former Royalty</v>
      </c>
      <c r="H146" s="266" t="str">
        <f>IFERROR(__xludf.DUMMYFUNCTION("""COMPUTED_VALUE"""),"Blue ~ Defender")</f>
        <v>Blue ~ Defender</v>
      </c>
      <c r="I146" s="265" t="str">
        <f>IFERROR(__xludf.DUMMYFUNCTION("""COMPUTED_VALUE"""),"https://i.postimg.cc/m2xg81dx/Blue-Defender.png")</f>
        <v>https://i.postimg.cc/m2xg81dx/Blue-Defender.png</v>
      </c>
      <c r="J146" s="267" t="str">
        <f>IFERROR(__xludf.DUMMYFUNCTION("""COMPUTED_VALUE"""),"2022-02-28")</f>
        <v>2022-02-28</v>
      </c>
      <c r="K146" s="263"/>
    </row>
    <row r="147">
      <c r="A147" s="263"/>
      <c r="B147" s="264">
        <f>IFERROR(__xludf.DUMMYFUNCTION("""COMPUTED_VALUE"""),198.0)</f>
        <v>198</v>
      </c>
      <c r="C147" s="265" t="str">
        <f>IFERROR(__xludf.DUMMYFUNCTION("""COMPUTED_VALUE"""),"https://i.postimg.cc/GmmV1pjw/198-Man-Who-Dreams-of-Becoming-the-King-of-the-Pirates-Monkey-D-Luffy.png")</f>
        <v>https://i.postimg.cc/GmmV1pjw/198-Man-Who-Dreams-of-Becoming-the-King-of-the-Pirates-Monkey-D-Luffy.png</v>
      </c>
      <c r="D147" s="266" t="str">
        <f>IFERROR(__xludf.DUMMYFUNCTION("""COMPUTED_VALUE"""),"Man Who Dreams of Becoming the King of the Pirates ~ Monkey D. Luffy")</f>
        <v>Man Who Dreams of Becoming the King of the Pirates ~ Monkey D. Luffy</v>
      </c>
      <c r="E147" s="266" t="str">
        <f>IFERROR(__xludf.DUMMYFUNCTION("""COMPUTED_VALUE"""),"4 Stars")</f>
        <v>4 Stars</v>
      </c>
      <c r="F147" s="266" t="str">
        <f>IFERROR(__xludf.DUMMYFUNCTION("""COMPUTED_VALUE"""),"Extreme")</f>
        <v>Extreme</v>
      </c>
      <c r="G147" s="266" t="str">
        <f>IFERROR(__xludf.DUMMYFUNCTION("""COMPUTED_VALUE"""),"Attacker(s) ~ Straw Hat Pirates ~ Paramecia ~ Captain ~ Power users ~ Worst Generation")</f>
        <v>Attacker(s) ~ Straw Hat Pirates ~ Paramecia ~ Captain ~ Power users ~ Worst Generation</v>
      </c>
      <c r="H147" s="266" t="str">
        <f>IFERROR(__xludf.DUMMYFUNCTION("""COMPUTED_VALUE"""),"Blue ~ Attacker-Runner")</f>
        <v>Blue ~ Attacker-Runner</v>
      </c>
      <c r="I147" s="265" t="str">
        <f>IFERROR(__xludf.DUMMYFUNCTION("""COMPUTED_VALUE"""),"https://i.postimg.cc/J0nmNGTf/Transforming-Class-Blue-Attacker.png")</f>
        <v>https://i.postimg.cc/J0nmNGTf/Transforming-Class-Blue-Attacker.png</v>
      </c>
      <c r="J147" s="267" t="str">
        <f>IFERROR(__xludf.DUMMYFUNCTION("""COMPUTED_VALUE"""),"2022-02-03")</f>
        <v>2022-02-03</v>
      </c>
      <c r="K147" s="263"/>
    </row>
    <row r="148">
      <c r="A148" s="263"/>
      <c r="B148" s="264">
        <f>IFERROR(__xludf.DUMMYFUNCTION("""COMPUTED_VALUE"""),197.0)</f>
        <v>197</v>
      </c>
      <c r="C148" s="265" t="str">
        <f>IFERROR(__xludf.DUMMYFUNCTION("""COMPUTED_VALUE"""),"https://i.postimg.cc/HW0hcMZ1/197-The-Strongest-Creature-Alive-Kaido.png")</f>
        <v>https://i.postimg.cc/HW0hcMZ1/197-The-Strongest-Creature-Alive-Kaido.png</v>
      </c>
      <c r="D148" s="266" t="str">
        <f>IFERROR(__xludf.DUMMYFUNCTION("""COMPUTED_VALUE"""),"The Strongest Creature Alive ~ Kaido")</f>
        <v>The Strongest Creature Alive ~ Kaido</v>
      </c>
      <c r="E148" s="266" t="str">
        <f>IFERROR(__xludf.DUMMYFUNCTION("""COMPUTED_VALUE"""),"4 Stars")</f>
        <v>4 Stars</v>
      </c>
      <c r="F148" s="266" t="str">
        <f>IFERROR(__xludf.DUMMYFUNCTION("""COMPUTED_VALUE"""),"Extreme")</f>
        <v>Extreme</v>
      </c>
      <c r="G148" s="266" t="str">
        <f>IFERROR(__xludf.DUMMYFUNCTION("""COMPUTED_VALUE"""),"Defender(s) ~ Zoan ~ Captain ~ Power users ~ New World ~ Animal Kingdom Pirates")</f>
        <v>Defender(s) ~ Zoan ~ Captain ~ Power users ~ New World ~ Animal Kingdom Pirates</v>
      </c>
      <c r="H148" s="266" t="str">
        <f>IFERROR(__xludf.DUMMYFUNCTION("""COMPUTED_VALUE"""),"Blue ~ Defender")</f>
        <v>Blue ~ Defender</v>
      </c>
      <c r="I148" s="265" t="str">
        <f>IFERROR(__xludf.DUMMYFUNCTION("""COMPUTED_VALUE"""),"https://i.postimg.cc/m2xg81dx/Blue-Defender.png")</f>
        <v>https://i.postimg.cc/m2xg81dx/Blue-Defender.png</v>
      </c>
      <c r="J148" s="267" t="str">
        <f>IFERROR(__xludf.DUMMYFUNCTION("""COMPUTED_VALUE"""),"2022-01-27")</f>
        <v>2022-01-27</v>
      </c>
      <c r="K148" s="263"/>
    </row>
    <row r="149">
      <c r="A149" s="263"/>
      <c r="B149" s="264">
        <f>IFERROR(__xludf.DUMMYFUNCTION("""COMPUTED_VALUE"""),196.0)</f>
        <v>196</v>
      </c>
      <c r="C149" s="265" t="str">
        <f>IFERROR(__xludf.DUMMYFUNCTION("""COMPUTED_VALUE"""),"https://i.postimg.cc/C1k64nwD/196-Animal-Kingdom-Pirates-Lead-Performer-Queen.png")</f>
        <v>https://i.postimg.cc/C1k64nwD/196-Animal-Kingdom-Pirates-Lead-Performer-Queen.png</v>
      </c>
      <c r="D149" s="266" t="str">
        <f>IFERROR(__xludf.DUMMYFUNCTION("""COMPUTED_VALUE"""),"Animal Kingdom Pirates / Lead Performer ~ Queen")</f>
        <v>Animal Kingdom Pirates / Lead Performer ~ Queen</v>
      </c>
      <c r="E149" s="266" t="str">
        <f>IFERROR(__xludf.DUMMYFUNCTION("""COMPUTED_VALUE"""),"4 Stars")</f>
        <v>4 Stars</v>
      </c>
      <c r="F149" s="266" t="str">
        <f>IFERROR(__xludf.DUMMYFUNCTION("""COMPUTED_VALUE"""),"Bounty Festival")</f>
        <v>Bounty Festival</v>
      </c>
      <c r="G149" s="266" t="str">
        <f>IFERROR(__xludf.DUMMYFUNCTION("""COMPUTED_VALUE"""),"Defender(s) ~ Zoan ~ Power users ~ New World ~ Animal Kingdom Pirates")</f>
        <v>Defender(s) ~ Zoan ~ Power users ~ New World ~ Animal Kingdom Pirates</v>
      </c>
      <c r="H149" s="266" t="str">
        <f>IFERROR(__xludf.DUMMYFUNCTION("""COMPUTED_VALUE"""),"Red ~ Defender")</f>
        <v>Red ~ Defender</v>
      </c>
      <c r="I149" s="265" t="str">
        <f>IFERROR(__xludf.DUMMYFUNCTION("""COMPUTED_VALUE"""),"https://i.postimg.cc/P5XhRWY7/Red-Defender.png")</f>
        <v>https://i.postimg.cc/P5XhRWY7/Red-Defender.png</v>
      </c>
      <c r="J149" s="267" t="str">
        <f>IFERROR(__xludf.DUMMYFUNCTION("""COMPUTED_VALUE"""),"2022-01-13")</f>
        <v>2022-01-13</v>
      </c>
      <c r="K149" s="263"/>
    </row>
    <row r="150">
      <c r="A150" s="263"/>
      <c r="B150" s="264">
        <f>IFERROR(__xludf.DUMMYFUNCTION("""COMPUTED_VALUE"""),195.0)</f>
        <v>195</v>
      </c>
      <c r="C150" s="265" t="str">
        <f>IFERROR(__xludf.DUMMYFUNCTION("""COMPUTED_VALUE"""),"https://i.postimg.cc/6qhjks2p/195-Animal-Kingdom-Pirates-Lead-Performer-Jack.png")</f>
        <v>https://i.postimg.cc/6qhjks2p/195-Animal-Kingdom-Pirates-Lead-Performer-Jack.png</v>
      </c>
      <c r="D150" s="266" t="str">
        <f>IFERROR(__xludf.DUMMYFUNCTION("""COMPUTED_VALUE"""),"Animal Kingdom Pirates / Lead Performer ~ Jack")</f>
        <v>Animal Kingdom Pirates / Lead Performer ~ Jack</v>
      </c>
      <c r="E150" s="266" t="str">
        <f>IFERROR(__xludf.DUMMYFUNCTION("""COMPUTED_VALUE"""),"4 Stars")</f>
        <v>4 Stars</v>
      </c>
      <c r="F150" s="266" t="str">
        <f>IFERROR(__xludf.DUMMYFUNCTION("""COMPUTED_VALUE"""),"Bounty Festival")</f>
        <v>Bounty Festival</v>
      </c>
      <c r="G150" s="266" t="str">
        <f>IFERROR(__xludf.DUMMYFUNCTION("""COMPUTED_VALUE"""),"Attacker(s) ~ Zoan ~ Fish-Man ~ Power users ~ New World ~ Animal Kingdom Pirates")</f>
        <v>Attacker(s) ~ Zoan ~ Fish-Man ~ Power users ~ New World ~ Animal Kingdom Pirates</v>
      </c>
      <c r="H150" s="266" t="str">
        <f>IFERROR(__xludf.DUMMYFUNCTION("""COMPUTED_VALUE"""),"Green ~ Attacker")</f>
        <v>Green ~ Attacker</v>
      </c>
      <c r="I150" s="265" t="str">
        <f>IFERROR(__xludf.DUMMYFUNCTION("""COMPUTED_VALUE"""),"https://i.postimg.cc/0NH8mz6B/Green-Attacker.png")</f>
        <v>https://i.postimg.cc/0NH8mz6B/Green-Attacker.png</v>
      </c>
      <c r="J150" s="267" t="str">
        <f>IFERROR(__xludf.DUMMYFUNCTION("""COMPUTED_VALUE"""),"2022-01-13")</f>
        <v>2022-01-13</v>
      </c>
      <c r="K150" s="263"/>
    </row>
    <row r="151">
      <c r="A151" s="263"/>
      <c r="B151" s="264">
        <f>IFERROR(__xludf.DUMMYFUNCTION("""COMPUTED_VALUE"""),194.0)</f>
        <v>194</v>
      </c>
      <c r="C151" s="265" t="str">
        <f>IFERROR(__xludf.DUMMYFUNCTION("""COMPUTED_VALUE"""),"https://i.postimg.cc/m28pVsWd/194-Kaido-s-Son-Yamato.png")</f>
        <v>https://i.postimg.cc/m28pVsWd/194-Kaido-s-Son-Yamato.png</v>
      </c>
      <c r="D151" s="266" t="str">
        <f>IFERROR(__xludf.DUMMYFUNCTION("""COMPUTED_VALUE"""),"Kaido`s Son ~ Yamato")</f>
        <v>Kaido`s Son ~ Yamato</v>
      </c>
      <c r="E151" s="266" t="str">
        <f>IFERROR(__xludf.DUMMYFUNCTION("""COMPUTED_VALUE"""),"4 Stars")</f>
        <v>4 Stars</v>
      </c>
      <c r="F151" s="266" t="str">
        <f>IFERROR(__xludf.DUMMYFUNCTION("""COMPUTED_VALUE"""),"Extreme")</f>
        <v>Extreme</v>
      </c>
      <c r="G151" s="266" t="str">
        <f>IFERROR(__xludf.DUMMYFUNCTION("""COMPUTED_VALUE"""),"Runner(s) ~ Zoan ~ Power users ~ New World")</f>
        <v>Runner(s) ~ Zoan ~ Power users ~ New World</v>
      </c>
      <c r="H151" s="266" t="str">
        <f>IFERROR(__xludf.DUMMYFUNCTION("""COMPUTED_VALUE"""),"Red ~ Runner")</f>
        <v>Red ~ Runner</v>
      </c>
      <c r="I151" s="265" t="str">
        <f>IFERROR(__xludf.DUMMYFUNCTION("""COMPUTED_VALUE"""),"https://i.postimg.cc/Hk6HDrtk/Red-Runner.png")</f>
        <v>https://i.postimg.cc/Hk6HDrtk/Red-Runner.png</v>
      </c>
      <c r="J151" s="267" t="str">
        <f>IFERROR(__xludf.DUMMYFUNCTION("""COMPUTED_VALUE"""),"2021-12-20")</f>
        <v>2021-12-20</v>
      </c>
      <c r="K151" s="263"/>
    </row>
    <row r="152">
      <c r="A152" s="263"/>
      <c r="B152" s="264">
        <f>IFERROR(__xludf.DUMMYFUNCTION("""COMPUTED_VALUE"""),193.0)</f>
        <v>193</v>
      </c>
      <c r="C152" s="265" t="str">
        <f>IFERROR(__xludf.DUMMYFUNCTION("""COMPUTED_VALUE"""),"https://i.postimg.cc/BnbYVVqJ/193-Former-Whitebeard-Pirates-16th-Division-Commander-Izo.png")</f>
        <v>https://i.postimg.cc/BnbYVVqJ/193-Former-Whitebeard-Pirates-16th-Division-Commander-Izo.png</v>
      </c>
      <c r="D152" s="266" t="str">
        <f>IFERROR(__xludf.DUMMYFUNCTION("""COMPUTED_VALUE"""),"Former Whitebeard Pirates / 16th Division Commander ~ Izo")</f>
        <v>Former Whitebeard Pirates / 16th Division Commander ~ Izo</v>
      </c>
      <c r="E152" s="266" t="str">
        <f>IFERROR(__xludf.DUMMYFUNCTION("""COMPUTED_VALUE"""),"4 Stars")</f>
        <v>4 Stars</v>
      </c>
      <c r="F152" s="266" t="str">
        <f>IFERROR(__xludf.DUMMYFUNCTION("""COMPUTED_VALUE"""),"Step Up")</f>
        <v>Step Up</v>
      </c>
      <c r="G152" s="266" t="str">
        <f>IFERROR(__xludf.DUMMYFUNCTION("""COMPUTED_VALUE"""),"Attacker(s) ~ Whitebeard Pirates ~ New World ~ Long-Range Normal Attacks ~ Kozuki Clan / Kozuki Clan Servant")</f>
        <v>Attacker(s) ~ Whitebeard Pirates ~ New World ~ Long-Range Normal Attacks ~ Kozuki Clan / Kozuki Clan Servant</v>
      </c>
      <c r="H152" s="266" t="str">
        <f>IFERROR(__xludf.DUMMYFUNCTION("""COMPUTED_VALUE"""),"Blue ~ Attacker")</f>
        <v>Blue ~ Attacker</v>
      </c>
      <c r="I152" s="265" t="str">
        <f>IFERROR(__xludf.DUMMYFUNCTION("""COMPUTED_VALUE"""),"https://i.postimg.cc/1zRtDxvf/Blue-Attacker.png")</f>
        <v>https://i.postimg.cc/1zRtDxvf/Blue-Attacker.png</v>
      </c>
      <c r="J152" s="267" t="str">
        <f>IFERROR(__xludf.DUMMYFUNCTION("""COMPUTED_VALUE"""),"2021-12-14")</f>
        <v>2021-12-14</v>
      </c>
      <c r="K152" s="263"/>
    </row>
    <row r="153">
      <c r="A153" s="263"/>
      <c r="B153" s="264">
        <f>IFERROR(__xludf.DUMMYFUNCTION("""COMPUTED_VALUE"""),192.0)</f>
        <v>192</v>
      </c>
      <c r="C153" s="265" t="str">
        <f>IFERROR(__xludf.DUMMYFUNCTION("""COMPUTED_VALUE"""),"https://i.postimg.cc/sgL6d4X7/192-Kurozumi-Spy-Kurozumi-Kanjuro.png")</f>
        <v>https://i.postimg.cc/sgL6d4X7/192-Kurozumi-Spy-Kurozumi-Kanjuro.png</v>
      </c>
      <c r="D153" s="266" t="str">
        <f>IFERROR(__xludf.DUMMYFUNCTION("""COMPUTED_VALUE"""),"Kurozumi Spy ~ Kurozumi Kanjuro")</f>
        <v>Kurozumi Spy ~ Kurozumi Kanjuro</v>
      </c>
      <c r="E153" s="266" t="str">
        <f>IFERROR(__xludf.DUMMYFUNCTION("""COMPUTED_VALUE"""),"4 Stars")</f>
        <v>4 Stars</v>
      </c>
      <c r="F153" s="266" t="str">
        <f>IFERROR(__xludf.DUMMYFUNCTION("""COMPUTED_VALUE"""),"Step Up")</f>
        <v>Step Up</v>
      </c>
      <c r="G153" s="266" t="str">
        <f>IFERROR(__xludf.DUMMYFUNCTION("""COMPUTED_VALUE"""),"Runner(s) ~ Paramecia ~ Power users ~ New World")</f>
        <v>Runner(s) ~ Paramecia ~ Power users ~ New World</v>
      </c>
      <c r="H153" s="266" t="str">
        <f>IFERROR(__xludf.DUMMYFUNCTION("""COMPUTED_VALUE"""),"Green ~ Runner")</f>
        <v>Green ~ Runner</v>
      </c>
      <c r="I153" s="265" t="str">
        <f>IFERROR(__xludf.DUMMYFUNCTION("""COMPUTED_VALUE"""),"https://i.postimg.cc/PxgT30Qb/Green-Runner.png")</f>
        <v>https://i.postimg.cc/PxgT30Qb/Green-Runner.png</v>
      </c>
      <c r="J153" s="267" t="str">
        <f>IFERROR(__xludf.DUMMYFUNCTION("""COMPUTED_VALUE"""),"2021-12-07")</f>
        <v>2021-12-07</v>
      </c>
      <c r="K153" s="263"/>
    </row>
    <row r="154">
      <c r="A154" s="263"/>
      <c r="B154" s="264">
        <f>IFERROR(__xludf.DUMMYFUNCTION("""COMPUTED_VALUE"""),191.0)</f>
        <v>191</v>
      </c>
      <c r="C154" s="265" t="str">
        <f>IFERROR(__xludf.DUMMYFUNCTION("""COMPUTED_VALUE"""),"https://i.postimg.cc/NM6pXhxk/191-Roger-Pirates-First-Mate-Silvers-Rayliegh.png")</f>
        <v>https://i.postimg.cc/NM6pXhxk/191-Roger-Pirates-First-Mate-Silvers-Rayliegh.png</v>
      </c>
      <c r="D154" s="266" t="str">
        <f>IFERROR(__xludf.DUMMYFUNCTION("""COMPUTED_VALUE"""),"Roger Pirates / First Mate ~ Silvers Rayleigh")</f>
        <v>Roger Pirates / First Mate ~ Silvers Rayleigh</v>
      </c>
      <c r="E154" s="266" t="str">
        <f>IFERROR(__xludf.DUMMYFUNCTION("""COMPUTED_VALUE"""),"4 Stars")</f>
        <v>4 Stars</v>
      </c>
      <c r="F154" s="266" t="str">
        <f>IFERROR(__xludf.DUMMYFUNCTION("""COMPUTED_VALUE"""),"Bounty Festival")</f>
        <v>Bounty Festival</v>
      </c>
      <c r="G154" s="266" t="str">
        <f>IFERROR(__xludf.DUMMYFUNCTION("""COMPUTED_VALUE"""),"Runner(s) ~ Roger Pirates / Ex-Roger Pirates")</f>
        <v>Runner(s) ~ Roger Pirates / Ex-Roger Pirates</v>
      </c>
      <c r="H154" s="266" t="str">
        <f>IFERROR(__xludf.DUMMYFUNCTION("""COMPUTED_VALUE"""),"Blue ~ Runner")</f>
        <v>Blue ~ Runner</v>
      </c>
      <c r="I154" s="265" t="str">
        <f>IFERROR(__xludf.DUMMYFUNCTION("""COMPUTED_VALUE"""),"https://i.postimg.cc/4NzNM4MY/Blue-Runner.png")</f>
        <v>https://i.postimg.cc/4NzNM4MY/Blue-Runner.png</v>
      </c>
      <c r="J154" s="267" t="str">
        <f>IFERROR(__xludf.DUMMYFUNCTION("""COMPUTED_VALUE"""),"2021-11-30")</f>
        <v>2021-11-30</v>
      </c>
      <c r="K154" s="263"/>
    </row>
    <row r="155">
      <c r="A155" s="263"/>
      <c r="B155" s="264">
        <f>IFERROR(__xludf.DUMMYFUNCTION("""COMPUTED_VALUE"""),190.0)</f>
        <v>190</v>
      </c>
      <c r="C155" s="265" t="str">
        <f>IFERROR(__xludf.DUMMYFUNCTION("""COMPUTED_VALUE"""),"https://i.postimg.cc/Hn3zSQRJ/190-Whole-Cake-Island-Jinbe.png")</f>
        <v>https://i.postimg.cc/Hn3zSQRJ/190-Whole-Cake-Island-Jinbe.png</v>
      </c>
      <c r="D155" s="266" t="str">
        <f>IFERROR(__xludf.DUMMYFUNCTION("""COMPUTED_VALUE"""),"Whole Cake Island ~ Jinbe")</f>
        <v>Whole Cake Island ~ Jinbe</v>
      </c>
      <c r="E155" s="266" t="str">
        <f>IFERROR(__xludf.DUMMYFUNCTION("""COMPUTED_VALUE"""),"4 Stars")</f>
        <v>4 Stars</v>
      </c>
      <c r="F155" s="266" t="str">
        <f>IFERROR(__xludf.DUMMYFUNCTION("""COMPUTED_VALUE"""),"Step Up")</f>
        <v>Step Up</v>
      </c>
      <c r="G155" s="266" t="str">
        <f>IFERROR(__xludf.DUMMYFUNCTION("""COMPUTED_VALUE"""),"Defender(s) ~ The Seven Warlords of the Sea / Former Warlords of the Sea ~ Captain ~ Fish-Man ~ New World")</f>
        <v>Defender(s) ~ The Seven Warlords of the Sea / Former Warlords of the Sea ~ Captain ~ Fish-Man ~ New World</v>
      </c>
      <c r="H155" s="266" t="str">
        <f>IFERROR(__xludf.DUMMYFUNCTION("""COMPUTED_VALUE"""),"Red ~ Defender")</f>
        <v>Red ~ Defender</v>
      </c>
      <c r="I155" s="265" t="str">
        <f>IFERROR(__xludf.DUMMYFUNCTION("""COMPUTED_VALUE"""),"https://i.postimg.cc/P5XhRWY7/Red-Defender.png")</f>
        <v>https://i.postimg.cc/P5XhRWY7/Red-Defender.png</v>
      </c>
      <c r="J155" s="267" t="str">
        <f>IFERROR(__xludf.DUMMYFUNCTION("""COMPUTED_VALUE"""),"2021-11-11")</f>
        <v>2021-11-11</v>
      </c>
      <c r="K155" s="263"/>
    </row>
    <row r="156">
      <c r="A156" s="263"/>
      <c r="B156" s="264">
        <f>IFERROR(__xludf.DUMMYFUNCTION("""COMPUTED_VALUE"""),189.0)</f>
        <v>189</v>
      </c>
      <c r="C156" s="265" t="str">
        <f>IFERROR(__xludf.DUMMYFUNCTION("""COMPUTED_VALUE"""),"https://i.postimg.cc/X7Hxdk9m/189-Big-Mom-Pirates-Crewmate-Charlotte-Pudding.png")</f>
        <v>https://i.postimg.cc/X7Hxdk9m/189-Big-Mom-Pirates-Crewmate-Charlotte-Pudding.png</v>
      </c>
      <c r="D156" s="266" t="str">
        <f>IFERROR(__xludf.DUMMYFUNCTION("""COMPUTED_VALUE"""),"Big Mom Pirates / Crewmate ~ Charlotte Pudding")</f>
        <v>Big Mom Pirates / Crewmate ~ Charlotte Pudding</v>
      </c>
      <c r="E156" s="266" t="str">
        <f>IFERROR(__xludf.DUMMYFUNCTION("""COMPUTED_VALUE"""),"4 Stars")</f>
        <v>4 Stars</v>
      </c>
      <c r="F156" s="266" t="str">
        <f>IFERROR(__xludf.DUMMYFUNCTION("""COMPUTED_VALUE"""),"Step Up")</f>
        <v>Step Up</v>
      </c>
      <c r="G156" s="266" t="str">
        <f>IFERROR(__xludf.DUMMYFUNCTION("""COMPUTED_VALUE"""),"Attacker(s) ~ Paramecia ~ Power users ~ New World ~ Long-Range Normal Attacks ~ Charlotte Family ~ Royalty / Former Royalty")</f>
        <v>Attacker(s) ~ Paramecia ~ Power users ~ New World ~ Long-Range Normal Attacks ~ Charlotte Family ~ Royalty / Former Royalty</v>
      </c>
      <c r="H156" s="266" t="str">
        <f>IFERROR(__xludf.DUMMYFUNCTION("""COMPUTED_VALUE"""),"Red ~ Attacker")</f>
        <v>Red ~ Attacker</v>
      </c>
      <c r="I156" s="265" t="str">
        <f>IFERROR(__xludf.DUMMYFUNCTION("""COMPUTED_VALUE"""),"https://i.postimg.cc/L6B2DCYf/Red-Attacker.png")</f>
        <v>https://i.postimg.cc/L6B2DCYf/Red-Attacker.png</v>
      </c>
      <c r="J156" s="267" t="str">
        <f>IFERROR(__xludf.DUMMYFUNCTION("""COMPUTED_VALUE"""),"2021-11-02")</f>
        <v>2021-11-02</v>
      </c>
      <c r="K156" s="263"/>
    </row>
    <row r="157">
      <c r="A157" s="263"/>
      <c r="B157" s="264">
        <f>IFERROR(__xludf.DUMMYFUNCTION("""COMPUTED_VALUE"""),188.0)</f>
        <v>188</v>
      </c>
      <c r="C157" s="265" t="str">
        <f>IFERROR(__xludf.DUMMYFUNCTION("""COMPUTED_VALUE"""),"https://i.postimg.cc/dVh6BZB1/188-Whole-Cake-Island-Brook.png")</f>
        <v>https://i.postimg.cc/dVh6BZB1/188-Whole-Cake-Island-Brook.png</v>
      </c>
      <c r="D157" s="266" t="str">
        <f>IFERROR(__xludf.DUMMYFUNCTION("""COMPUTED_VALUE"""),"Whole Cake Island ~ Brook")</f>
        <v>Whole Cake Island ~ Brook</v>
      </c>
      <c r="E157" s="266" t="str">
        <f>IFERROR(__xludf.DUMMYFUNCTION("""COMPUTED_VALUE"""),"4 Stars")</f>
        <v>4 Stars</v>
      </c>
      <c r="F157" s="266" t="str">
        <f>IFERROR(__xludf.DUMMYFUNCTION("""COMPUTED_VALUE"""),"Bounty Festival")</f>
        <v>Bounty Festival</v>
      </c>
      <c r="G157" s="266" t="str">
        <f>IFERROR(__xludf.DUMMYFUNCTION("""COMPUTED_VALUE"""),"Runner(s) ~ Straw Hat Pirates ~ Paramecia ~ Power users ~ New World")</f>
        <v>Runner(s) ~ Straw Hat Pirates ~ Paramecia ~ Power users ~ New World</v>
      </c>
      <c r="H157" s="266" t="str">
        <f>IFERROR(__xludf.DUMMYFUNCTION("""COMPUTED_VALUE"""),"Green ~ Runner")</f>
        <v>Green ~ Runner</v>
      </c>
      <c r="I157" s="265" t="str">
        <f>IFERROR(__xludf.DUMMYFUNCTION("""COMPUTED_VALUE"""),"https://i.postimg.cc/PxgT30Qb/Green-Runner.png")</f>
        <v>https://i.postimg.cc/PxgT30Qb/Green-Runner.png</v>
      </c>
      <c r="J157" s="267" t="str">
        <f>IFERROR(__xludf.DUMMYFUNCTION("""COMPUTED_VALUE"""),"2021-10-26")</f>
        <v>2021-10-26</v>
      </c>
      <c r="K157" s="263"/>
    </row>
    <row r="158">
      <c r="A158" s="263"/>
      <c r="B158" s="264">
        <f>IFERROR(__xludf.DUMMYFUNCTION("""COMPUTED_VALUE"""),187.0)</f>
        <v>187</v>
      </c>
      <c r="C158" s="265" t="str">
        <f>IFERROR(__xludf.DUMMYFUNCTION("""COMPUTED_VALUE"""),"https://i.postimg.cc/dVgBSQH9/187-Whole-Cake-Island-Nami.png")</f>
        <v>https://i.postimg.cc/dVgBSQH9/187-Whole-Cake-Island-Nami.png</v>
      </c>
      <c r="D158" s="266" t="str">
        <f>IFERROR(__xludf.DUMMYFUNCTION("""COMPUTED_VALUE"""),"Whole Cake Island ~ Nami")</f>
        <v>Whole Cake Island ~ Nami</v>
      </c>
      <c r="E158" s="266" t="str">
        <f>IFERROR(__xludf.DUMMYFUNCTION("""COMPUTED_VALUE"""),"4 Stars")</f>
        <v>4 Stars</v>
      </c>
      <c r="F158" s="266" t="str">
        <f>IFERROR(__xludf.DUMMYFUNCTION("""COMPUTED_VALUE"""),"Bounty Festival")</f>
        <v>Bounty Festival</v>
      </c>
      <c r="G158" s="266" t="str">
        <f>IFERROR(__xludf.DUMMYFUNCTION("""COMPUTED_VALUE"""),"Defender(s) ~ Straw Hat Pirates ~ New World ~ Long-Range Normal Attacks")</f>
        <v>Defender(s) ~ Straw Hat Pirates ~ New World ~ Long-Range Normal Attacks</v>
      </c>
      <c r="H158" s="266" t="str">
        <f>IFERROR(__xludf.DUMMYFUNCTION("""COMPUTED_VALUE"""),"Blue ~ Defender")</f>
        <v>Blue ~ Defender</v>
      </c>
      <c r="I158" s="265" t="str">
        <f>IFERROR(__xludf.DUMMYFUNCTION("""COMPUTED_VALUE"""),"https://i.postimg.cc/m2xg81dx/Blue-Defender.png")</f>
        <v>https://i.postimg.cc/m2xg81dx/Blue-Defender.png</v>
      </c>
      <c r="J158" s="267" t="str">
        <f>IFERROR(__xludf.DUMMYFUNCTION("""COMPUTED_VALUE"""),"2021-10-26")</f>
        <v>2021-10-26</v>
      </c>
      <c r="K158" s="263"/>
    </row>
    <row r="159">
      <c r="A159" s="263"/>
      <c r="B159" s="264">
        <f>IFERROR(__xludf.DUMMYFUNCTION("""COMPUTED_VALUE"""),186.0)</f>
        <v>186</v>
      </c>
      <c r="C159" s="265" t="str">
        <f>IFERROR(__xludf.DUMMYFUNCTION("""COMPUTED_VALUE"""),"https://i.postimg.cc/26Dxrcfb/186-Don-Quixote-Pirates-Officer-Monet.png")</f>
        <v>https://i.postimg.cc/26Dxrcfb/186-Don-Quixote-Pirates-Officer-Monet.png</v>
      </c>
      <c r="D159" s="266" t="str">
        <f>IFERROR(__xludf.DUMMYFUNCTION("""COMPUTED_VALUE"""),"Don Quixote Pirates / Officer ~ Monet")</f>
        <v>Don Quixote Pirates / Officer ~ Monet</v>
      </c>
      <c r="E159" s="266" t="str">
        <f>IFERROR(__xludf.DUMMYFUNCTION("""COMPUTED_VALUE"""),"4 Stars")</f>
        <v>4 Stars</v>
      </c>
      <c r="F159" s="266" t="str">
        <f>IFERROR(__xludf.DUMMYFUNCTION("""COMPUTED_VALUE"""),"Step Up")</f>
        <v>Step Up</v>
      </c>
      <c r="G159" s="266" t="str">
        <f>IFERROR(__xludf.DUMMYFUNCTION("""COMPUTED_VALUE"""),"Runner(s) ~ Don Quixote Family ~ Paramecia ~ Power users ~ New World")</f>
        <v>Runner(s) ~ Don Quixote Family ~ Paramecia ~ Power users ~ New World</v>
      </c>
      <c r="H159" s="266" t="str">
        <f>IFERROR(__xludf.DUMMYFUNCTION("""COMPUTED_VALUE"""),"Red ~ Defender")</f>
        <v>Red ~ Defender</v>
      </c>
      <c r="I159" s="265" t="str">
        <f>IFERROR(__xludf.DUMMYFUNCTION("""COMPUTED_VALUE"""),"https://i.postimg.cc/P5XhRWY7/Red-Defender.png")</f>
        <v>https://i.postimg.cc/P5XhRWY7/Red-Defender.png</v>
      </c>
      <c r="J159" s="267" t="str">
        <f>IFERROR(__xludf.DUMMYFUNCTION("""COMPUTED_VALUE"""),"2021-10-19")</f>
        <v>2021-10-19</v>
      </c>
      <c r="K159" s="263"/>
    </row>
    <row r="160">
      <c r="A160" s="263"/>
      <c r="B160" s="264">
        <f>IFERROR(__xludf.DUMMYFUNCTION("""COMPUTED_VALUE"""),185.0)</f>
        <v>185</v>
      </c>
      <c r="C160" s="265" t="str">
        <f>IFERROR(__xludf.DUMMYFUNCTION("""COMPUTED_VALUE"""),"https://i.postimg.cc/XqNcyrqn/185-Don-Quixote-Pirates-Supreme-Officer-Vergo.png")</f>
        <v>https://i.postimg.cc/XqNcyrqn/185-Don-Quixote-Pirates-Supreme-Officer-Vergo.png</v>
      </c>
      <c r="D160" s="266" t="str">
        <f>IFERROR(__xludf.DUMMYFUNCTION("""COMPUTED_VALUE"""),"Don Quixote Pirates / Supreme Officer ~ Vergo")</f>
        <v>Don Quixote Pirates / Supreme Officer ~ Vergo</v>
      </c>
      <c r="E160" s="266" t="str">
        <f>IFERROR(__xludf.DUMMYFUNCTION("""COMPUTED_VALUE"""),"4 Stars")</f>
        <v>4 Stars</v>
      </c>
      <c r="F160" s="266" t="str">
        <f>IFERROR(__xludf.DUMMYFUNCTION("""COMPUTED_VALUE"""),"Step Up")</f>
        <v>Step Up</v>
      </c>
      <c r="G160" s="266" t="str">
        <f>IFERROR(__xludf.DUMMYFUNCTION("""COMPUTED_VALUE"""),"Attacker(s) ~ Navy ~ Don Quixote Family ~ New World")</f>
        <v>Attacker(s) ~ Navy ~ Don Quixote Family ~ New World</v>
      </c>
      <c r="H160" s="266" t="str">
        <f>IFERROR(__xludf.DUMMYFUNCTION("""COMPUTED_VALUE"""),"Green ~ Attacker")</f>
        <v>Green ~ Attacker</v>
      </c>
      <c r="I160" s="265" t="str">
        <f>IFERROR(__xludf.DUMMYFUNCTION("""COMPUTED_VALUE"""),"https://i.postimg.cc/0NH8mz6B/Green-Attacker.png")</f>
        <v>https://i.postimg.cc/0NH8mz6B/Green-Attacker.png</v>
      </c>
      <c r="J160" s="267" t="str">
        <f>IFERROR(__xludf.DUMMYFUNCTION("""COMPUTED_VALUE"""),"2021-10-12")</f>
        <v>2021-10-12</v>
      </c>
      <c r="K160" s="263"/>
    </row>
    <row r="161">
      <c r="A161" s="263"/>
      <c r="B161" s="264">
        <f>IFERROR(__xludf.DUMMYFUNCTION("""COMPUTED_VALUE"""),184.0)</f>
        <v>184</v>
      </c>
      <c r="C161" s="265" t="str">
        <f>IFERROR(__xludf.DUMMYFUNCTION("""COMPUTED_VALUE"""),"https://i.postimg.cc/GtMPPbTG/184-Don-Quixote-Pirates-Special-Officer-Sugar.png")</f>
        <v>https://i.postimg.cc/GtMPPbTG/184-Don-Quixote-Pirates-Special-Officer-Sugar.png</v>
      </c>
      <c r="D161" s="266" t="str">
        <f>IFERROR(__xludf.DUMMYFUNCTION("""COMPUTED_VALUE"""),"Don Quixote Pirates / Special Officer ~ Sugar")</f>
        <v>Don Quixote Pirates / Special Officer ~ Sugar</v>
      </c>
      <c r="E161" s="266" t="str">
        <f>IFERROR(__xludf.DUMMYFUNCTION("""COMPUTED_VALUE"""),"4 Stars")</f>
        <v>4 Stars</v>
      </c>
      <c r="F161" s="266" t="str">
        <f>IFERROR(__xludf.DUMMYFUNCTION("""COMPUTED_VALUE"""),"Bounty Festival")</f>
        <v>Bounty Festival</v>
      </c>
      <c r="G161" s="266" t="str">
        <f>IFERROR(__xludf.DUMMYFUNCTION("""COMPUTED_VALUE"""),"Defender(s) ~ Don Quixote Family ~ Paramecia ~ Power users ~ New World")</f>
        <v>Defender(s) ~ Don Quixote Family ~ Paramecia ~ Power users ~ New World</v>
      </c>
      <c r="H161" s="266" t="str">
        <f>IFERROR(__xludf.DUMMYFUNCTION("""COMPUTED_VALUE"""),"Red ~ Defender")</f>
        <v>Red ~ Defender</v>
      </c>
      <c r="I161" s="265" t="str">
        <f>IFERROR(__xludf.DUMMYFUNCTION("""COMPUTED_VALUE"""),"https://i.postimg.cc/P5XhRWY7/Red-Defender.png")</f>
        <v>https://i.postimg.cc/P5XhRWY7/Red-Defender.png</v>
      </c>
      <c r="J161" s="267" t="str">
        <f>IFERROR(__xludf.DUMMYFUNCTION("""COMPUTED_VALUE"""),"2021-09-28")</f>
        <v>2021-09-28</v>
      </c>
      <c r="K161" s="263"/>
    </row>
    <row r="162">
      <c r="A162" s="263"/>
      <c r="B162" s="264">
        <f>IFERROR(__xludf.DUMMYFUNCTION("""COMPUTED_VALUE"""),183.0)</f>
        <v>183</v>
      </c>
      <c r="C162" s="265" t="str">
        <f>IFERROR(__xludf.DUMMYFUNCTION("""COMPUTED_VALUE"""),"https://i.postimg.cc/HW3t19vn/183-Don-Quixote-Pirates-Captain-Don-Quixote-Doflamingo.png")</f>
        <v>https://i.postimg.cc/HW3t19vn/183-Don-Quixote-Pirates-Captain-Don-Quixote-Doflamingo.png</v>
      </c>
      <c r="D162" s="266" t="str">
        <f>IFERROR(__xludf.DUMMYFUNCTION("""COMPUTED_VALUE"""),"Don Quixote Pirates / Captain ~ Don Quixote Doflamingo")</f>
        <v>Don Quixote Pirates / Captain ~ Don Quixote Doflamingo</v>
      </c>
      <c r="E162" s="266" t="str">
        <f>IFERROR(__xludf.DUMMYFUNCTION("""COMPUTED_VALUE"""),"4 Stars")</f>
        <v>4 Stars</v>
      </c>
      <c r="F162" s="266" t="str">
        <f>IFERROR(__xludf.DUMMYFUNCTION("""COMPUTED_VALUE"""),"Bounty Festival")</f>
        <v>Bounty Festival</v>
      </c>
      <c r="G162" s="266" t="str">
        <f>IFERROR(__xludf.DUMMYFUNCTION("""COMPUTED_VALUE"""),"Attacker(s) ~ Don Quixote Family ~ Paramecia ~ Captain ~ Power users ~ Long-Range Normal Attacks ~ Celestial Dragons / Former Celestial Dragons")</f>
        <v>Attacker(s) ~ Don Quixote Family ~ Paramecia ~ Captain ~ Power users ~ Long-Range Normal Attacks ~ Celestial Dragons / Former Celestial Dragons</v>
      </c>
      <c r="H162" s="266" t="str">
        <f>IFERROR(__xludf.DUMMYFUNCTION("""COMPUTED_VALUE"""),"Blue ~ Attacker")</f>
        <v>Blue ~ Attacker</v>
      </c>
      <c r="I162" s="265" t="str">
        <f>IFERROR(__xludf.DUMMYFUNCTION("""COMPUTED_VALUE"""),"https://i.postimg.cc/1zRtDxvf/Blue-Attacker.png")</f>
        <v>https://i.postimg.cc/1zRtDxvf/Blue-Attacker.png</v>
      </c>
      <c r="J162" s="267" t="str">
        <f>IFERROR(__xludf.DUMMYFUNCTION("""COMPUTED_VALUE"""),"2021-09-28")</f>
        <v>2021-09-28</v>
      </c>
      <c r="K162" s="263"/>
    </row>
    <row r="163">
      <c r="A163" s="263"/>
      <c r="B163" s="264">
        <f>IFERROR(__xludf.DUMMYFUNCTION("""COMPUTED_VALUE"""),182.0)</f>
        <v>182</v>
      </c>
      <c r="C163" s="265" t="str">
        <f>IFERROR(__xludf.DUMMYFUNCTION("""COMPUTED_VALUE"""),"https://i.postimg.cc/5tcBS7y7/182-Don-Quixote-Pirates-Officer-Se-or-Pink.png")</f>
        <v>https://i.postimg.cc/5tcBS7y7/182-Don-Quixote-Pirates-Officer-Se-or-Pink.png</v>
      </c>
      <c r="D163" s="266" t="str">
        <f>IFERROR(__xludf.DUMMYFUNCTION("""COMPUTED_VALUE"""),"Don Quixote Pirates / Officer ~ Señor Pink")</f>
        <v>Don Quixote Pirates / Officer ~ Señor Pink</v>
      </c>
      <c r="E163" s="266" t="str">
        <f>IFERROR(__xludf.DUMMYFUNCTION("""COMPUTED_VALUE"""),"4 Stars")</f>
        <v>4 Stars</v>
      </c>
      <c r="F163" s="266" t="str">
        <f>IFERROR(__xludf.DUMMYFUNCTION("""COMPUTED_VALUE"""),"Step Up")</f>
        <v>Step Up</v>
      </c>
      <c r="G163" s="266" t="str">
        <f>IFERROR(__xludf.DUMMYFUNCTION("""COMPUTED_VALUE"""),"Runner(s) ~ Don Quixote Family ~ Paramecia ~ Power users ~ New World")</f>
        <v>Runner(s) ~ Don Quixote Family ~ Paramecia ~ Power users ~ New World</v>
      </c>
      <c r="H163" s="266" t="str">
        <f>IFERROR(__xludf.DUMMYFUNCTION("""COMPUTED_VALUE"""),"Red ~ Runner")</f>
        <v>Red ~ Runner</v>
      </c>
      <c r="I163" s="265" t="str">
        <f>IFERROR(__xludf.DUMMYFUNCTION("""COMPUTED_VALUE"""),"https://i.postimg.cc/Hk6HDrtk/Red-Runner.png")</f>
        <v>https://i.postimg.cc/Hk6HDrtk/Red-Runner.png</v>
      </c>
      <c r="J163" s="267" t="str">
        <f>IFERROR(__xludf.DUMMYFUNCTION("""COMPUTED_VALUE"""),"2021-09-16")</f>
        <v>2021-09-16</v>
      </c>
      <c r="K163" s="263"/>
    </row>
    <row r="164">
      <c r="A164" s="263"/>
      <c r="B164" s="264">
        <f>IFERROR(__xludf.DUMMYFUNCTION("""COMPUTED_VALUE"""),181.0)</f>
        <v>181</v>
      </c>
      <c r="C164" s="265" t="str">
        <f>IFERROR(__xludf.DUMMYFUNCTION("""COMPUTED_VALUE"""),"https://i.postimg.cc/sXs5tMp5/181-Don-Quixote-Pirates-Servant-Assassin-Baby-5.png")</f>
        <v>https://i.postimg.cc/sXs5tMp5/181-Don-Quixote-Pirates-Servant-Assassin-Baby-5.png</v>
      </c>
      <c r="D164" s="266" t="str">
        <f>IFERROR(__xludf.DUMMYFUNCTION("""COMPUTED_VALUE"""),"Don Quixote Pirates / Servant Assassin ~ Baby 5")</f>
        <v>Don Quixote Pirates / Servant Assassin ~ Baby 5</v>
      </c>
      <c r="E164" s="266" t="str">
        <f>IFERROR(__xludf.DUMMYFUNCTION("""COMPUTED_VALUE"""),"4 Stars")</f>
        <v>4 Stars</v>
      </c>
      <c r="F164" s="266" t="str">
        <f>IFERROR(__xludf.DUMMYFUNCTION("""COMPUTED_VALUE"""),"Step Up")</f>
        <v>Step Up</v>
      </c>
      <c r="G164" s="266" t="str">
        <f>IFERROR(__xludf.DUMMYFUNCTION("""COMPUTED_VALUE"""),"Defender(s) ~ Don Quixote Family ~ Paramecia ~ Power users ~ New World")</f>
        <v>Defender(s) ~ Don Quixote Family ~ Paramecia ~ Power users ~ New World</v>
      </c>
      <c r="H164" s="266" t="str">
        <f>IFERROR(__xludf.DUMMYFUNCTION("""COMPUTED_VALUE"""),"Green ~ Defender")</f>
        <v>Green ~ Defender</v>
      </c>
      <c r="I164" s="265" t="str">
        <f>IFERROR(__xludf.DUMMYFUNCTION("""COMPUTED_VALUE"""),"https://i.postimg.cc/qRhpGpyM/Green-Defender.png")</f>
        <v>https://i.postimg.cc/qRhpGpyM/Green-Defender.png</v>
      </c>
      <c r="J164" s="267" t="str">
        <f>IFERROR(__xludf.DUMMYFUNCTION("""COMPUTED_VALUE"""),"2021-09-09")</f>
        <v>2021-09-09</v>
      </c>
      <c r="K164" s="263"/>
    </row>
    <row r="165">
      <c r="A165" s="263"/>
      <c r="B165" s="264">
        <f>IFERROR(__xludf.DUMMYFUNCTION("""COMPUTED_VALUE"""),180.0)</f>
        <v>180</v>
      </c>
      <c r="C165" s="265" t="str">
        <f>IFERROR(__xludf.DUMMYFUNCTION("""COMPUTED_VALUE"""),"https://i.postimg.cc/XJL93n8m/180-Navy-HQ-Science-Team-Captain-Sentomaru.png")</f>
        <v>https://i.postimg.cc/XJL93n8m/180-Navy-HQ-Science-Team-Captain-Sentomaru.png</v>
      </c>
      <c r="D165" s="266" t="str">
        <f>IFERROR(__xludf.DUMMYFUNCTION("""COMPUTED_VALUE"""),"Navy HQ / Science Team Captain ~ Sentomaru")</f>
        <v>Navy HQ / Science Team Captain ~ Sentomaru</v>
      </c>
      <c r="E165" s="266" t="str">
        <f>IFERROR(__xludf.DUMMYFUNCTION("""COMPUTED_VALUE"""),"4 Stars")</f>
        <v>4 Stars</v>
      </c>
      <c r="F165" s="266" t="str">
        <f>IFERROR(__xludf.DUMMYFUNCTION("""COMPUTED_VALUE"""),"Step Up")</f>
        <v>Step Up</v>
      </c>
      <c r="G165" s="266" t="str">
        <f>IFERROR(__xludf.DUMMYFUNCTION("""COMPUTED_VALUE"""),"Defender(s) ~ Navy ~ The Grand Line")</f>
        <v>Defender(s) ~ Navy ~ The Grand Line</v>
      </c>
      <c r="H165" s="266" t="str">
        <f>IFERROR(__xludf.DUMMYFUNCTION("""COMPUTED_VALUE"""),"Green ~ Defender")</f>
        <v>Green ~ Defender</v>
      </c>
      <c r="I165" s="265" t="str">
        <f>IFERROR(__xludf.DUMMYFUNCTION("""COMPUTED_VALUE"""),"https://i.postimg.cc/qRhpGpyM/Green-Defender.png")</f>
        <v>https://i.postimg.cc/qRhpGpyM/Green-Defender.png</v>
      </c>
      <c r="J165" s="267" t="str">
        <f>IFERROR(__xludf.DUMMYFUNCTION("""COMPUTED_VALUE"""),"2021-08-26")</f>
        <v>2021-08-26</v>
      </c>
      <c r="K165" s="263"/>
    </row>
    <row r="166">
      <c r="A166" s="263"/>
      <c r="B166" s="264">
        <f>IFERROR(__xludf.DUMMYFUNCTION("""COMPUTED_VALUE"""),179.0)</f>
        <v>179</v>
      </c>
      <c r="C166" s="265" t="str">
        <f>IFERROR(__xludf.DUMMYFUNCTION("""COMPUTED_VALUE"""),"https://i.postimg.cc/Rh0KZ2pF/179-Navy-HQ-Master-Chief-Petty-Officer-Koby.png")</f>
        <v>https://i.postimg.cc/Rh0KZ2pF/179-Navy-HQ-Master-Chief-Petty-Officer-Koby.png</v>
      </c>
      <c r="D166" s="266" t="str">
        <f>IFERROR(__xludf.DUMMYFUNCTION("""COMPUTED_VALUE"""),"Navy HQ / Master Chief Petty Officer ~ Koby")</f>
        <v>Navy HQ / Master Chief Petty Officer ~ Koby</v>
      </c>
      <c r="E166" s="266" t="str">
        <f>IFERROR(__xludf.DUMMYFUNCTION("""COMPUTED_VALUE"""),"4 Stars")</f>
        <v>4 Stars</v>
      </c>
      <c r="F166" s="266" t="str">
        <f>IFERROR(__xludf.DUMMYFUNCTION("""COMPUTED_VALUE"""),"Step Up")</f>
        <v>Step Up</v>
      </c>
      <c r="G166" s="266" t="str">
        <f>IFERROR(__xludf.DUMMYFUNCTION("""COMPUTED_VALUE"""),"Runner(s) ~ Navy ~ The Grand Line")</f>
        <v>Runner(s) ~ Navy ~ The Grand Line</v>
      </c>
      <c r="H166" s="266" t="str">
        <f>IFERROR(__xludf.DUMMYFUNCTION("""COMPUTED_VALUE"""),"Blue ~ Runner")</f>
        <v>Blue ~ Runner</v>
      </c>
      <c r="I166" s="265" t="str">
        <f>IFERROR(__xludf.DUMMYFUNCTION("""COMPUTED_VALUE"""),"https://i.postimg.cc/4NzNM4MY/Blue-Runner.png")</f>
        <v>https://i.postimg.cc/4NzNM4MY/Blue-Runner.png</v>
      </c>
      <c r="J166" s="267" t="str">
        <f>IFERROR(__xludf.DUMMYFUNCTION("""COMPUTED_VALUE"""),"2021-08-26")</f>
        <v>2021-08-26</v>
      </c>
      <c r="K166" s="263"/>
    </row>
    <row r="167">
      <c r="A167" s="263"/>
      <c r="B167" s="264">
        <f>IFERROR(__xludf.DUMMYFUNCTION("""COMPUTED_VALUE"""),178.0)</f>
        <v>178</v>
      </c>
      <c r="C167" s="265" t="str">
        <f>IFERROR(__xludf.DUMMYFUNCTION("""COMPUTED_VALUE"""),"https://i.postimg.cc/rsYW0g79/178-Navy-HQ-Fleet-ADmiral-Akainu-Sakazuki.png")</f>
        <v>https://i.postimg.cc/rsYW0g79/178-Navy-HQ-Fleet-ADmiral-Akainu-Sakazuki.png</v>
      </c>
      <c r="D167" s="266" t="str">
        <f>IFERROR(__xludf.DUMMYFUNCTION("""COMPUTED_VALUE"""),"Navy HQ / Fleet Admiral Akainu ~ [Sakazuki]")</f>
        <v>Navy HQ / Fleet Admiral Akainu ~ [Sakazuki]</v>
      </c>
      <c r="E167" s="266" t="str">
        <f>IFERROR(__xludf.DUMMYFUNCTION("""COMPUTED_VALUE"""),"4 Stars")</f>
        <v>4 Stars</v>
      </c>
      <c r="F167" s="266" t="str">
        <f>IFERROR(__xludf.DUMMYFUNCTION("""COMPUTED_VALUE"""),"Extreme")</f>
        <v>Extreme</v>
      </c>
      <c r="G167" s="266" t="str">
        <f>IFERROR(__xludf.DUMMYFUNCTION("""COMPUTED_VALUE"""),"Attacker(s) ~ Navy ~ Logia ~ Power users ~ New World ~ Navy Admiral / Former Navy Admiral")</f>
        <v>Attacker(s) ~ Navy ~ Logia ~ Power users ~ New World ~ Navy Admiral / Former Navy Admiral</v>
      </c>
      <c r="H167" s="266" t="str">
        <f>IFERROR(__xludf.DUMMYFUNCTION("""COMPUTED_VALUE"""),"Red ~ Attacker")</f>
        <v>Red ~ Attacker</v>
      </c>
      <c r="I167" s="265" t="str">
        <f>IFERROR(__xludf.DUMMYFUNCTION("""COMPUTED_VALUE"""),"https://i.postimg.cc/L6B2DCYf/Red-Attacker.png")</f>
        <v>https://i.postimg.cc/L6B2DCYf/Red-Attacker.png</v>
      </c>
      <c r="J167" s="267" t="str">
        <f>IFERROR(__xludf.DUMMYFUNCTION("""COMPUTED_VALUE"""),"2021-08-26")</f>
        <v>2021-08-26</v>
      </c>
      <c r="K167" s="263"/>
    </row>
    <row r="168">
      <c r="A168" s="263"/>
      <c r="B168" s="264">
        <f>IFERROR(__xludf.DUMMYFUNCTION("""COMPUTED_VALUE"""),177.0)</f>
        <v>177</v>
      </c>
      <c r="C168" s="265" t="str">
        <f>IFERROR(__xludf.DUMMYFUNCTION("""COMPUTED_VALUE"""),"https://i.postimg.cc/bY61BNd2/177-Land-of-Wano-Bonekichi.png")</f>
        <v>https://i.postimg.cc/bY61BNd2/177-Land-of-Wano-Bonekichi.png</v>
      </c>
      <c r="D168" s="266" t="str">
        <f>IFERROR(__xludf.DUMMYFUNCTION("""COMPUTED_VALUE"""),"Land of Wano ~ Bonekichi")</f>
        <v>Land of Wano ~ Bonekichi</v>
      </c>
      <c r="E168" s="266" t="str">
        <f>IFERROR(__xludf.DUMMYFUNCTION("""COMPUTED_VALUE"""),"4 Stars")</f>
        <v>4 Stars</v>
      </c>
      <c r="F168" s="266" t="str">
        <f>IFERROR(__xludf.DUMMYFUNCTION("""COMPUTED_VALUE"""),"Step Up")</f>
        <v>Step Up</v>
      </c>
      <c r="G168" s="266" t="str">
        <f>IFERROR(__xludf.DUMMYFUNCTION("""COMPUTED_VALUE"""),"Defender(s) ~ Straw Hat Pirates ~ Paramecia ~ Power users ~ New World ~ Long-Range Normal Attacks")</f>
        <v>Defender(s) ~ Straw Hat Pirates ~ Paramecia ~ Power users ~ New World ~ Long-Range Normal Attacks</v>
      </c>
      <c r="H168" s="266" t="str">
        <f>IFERROR(__xludf.DUMMYFUNCTION("""COMPUTED_VALUE"""),"Blue ~ Defender")</f>
        <v>Blue ~ Defender</v>
      </c>
      <c r="I168" s="265" t="str">
        <f>IFERROR(__xludf.DUMMYFUNCTION("""COMPUTED_VALUE"""),"https://i.postimg.cc/m2xg81dx/Blue-Defender.png")</f>
        <v>https://i.postimg.cc/m2xg81dx/Blue-Defender.png</v>
      </c>
      <c r="J168" s="267" t="str">
        <f>IFERROR(__xludf.DUMMYFUNCTION("""COMPUTED_VALUE"""),"2021-07-13")</f>
        <v>2021-07-13</v>
      </c>
      <c r="K168" s="263"/>
    </row>
    <row r="169">
      <c r="A169" s="263"/>
      <c r="B169" s="264">
        <f>IFERROR(__xludf.DUMMYFUNCTION("""COMPUTED_VALUE"""),176.0)</f>
        <v>176</v>
      </c>
      <c r="C169" s="265" t="str">
        <f>IFERROR(__xludf.DUMMYFUNCTION("""COMPUTED_VALUE"""),"https://i.postimg.cc/NfSmQJ6s/176-Land-of-Wano-Orobi.png")</f>
        <v>https://i.postimg.cc/NfSmQJ6s/176-Land-of-Wano-Orobi.png</v>
      </c>
      <c r="D169" s="266" t="str">
        <f>IFERROR(__xludf.DUMMYFUNCTION("""COMPUTED_VALUE"""),"Land of Wano ~ Orobi")</f>
        <v>Land of Wano ~ Orobi</v>
      </c>
      <c r="E169" s="266" t="str">
        <f>IFERROR(__xludf.DUMMYFUNCTION("""COMPUTED_VALUE"""),"4 Stars")</f>
        <v>4 Stars</v>
      </c>
      <c r="F169" s="266" t="str">
        <f>IFERROR(__xludf.DUMMYFUNCTION("""COMPUTED_VALUE"""),"Step Up")</f>
        <v>Step Up</v>
      </c>
      <c r="G169" s="266" t="str">
        <f>IFERROR(__xludf.DUMMYFUNCTION("""COMPUTED_VALUE"""),"Runner(s) ~ Straw Hat Pirates ~ Paramecia ~ Power users ~ New World")</f>
        <v>Runner(s) ~ Straw Hat Pirates ~ Paramecia ~ Power users ~ New World</v>
      </c>
      <c r="H169" s="266" t="str">
        <f>IFERROR(__xludf.DUMMYFUNCTION("""COMPUTED_VALUE"""),"Green ~ Runner")</f>
        <v>Green ~ Runner</v>
      </c>
      <c r="I169" s="265" t="str">
        <f>IFERROR(__xludf.DUMMYFUNCTION("""COMPUTED_VALUE"""),"https://i.postimg.cc/PxgT30Qb/Green-Runner.png")</f>
        <v>https://i.postimg.cc/PxgT30Qb/Green-Runner.png</v>
      </c>
      <c r="J169" s="267" t="str">
        <f>IFERROR(__xludf.DUMMYFUNCTION("""COMPUTED_VALUE"""),"2021-07-06")</f>
        <v>2021-07-06</v>
      </c>
      <c r="K169" s="263"/>
    </row>
    <row r="170">
      <c r="A170" s="263"/>
      <c r="B170" s="264">
        <f>IFERROR(__xludf.DUMMYFUNCTION("""COMPUTED_VALUE"""),175.0)</f>
        <v>175</v>
      </c>
      <c r="C170" s="265" t="str">
        <f>IFERROR(__xludf.DUMMYFUNCTION("""COMPUTED_VALUE"""),"https://i.postimg.cc/MpBRH75y/175-Princess-and-Loyal-Partner-Vivi-Karoo.png")</f>
        <v>https://i.postimg.cc/MpBRH75y/175-Princess-and-Loyal-Partner-Vivi-Karoo.png</v>
      </c>
      <c r="D170" s="266" t="str">
        <f>IFERROR(__xludf.DUMMYFUNCTION("""COMPUTED_VALUE"""),"Princess and Loyal Partner ~ Vivi &amp; Karoo")</f>
        <v>Princess and Loyal Partner ~ Vivi &amp; Karoo</v>
      </c>
      <c r="E170" s="266" t="str">
        <f>IFERROR(__xludf.DUMMYFUNCTION("""COMPUTED_VALUE"""),"4 Stars")</f>
        <v>4 Stars</v>
      </c>
      <c r="F170" s="266" t="str">
        <f>IFERROR(__xludf.DUMMYFUNCTION("""COMPUTED_VALUE"""),"Bounty Festival")</f>
        <v>Bounty Festival</v>
      </c>
      <c r="G170" s="266" t="str">
        <f>IFERROR(__xludf.DUMMYFUNCTION("""COMPUTED_VALUE"""),"Runner(s) ~ Straw Hat Pirates ~ The Grand Line ~ Alabasta Kingdom ~ Royalty / Former Royalty")</f>
        <v>Runner(s) ~ Straw Hat Pirates ~ The Grand Line ~ Alabasta Kingdom ~ Royalty / Former Royalty</v>
      </c>
      <c r="H170" s="266" t="str">
        <f>IFERROR(__xludf.DUMMYFUNCTION("""COMPUTED_VALUE"""),"Red ~ Runner")</f>
        <v>Red ~ Runner</v>
      </c>
      <c r="I170" s="265" t="str">
        <f>IFERROR(__xludf.DUMMYFUNCTION("""COMPUTED_VALUE"""),"https://i.postimg.cc/Hk6HDrtk/Red-Runner.png")</f>
        <v>https://i.postimg.cc/Hk6HDrtk/Red-Runner.png</v>
      </c>
      <c r="J170" s="267" t="str">
        <f>IFERROR(__xludf.DUMMYFUNCTION("""COMPUTED_VALUE"""),"2021-06-29")</f>
        <v>2021-06-29</v>
      </c>
      <c r="K170" s="263"/>
    </row>
    <row r="171">
      <c r="A171" s="263"/>
      <c r="B171" s="264">
        <f>IFERROR(__xludf.DUMMYFUNCTION("""COMPUTED_VALUE"""),174.0)</f>
        <v>174</v>
      </c>
      <c r="C171" s="265" t="str">
        <f>IFERROR(__xludf.DUMMYFUNCTION("""COMPUTED_VALUE"""),"https://i.postimg.cc/Gp1Dy4g6/174-Lieutenant-Royal-Guard-of-Alabasta-Pell.png")</f>
        <v>https://i.postimg.cc/Gp1Dy4g6/174-Lieutenant-Royal-Guard-of-Alabasta-Pell.png</v>
      </c>
      <c r="D171" s="266" t="str">
        <f>IFERROR(__xludf.DUMMYFUNCTION("""COMPUTED_VALUE"""),"Lieutenant Royal Guard of Alabasta ~ Pell")</f>
        <v>Lieutenant Royal Guard of Alabasta ~ Pell</v>
      </c>
      <c r="E171" s="266" t="str">
        <f>IFERROR(__xludf.DUMMYFUNCTION("""COMPUTED_VALUE"""),"4 Stars")</f>
        <v>4 Stars</v>
      </c>
      <c r="F171" s="266" t="str">
        <f>IFERROR(__xludf.DUMMYFUNCTION("""COMPUTED_VALUE"""),"Bounty Festival")</f>
        <v>Bounty Festival</v>
      </c>
      <c r="G171" s="266" t="str">
        <f>IFERROR(__xludf.DUMMYFUNCTION("""COMPUTED_VALUE"""),"Attacker(s) ~ Zoan ~ Power users ~ The Grand Line ~ Alabasta Kingdom")</f>
        <v>Attacker(s) ~ Zoan ~ Power users ~ The Grand Line ~ Alabasta Kingdom</v>
      </c>
      <c r="H171" s="266" t="str">
        <f>IFERROR(__xludf.DUMMYFUNCTION("""COMPUTED_VALUE"""),"Blue ~ Attacker")</f>
        <v>Blue ~ Attacker</v>
      </c>
      <c r="I171" s="265" t="str">
        <f>IFERROR(__xludf.DUMMYFUNCTION("""COMPUTED_VALUE"""),"https://i.postimg.cc/1zRtDxvf/Blue-Attacker.png")</f>
        <v>https://i.postimg.cc/1zRtDxvf/Blue-Attacker.png</v>
      </c>
      <c r="J171" s="267" t="str">
        <f>IFERROR(__xludf.DUMMYFUNCTION("""COMPUTED_VALUE"""),"2021-06-29")</f>
        <v>2021-06-29</v>
      </c>
      <c r="K171" s="263"/>
    </row>
    <row r="172">
      <c r="A172" s="263"/>
      <c r="B172" s="264">
        <f>IFERROR(__xludf.DUMMYFUNCTION("""COMPUTED_VALUE"""),173.0)</f>
        <v>173</v>
      </c>
      <c r="C172" s="265" t="str">
        <f>IFERROR(__xludf.DUMMYFUNCTION("""COMPUTED_VALUE"""),"https://i.postimg.cc/VNBCBz3v/173-Baroque-Works-Officer-Agent-Ms-Goldenweek.png")</f>
        <v>https://i.postimg.cc/VNBCBz3v/173-Baroque-Works-Officer-Agent-Ms-Goldenweek.png</v>
      </c>
      <c r="D172" s="266" t="str">
        <f>IFERROR(__xludf.DUMMYFUNCTION("""COMPUTED_VALUE"""),"Baroque Works / Officer Agent ~ Ms. Goldenweek")</f>
        <v>Baroque Works / Officer Agent ~ Ms. Goldenweek</v>
      </c>
      <c r="E172" s="266" t="str">
        <f>IFERROR(__xludf.DUMMYFUNCTION("""COMPUTED_VALUE"""),"4 Stars")</f>
        <v>4 Stars</v>
      </c>
      <c r="F172" s="266" t="str">
        <f>IFERROR(__xludf.DUMMYFUNCTION("""COMPUTED_VALUE"""),"Step Up")</f>
        <v>Step Up</v>
      </c>
      <c r="G172" s="266" t="str">
        <f>IFERROR(__xludf.DUMMYFUNCTION("""COMPUTED_VALUE"""),"Runner(s) ~ Baroque Works ~ The Grand Line")</f>
        <v>Runner(s) ~ Baroque Works ~ The Grand Line</v>
      </c>
      <c r="H172" s="266" t="str">
        <f>IFERROR(__xludf.DUMMYFUNCTION("""COMPUTED_VALUE"""),"Blue ~ Runner")</f>
        <v>Blue ~ Runner</v>
      </c>
      <c r="I172" s="265" t="str">
        <f>IFERROR(__xludf.DUMMYFUNCTION("""COMPUTED_VALUE"""),"https://i.postimg.cc/4NzNM4MY/Blue-Runner.png")</f>
        <v>https://i.postimg.cc/4NzNM4MY/Blue-Runner.png</v>
      </c>
      <c r="J172" s="267" t="str">
        <f>IFERROR(__xludf.DUMMYFUNCTION("""COMPUTED_VALUE"""),"2021-06-23")</f>
        <v>2021-06-23</v>
      </c>
      <c r="K172" s="263"/>
    </row>
    <row r="173">
      <c r="A173" s="263"/>
      <c r="B173" s="264">
        <f>IFERROR(__xludf.DUMMYFUNCTION("""COMPUTED_VALUE"""),172.0)</f>
        <v>172</v>
      </c>
      <c r="C173" s="265" t="str">
        <f>IFERROR(__xludf.DUMMYFUNCTION("""COMPUTED_VALUE"""),"https://i.postimg.cc/3R8DtPTB/172-Baroque-Works-Officer-Agent-Mr-3.png")</f>
        <v>https://i.postimg.cc/3R8DtPTB/172-Baroque-Works-Officer-Agent-Mr-3.png</v>
      </c>
      <c r="D173" s="266" t="str">
        <f>IFERROR(__xludf.DUMMYFUNCTION("""COMPUTED_VALUE"""),"Baroque Works / Officer Agent ~ Mr. 3")</f>
        <v>Baroque Works / Officer Agent ~ Mr. 3</v>
      </c>
      <c r="E173" s="266" t="str">
        <f>IFERROR(__xludf.DUMMYFUNCTION("""COMPUTED_VALUE"""),"4 Stars")</f>
        <v>4 Stars</v>
      </c>
      <c r="F173" s="266" t="str">
        <f>IFERROR(__xludf.DUMMYFUNCTION("""COMPUTED_VALUE"""),"Step Up")</f>
        <v>Step Up</v>
      </c>
      <c r="G173" s="266" t="str">
        <f>IFERROR(__xludf.DUMMYFUNCTION("""COMPUTED_VALUE"""),"Runner(s) ~ Baroque Works ~ Paramecia ~ Power users ~ The Grand Line")</f>
        <v>Runner(s) ~ Baroque Works ~ Paramecia ~ Power users ~ The Grand Line</v>
      </c>
      <c r="H173" s="266" t="str">
        <f>IFERROR(__xludf.DUMMYFUNCTION("""COMPUTED_VALUE"""),"Green ~ Defender")</f>
        <v>Green ~ Defender</v>
      </c>
      <c r="I173" s="265" t="str">
        <f>IFERROR(__xludf.DUMMYFUNCTION("""COMPUTED_VALUE"""),"https://i.postimg.cc/qRhpGpyM/Green-Defender.png")</f>
        <v>https://i.postimg.cc/qRhpGpyM/Green-Defender.png</v>
      </c>
      <c r="J173" s="267" t="str">
        <f>IFERROR(__xludf.DUMMYFUNCTION("""COMPUTED_VALUE"""),"2021-06-15")</f>
        <v>2021-06-15</v>
      </c>
      <c r="K173" s="263"/>
    </row>
    <row r="174">
      <c r="A174" s="263"/>
      <c r="B174" s="264">
        <f>IFERROR(__xludf.DUMMYFUNCTION("""COMPUTED_VALUE"""),171.0)</f>
        <v>171</v>
      </c>
      <c r="C174" s="265" t="str">
        <f>IFERROR(__xludf.DUMMYFUNCTION("""COMPUTED_VALUE"""),"https://i.postimg.cc/85Zf9tkV/171-Raid-on-Onigashima-Trafalger-Law.png")</f>
        <v>https://i.postimg.cc/85Zf9tkV/171-Raid-on-Onigashima-Trafalger-Law.png</v>
      </c>
      <c r="D174" s="266" t="str">
        <f>IFERROR(__xludf.DUMMYFUNCTION("""COMPUTED_VALUE"""),"Raid on Onigashima ~ Trafalger Law")</f>
        <v>Raid on Onigashima ~ Trafalger Law</v>
      </c>
      <c r="E174" s="266" t="str">
        <f>IFERROR(__xludf.DUMMYFUNCTION("""COMPUTED_VALUE"""),"4 Stars")</f>
        <v>4 Stars</v>
      </c>
      <c r="F174" s="266" t="str">
        <f>IFERROR(__xludf.DUMMYFUNCTION("""COMPUTED_VALUE"""),"Bounty Festival")</f>
        <v>Bounty Festival</v>
      </c>
      <c r="G174" s="266" t="str">
        <f>IFERROR(__xludf.DUMMYFUNCTION("""COMPUTED_VALUE"""),"Attacker(s) ~ The Seven Warlords of the Sea / Former Warlords of the Sea ~ Paramecia ~ Captain ~ Power users ~ New World ~ Worst Generation")</f>
        <v>Attacker(s) ~ The Seven Warlords of the Sea / Former Warlords of the Sea ~ Paramecia ~ Captain ~ Power users ~ New World ~ Worst Generation</v>
      </c>
      <c r="H174" s="266" t="str">
        <f>IFERROR(__xludf.DUMMYFUNCTION("""COMPUTED_VALUE"""),"Red ~ Attacker")</f>
        <v>Red ~ Attacker</v>
      </c>
      <c r="I174" s="265" t="str">
        <f>IFERROR(__xludf.DUMMYFUNCTION("""COMPUTED_VALUE"""),"https://i.postimg.cc/L6B2DCYf/Red-Attacker.png")</f>
        <v>https://i.postimg.cc/L6B2DCYf/Red-Attacker.png</v>
      </c>
      <c r="J174" s="267" t="str">
        <f>IFERROR(__xludf.DUMMYFUNCTION("""COMPUTED_VALUE"""),"2021-05-27")</f>
        <v>2021-05-27</v>
      </c>
      <c r="K174" s="263"/>
    </row>
    <row r="175">
      <c r="A175" s="263"/>
      <c r="B175" s="264">
        <f>IFERROR(__xludf.DUMMYFUNCTION("""COMPUTED_VALUE"""),170.0)</f>
        <v>170</v>
      </c>
      <c r="C175" s="265" t="str">
        <f>IFERROR(__xludf.DUMMYFUNCTION("""COMPUTED_VALUE"""),"https://i.postimg.cc/Vv508n50/170-Raid-on-Onigashima-Eustass-Kid.png")</f>
        <v>https://i.postimg.cc/Vv508n50/170-Raid-on-Onigashima-Eustass-Kid.png</v>
      </c>
      <c r="D175" s="266" t="str">
        <f>IFERROR(__xludf.DUMMYFUNCTION("""COMPUTED_VALUE"""),"Raid on Onigashima ~ Eustass Kid")</f>
        <v>Raid on Onigashima ~ Eustass Kid</v>
      </c>
      <c r="E175" s="266" t="str">
        <f>IFERROR(__xludf.DUMMYFUNCTION("""COMPUTED_VALUE"""),"4 Stars")</f>
        <v>4 Stars</v>
      </c>
      <c r="F175" s="266" t="str">
        <f>IFERROR(__xludf.DUMMYFUNCTION("""COMPUTED_VALUE"""),"Bounty Festival")</f>
        <v>Bounty Festival</v>
      </c>
      <c r="G175" s="266" t="str">
        <f>IFERROR(__xludf.DUMMYFUNCTION("""COMPUTED_VALUE"""),"Defender(s) ~ Paramecia ~ Captain ~ Power users ~ New World ~ Worst Generation")</f>
        <v>Defender(s) ~ Paramecia ~ Captain ~ Power users ~ New World ~ Worst Generation</v>
      </c>
      <c r="H175" s="266" t="str">
        <f>IFERROR(__xludf.DUMMYFUNCTION("""COMPUTED_VALUE"""),"Red ~ Defender")</f>
        <v>Red ~ Defender</v>
      </c>
      <c r="I175" s="265" t="str">
        <f>IFERROR(__xludf.DUMMYFUNCTION("""COMPUTED_VALUE"""),"https://i.postimg.cc/P5XhRWY7/Red-Defender.png")</f>
        <v>https://i.postimg.cc/P5XhRWY7/Red-Defender.png</v>
      </c>
      <c r="J175" s="267" t="str">
        <f>IFERROR(__xludf.DUMMYFUNCTION("""COMPUTED_VALUE"""),"2021-05-27")</f>
        <v>2021-05-27</v>
      </c>
      <c r="K175" s="263"/>
    </row>
    <row r="176">
      <c r="A176" s="263"/>
      <c r="B176" s="264">
        <f>IFERROR(__xludf.DUMMYFUNCTION("""COMPUTED_VALUE"""),169.0)</f>
        <v>169</v>
      </c>
      <c r="C176" s="265" t="str">
        <f>IFERROR(__xludf.DUMMYFUNCTION("""COMPUTED_VALUE"""),"https://i.postimg.cc/XqhG7qyH/169-Impel-Down-Prisoner-Bon-Clay-aka-Mr-2.png")</f>
        <v>https://i.postimg.cc/XqhG7qyH/169-Impel-Down-Prisoner-Bon-Clay-aka-Mr-2.png</v>
      </c>
      <c r="D176" s="266" t="str">
        <f>IFERROR(__xludf.DUMMYFUNCTION("""COMPUTED_VALUE"""),"Impel Down / Prisoner ~ Bon Clay, aka Mr. 2")</f>
        <v>Impel Down / Prisoner ~ Bon Clay, aka Mr. 2</v>
      </c>
      <c r="E176" s="266" t="str">
        <f>IFERROR(__xludf.DUMMYFUNCTION("""COMPUTED_VALUE"""),"4 Stars")</f>
        <v>4 Stars</v>
      </c>
      <c r="F176" s="266" t="str">
        <f>IFERROR(__xludf.DUMMYFUNCTION("""COMPUTED_VALUE"""),"Cola")</f>
        <v>Cola</v>
      </c>
      <c r="G176" s="266" t="str">
        <f>IFERROR(__xludf.DUMMYFUNCTION("""COMPUTED_VALUE"""),"Runner(s) ~ Paramecia ~ Power users ~ The Grand Line")</f>
        <v>Runner(s) ~ Paramecia ~ Power users ~ The Grand Line</v>
      </c>
      <c r="H176" s="266" t="str">
        <f>IFERROR(__xludf.DUMMYFUNCTION("""COMPUTED_VALUE"""),"Blue ~ Runner")</f>
        <v>Blue ~ Runner</v>
      </c>
      <c r="I176" s="265" t="str">
        <f>IFERROR(__xludf.DUMMYFUNCTION("""COMPUTED_VALUE"""),"https://i.postimg.cc/4NzNM4MY/Blue-Runner.png")</f>
        <v>https://i.postimg.cc/4NzNM4MY/Blue-Runner.png</v>
      </c>
      <c r="J176" s="267" t="str">
        <f>IFERROR(__xludf.DUMMYFUNCTION("""COMPUTED_VALUE"""),"2021-05-18")</f>
        <v>2021-05-18</v>
      </c>
      <c r="K176" s="263"/>
    </row>
    <row r="177">
      <c r="A177" s="263"/>
      <c r="B177" s="264">
        <f>IFERROR(__xludf.DUMMYFUNCTION("""COMPUTED_VALUE"""),168.0)</f>
        <v>168</v>
      </c>
      <c r="C177" s="265" t="str">
        <f>IFERROR(__xludf.DUMMYFUNCTION("""COMPUTED_VALUE"""),"https://i.postimg.cc/9XNqB8Nd/168-Raid-on-Onigashima-Monkey-D-Luffy.png")</f>
        <v>https://i.postimg.cc/9XNqB8Nd/168-Raid-on-Onigashima-Monkey-D-Luffy.png</v>
      </c>
      <c r="D177" s="266" t="str">
        <f>IFERROR(__xludf.DUMMYFUNCTION("""COMPUTED_VALUE"""),"Raid on Onigashima ~ Monkey D. Luffy")</f>
        <v>Raid on Onigashima ~ Monkey D. Luffy</v>
      </c>
      <c r="E177" s="266" t="str">
        <f>IFERROR(__xludf.DUMMYFUNCTION("""COMPUTED_VALUE"""),"4 Stars")</f>
        <v>4 Stars</v>
      </c>
      <c r="F177" s="266" t="str">
        <f>IFERROR(__xludf.DUMMYFUNCTION("""COMPUTED_VALUE"""),"Bounty Festival")</f>
        <v>Bounty Festival</v>
      </c>
      <c r="G177" s="266" t="str">
        <f>IFERROR(__xludf.DUMMYFUNCTION("""COMPUTED_VALUE"""),"Defender(s) ~ Straw Hat Pirates ~ Paramecia ~ Captain ~ Power users ~ New World ~ Worst Generation")</f>
        <v>Defender(s) ~ Straw Hat Pirates ~ Paramecia ~ Captain ~ Power users ~ New World ~ Worst Generation</v>
      </c>
      <c r="H177" s="266" t="str">
        <f>IFERROR(__xludf.DUMMYFUNCTION("""COMPUTED_VALUE"""),"Green ~ Defender")</f>
        <v>Green ~ Defender</v>
      </c>
      <c r="I177" s="265" t="str">
        <f>IFERROR(__xludf.DUMMYFUNCTION("""COMPUTED_VALUE"""),"https://i.postimg.cc/qRhpGpyM/Green-Defender.png")</f>
        <v>https://i.postimg.cc/qRhpGpyM/Green-Defender.png</v>
      </c>
      <c r="J177" s="267" t="str">
        <f>IFERROR(__xludf.DUMMYFUNCTION("""COMPUTED_VALUE"""),"2021-05-05")</f>
        <v>2021-05-05</v>
      </c>
      <c r="K177" s="263"/>
    </row>
    <row r="178">
      <c r="A178" s="263"/>
      <c r="B178" s="264">
        <f>IFERROR(__xludf.DUMMYFUNCTION("""COMPUTED_VALUE"""),167.0)</f>
        <v>167</v>
      </c>
      <c r="C178" s="265" t="str">
        <f>IFERROR(__xludf.DUMMYFUNCTION("""COMPUTED_VALUE"""),"https://i.postimg.cc/m2z1pY00/167-Enies-Lobby-Nico-Robin.png")</f>
        <v>https://i.postimg.cc/m2z1pY00/167-Enies-Lobby-Nico-Robin.png</v>
      </c>
      <c r="D178" s="266" t="str">
        <f>IFERROR(__xludf.DUMMYFUNCTION("""COMPUTED_VALUE"""),"Enies Lobby ~ Nico Robin")</f>
        <v>Enies Lobby ~ Nico Robin</v>
      </c>
      <c r="E178" s="266" t="str">
        <f>IFERROR(__xludf.DUMMYFUNCTION("""COMPUTED_VALUE"""),"4 Stars")</f>
        <v>4 Stars</v>
      </c>
      <c r="F178" s="266" t="str">
        <f>IFERROR(__xludf.DUMMYFUNCTION("""COMPUTED_VALUE"""),"Bounty Festival")</f>
        <v>Bounty Festival</v>
      </c>
      <c r="G178" s="266" t="str">
        <f>IFERROR(__xludf.DUMMYFUNCTION("""COMPUTED_VALUE"""),"Defender(s) ~ Straw Hat Pirates ~ Paramecia ~ Power users ~ The Grand Line")</f>
        <v>Defender(s) ~ Straw Hat Pirates ~ Paramecia ~ Power users ~ The Grand Line</v>
      </c>
      <c r="H178" s="266" t="str">
        <f>IFERROR(__xludf.DUMMYFUNCTION("""COMPUTED_VALUE"""),"Red ~ Defender")</f>
        <v>Red ~ Defender</v>
      </c>
      <c r="I178" s="265" t="str">
        <f>IFERROR(__xludf.DUMMYFUNCTION("""COMPUTED_VALUE"""),"https://i.postimg.cc/P5XhRWY7/Red-Defender.png")</f>
        <v>https://i.postimg.cc/P5XhRWY7/Red-Defender.png</v>
      </c>
      <c r="J178" s="267" t="str">
        <f>IFERROR(__xludf.DUMMYFUNCTION("""COMPUTED_VALUE"""),"2021-04-27")</f>
        <v>2021-04-27</v>
      </c>
      <c r="K178" s="263"/>
    </row>
    <row r="179">
      <c r="A179" s="263"/>
      <c r="B179" s="264">
        <f>IFERROR(__xludf.DUMMYFUNCTION("""COMPUTED_VALUE"""),166.0)</f>
        <v>166</v>
      </c>
      <c r="C179" s="265" t="str">
        <f>IFERROR(__xludf.DUMMYFUNCTION("""COMPUTED_VALUE"""),"https://i.postimg.cc/Sxc2kyQd/166-Monster-Point-Tony-Tony-Chopper.png")</f>
        <v>https://i.postimg.cc/Sxc2kyQd/166-Monster-Point-Tony-Tony-Chopper.png</v>
      </c>
      <c r="D179" s="266" t="str">
        <f>IFERROR(__xludf.DUMMYFUNCTION("""COMPUTED_VALUE"""),"Monster Point ~ Tony Tony Chopper")</f>
        <v>Monster Point ~ Tony Tony Chopper</v>
      </c>
      <c r="E179" s="266" t="str">
        <f>IFERROR(__xludf.DUMMYFUNCTION("""COMPUTED_VALUE"""),"4 Stars")</f>
        <v>4 Stars</v>
      </c>
      <c r="F179" s="266" t="str">
        <f>IFERROR(__xludf.DUMMYFUNCTION("""COMPUTED_VALUE"""),"Bounty Festival")</f>
        <v>Bounty Festival</v>
      </c>
      <c r="G179" s="266" t="str">
        <f>IFERROR(__xludf.DUMMYFUNCTION("""COMPUTED_VALUE"""),"Attacker(s) ~ Straw Hat Pirates ~ Zoan ~ Power users ~ New World")</f>
        <v>Attacker(s) ~ Straw Hat Pirates ~ Zoan ~ Power users ~ New World</v>
      </c>
      <c r="H179" s="266" t="str">
        <f>IFERROR(__xludf.DUMMYFUNCTION("""COMPUTED_VALUE"""),"Blue ~ Attacker")</f>
        <v>Blue ~ Attacker</v>
      </c>
      <c r="I179" s="265" t="str">
        <f>IFERROR(__xludf.DUMMYFUNCTION("""COMPUTED_VALUE"""),"https://i.postimg.cc/1zRtDxvf/Blue-Attacker.png")</f>
        <v>https://i.postimg.cc/1zRtDxvf/Blue-Attacker.png</v>
      </c>
      <c r="J179" s="267" t="str">
        <f>IFERROR(__xludf.DUMMYFUNCTION("""COMPUTED_VALUE"""),"2021-04-27")</f>
        <v>2021-04-27</v>
      </c>
      <c r="K179" s="263"/>
    </row>
    <row r="180">
      <c r="A180" s="263"/>
      <c r="B180" s="264">
        <f>IFERROR(__xludf.DUMMYFUNCTION("""COMPUTED_VALUE"""),165.0)</f>
        <v>165</v>
      </c>
      <c r="C180" s="265" t="str">
        <f>IFERROR(__xludf.DUMMYFUNCTION("""COMPUTED_VALUE"""),"https://i.postimg.cc/W4jD4Qhv/165-King-of-the-Night-Cat-Viper.png")</f>
        <v>https://i.postimg.cc/W4jD4Qhv/165-King-of-the-Night-Cat-Viper.png</v>
      </c>
      <c r="D180" s="266" t="str">
        <f>IFERROR(__xludf.DUMMYFUNCTION("""COMPUTED_VALUE"""),"King of the Night ~ Cat Viper")</f>
        <v>King of the Night ~ Cat Viper</v>
      </c>
      <c r="E180" s="266" t="str">
        <f>IFERROR(__xludf.DUMMYFUNCTION("""COMPUTED_VALUE"""),"4 Stars")</f>
        <v>4 Stars</v>
      </c>
      <c r="F180" s="266" t="str">
        <f>IFERROR(__xludf.DUMMYFUNCTION("""COMPUTED_VALUE"""),"Step Up")</f>
        <v>Step Up</v>
      </c>
      <c r="G180" s="266" t="str">
        <f>IFERROR(__xludf.DUMMYFUNCTION("""COMPUTED_VALUE"""),"Runner(s) ~ New World ~ Kozuki Clan / Kozuki Clan Servant ~ Minks ~ Royalty / Former Royalty")</f>
        <v>Runner(s) ~ New World ~ Kozuki Clan / Kozuki Clan Servant ~ Minks ~ Royalty / Former Royalty</v>
      </c>
      <c r="H180" s="266" t="str">
        <f>IFERROR(__xludf.DUMMYFUNCTION("""COMPUTED_VALUE"""),"Red ~ Runner")</f>
        <v>Red ~ Runner</v>
      </c>
      <c r="I180" s="265" t="str">
        <f>IFERROR(__xludf.DUMMYFUNCTION("""COMPUTED_VALUE"""),"https://i.postimg.cc/Hk6HDrtk/Red-Runner.png")</f>
        <v>https://i.postimg.cc/Hk6HDrtk/Red-Runner.png</v>
      </c>
      <c r="J180" s="267" t="str">
        <f>IFERROR(__xludf.DUMMYFUNCTION("""COMPUTED_VALUE"""),"2021-04-20")</f>
        <v>2021-04-20</v>
      </c>
      <c r="K180" s="263"/>
    </row>
    <row r="181">
      <c r="A181" s="263"/>
      <c r="B181" s="264">
        <f>IFERROR(__xludf.DUMMYFUNCTION("""COMPUTED_VALUE"""),164.0)</f>
        <v>164</v>
      </c>
      <c r="C181" s="265" t="str">
        <f>IFERROR(__xludf.DUMMYFUNCTION("""COMPUTED_VALUE"""),"https://i.postimg.cc/gJ2nV8Vt/164-King-of-the-Day-Dogstorm.png")</f>
        <v>https://i.postimg.cc/gJ2nV8Vt/164-King-of-the-Day-Dogstorm.png</v>
      </c>
      <c r="D181" s="266" t="str">
        <f>IFERROR(__xludf.DUMMYFUNCTION("""COMPUTED_VALUE"""),"King of the Day ~ Dogstorm")</f>
        <v>King of the Day ~ Dogstorm</v>
      </c>
      <c r="E181" s="266" t="str">
        <f>IFERROR(__xludf.DUMMYFUNCTION("""COMPUTED_VALUE"""),"4 Stars")</f>
        <v>4 Stars</v>
      </c>
      <c r="F181" s="266" t="str">
        <f>IFERROR(__xludf.DUMMYFUNCTION("""COMPUTED_VALUE"""),"Step Up")</f>
        <v>Step Up</v>
      </c>
      <c r="G181" s="266" t="str">
        <f>IFERROR(__xludf.DUMMYFUNCTION("""COMPUTED_VALUE"""),"Attacker(s) ~ New World ~ Kozuki Clan / Kozuki Clan Servant ~ Minks ~ Royalty / Former Royalty")</f>
        <v>Attacker(s) ~ New World ~ Kozuki Clan / Kozuki Clan Servant ~ Minks ~ Royalty / Former Royalty</v>
      </c>
      <c r="H181" s="266" t="str">
        <f>IFERROR(__xludf.DUMMYFUNCTION("""COMPUTED_VALUE"""),"Green ~ Attacker")</f>
        <v>Green ~ Attacker</v>
      </c>
      <c r="I181" s="265" t="str">
        <f>IFERROR(__xludf.DUMMYFUNCTION("""COMPUTED_VALUE"""),"https://i.postimg.cc/0NH8mz6B/Green-Attacker.png")</f>
        <v>https://i.postimg.cc/0NH8mz6B/Green-Attacker.png</v>
      </c>
      <c r="J181" s="267" t="str">
        <f>IFERROR(__xludf.DUMMYFUNCTION("""COMPUTED_VALUE"""),"2021-04-13")</f>
        <v>2021-04-13</v>
      </c>
      <c r="K181" s="263"/>
    </row>
    <row r="182">
      <c r="A182" s="263"/>
      <c r="B182" s="264">
        <f>IFERROR(__xludf.DUMMYFUNCTION("""COMPUTED_VALUE"""),163.0)</f>
        <v>163</v>
      </c>
      <c r="C182" s="265" t="str">
        <f>IFERROR(__xludf.DUMMYFUNCTION("""COMPUTED_VALUE"""),"https://i.postimg.cc/hGrXQpd7/163-The-Guardian-of-the-Forest-Gaimon.png")</f>
        <v>https://i.postimg.cc/hGrXQpd7/163-The-Guardian-of-the-Forest-Gaimon.png</v>
      </c>
      <c r="D182" s="266" t="str">
        <f>IFERROR(__xludf.DUMMYFUNCTION("""COMPUTED_VALUE"""),"The Guardian of the Forest ~ Gaimon")</f>
        <v>The Guardian of the Forest ~ Gaimon</v>
      </c>
      <c r="E182" s="266" t="str">
        <f>IFERROR(__xludf.DUMMYFUNCTION("""COMPUTED_VALUE"""),"3 Stars")</f>
        <v>3 Stars</v>
      </c>
      <c r="F182" s="266" t="str">
        <f>IFERROR(__xludf.DUMMYFUNCTION("""COMPUTED_VALUE"""),"Free ~ 3 Stars")</f>
        <v>Free ~ 3 Stars</v>
      </c>
      <c r="G182" s="266" t="str">
        <f>IFERROR(__xludf.DUMMYFUNCTION("""COMPUTED_VALUE"""),"Defender(s) ~ East Blue")</f>
        <v>Defender(s) ~ East Blue</v>
      </c>
      <c r="H182" s="266" t="str">
        <f>IFERROR(__xludf.DUMMYFUNCTION("""COMPUTED_VALUE"""),"Blue ~ Defender")</f>
        <v>Blue ~ Defender</v>
      </c>
      <c r="I182" s="265" t="str">
        <f>IFERROR(__xludf.DUMMYFUNCTION("""COMPUTED_VALUE"""),"https://i.postimg.cc/m2xg81dx/Blue-Defender.png")</f>
        <v>https://i.postimg.cc/m2xg81dx/Blue-Defender.png</v>
      </c>
      <c r="J182" s="267" t="str">
        <f>IFERROR(__xludf.DUMMYFUNCTION("""COMPUTED_VALUE"""),"2021-04-02")</f>
        <v>2021-04-02</v>
      </c>
      <c r="K182" s="263"/>
    </row>
    <row r="183">
      <c r="A183" s="263"/>
      <c r="B183" s="264">
        <f>IFERROR(__xludf.DUMMYFUNCTION("""COMPUTED_VALUE"""),162.0)</f>
        <v>162</v>
      </c>
      <c r="C183" s="265" t="str">
        <f>IFERROR(__xludf.DUMMYFUNCTION("""COMPUTED_VALUE"""),"https://i.postimg.cc/kGkGPHkL/162-Iron-Pirate-General-Franky.png")</f>
        <v>https://i.postimg.cc/kGkGPHkL/162-Iron-Pirate-General-Franky.png</v>
      </c>
      <c r="D183" s="266" t="str">
        <f>IFERROR(__xludf.DUMMYFUNCTION("""COMPUTED_VALUE"""),"Iron Pirate ~ General Franky")</f>
        <v>Iron Pirate ~ General Franky</v>
      </c>
      <c r="E183" s="266" t="str">
        <f>IFERROR(__xludf.DUMMYFUNCTION("""COMPUTED_VALUE"""),"4 Stars")</f>
        <v>4 Stars</v>
      </c>
      <c r="F183" s="266" t="str">
        <f>IFERROR(__xludf.DUMMYFUNCTION("""COMPUTED_VALUE"""),"Bounty Festival")</f>
        <v>Bounty Festival</v>
      </c>
      <c r="G183" s="266" t="str">
        <f>IFERROR(__xludf.DUMMYFUNCTION("""COMPUTED_VALUE"""),"Defender(s) ~ Straw Hat Pirates ~ New World")</f>
        <v>Defender(s) ~ Straw Hat Pirates ~ New World</v>
      </c>
      <c r="H183" s="266" t="str">
        <f>IFERROR(__xludf.DUMMYFUNCTION("""COMPUTED_VALUE"""),"Blue ~ Defender")</f>
        <v>Blue ~ Defender</v>
      </c>
      <c r="I183" s="265" t="str">
        <f>IFERROR(__xludf.DUMMYFUNCTION("""COMPUTED_VALUE"""),"https://i.postimg.cc/m2xg81dx/Blue-Defender.png")</f>
        <v>https://i.postimg.cc/m2xg81dx/Blue-Defender.png</v>
      </c>
      <c r="J183" s="267" t="str">
        <f>IFERROR(__xludf.DUMMYFUNCTION("""COMPUTED_VALUE"""),"2021-03-25")</f>
        <v>2021-03-25</v>
      </c>
      <c r="K183" s="263"/>
    </row>
    <row r="184">
      <c r="A184" s="263"/>
      <c r="B184" s="264">
        <f>IFERROR(__xludf.DUMMYFUNCTION("""COMPUTED_VALUE"""),161.0)</f>
        <v>161</v>
      </c>
      <c r="C184" s="265" t="str">
        <f>IFERROR(__xludf.DUMMYFUNCTION("""COMPUTED_VALUE"""),"https://i.postimg.cc/gc5nhwn4/161-Savior-God-Usopp.png")</f>
        <v>https://i.postimg.cc/gc5nhwn4/161-Savior-God-Usopp.png</v>
      </c>
      <c r="D184" s="266" t="str">
        <f>IFERROR(__xludf.DUMMYFUNCTION("""COMPUTED_VALUE"""),"Savior ~ God Usopp")</f>
        <v>Savior ~ God Usopp</v>
      </c>
      <c r="E184" s="266" t="str">
        <f>IFERROR(__xludf.DUMMYFUNCTION("""COMPUTED_VALUE"""),"4 Stars")</f>
        <v>4 Stars</v>
      </c>
      <c r="F184" s="266" t="str">
        <f>IFERROR(__xludf.DUMMYFUNCTION("""COMPUTED_VALUE"""),"Bounty Festival")</f>
        <v>Bounty Festival</v>
      </c>
      <c r="G184" s="266" t="str">
        <f>IFERROR(__xludf.DUMMYFUNCTION("""COMPUTED_VALUE"""),"Runner(s) ~ Straw Hat Pirates ~ New World ~ Long-Range Normal Attacks")</f>
        <v>Runner(s) ~ Straw Hat Pirates ~ New World ~ Long-Range Normal Attacks</v>
      </c>
      <c r="H184" s="266" t="str">
        <f>IFERROR(__xludf.DUMMYFUNCTION("""COMPUTED_VALUE"""),"Red ~ Runner")</f>
        <v>Red ~ Runner</v>
      </c>
      <c r="I184" s="265" t="str">
        <f>IFERROR(__xludf.DUMMYFUNCTION("""COMPUTED_VALUE"""),"https://i.postimg.cc/Hk6HDrtk/Red-Runner.png")</f>
        <v>https://i.postimg.cc/Hk6HDrtk/Red-Runner.png</v>
      </c>
      <c r="J184" s="267" t="str">
        <f>IFERROR(__xludf.DUMMYFUNCTION("""COMPUTED_VALUE"""),"2021-03-25")</f>
        <v>2021-03-25</v>
      </c>
      <c r="K184" s="263"/>
    </row>
    <row r="185">
      <c r="A185" s="263"/>
      <c r="B185" s="264">
        <f>IFERROR(__xludf.DUMMYFUNCTION("""COMPUTED_VALUE"""),160.0)</f>
        <v>160</v>
      </c>
      <c r="C185" s="265" t="str">
        <f>IFERROR(__xludf.DUMMYFUNCTION("""COMPUTED_VALUE"""),"https://i.postimg.cc/QxTVJX7D/160-Revolutionary-Army-Officer-Koala.png")</f>
        <v>https://i.postimg.cc/QxTVJX7D/160-Revolutionary-Army-Officer-Koala.png</v>
      </c>
      <c r="D185" s="266" t="str">
        <f>IFERROR(__xludf.DUMMYFUNCTION("""COMPUTED_VALUE"""),"Revolutionary Army / Officer ~ Koala")</f>
        <v>Revolutionary Army / Officer ~ Koala</v>
      </c>
      <c r="E185" s="266" t="str">
        <f>IFERROR(__xludf.DUMMYFUNCTION("""COMPUTED_VALUE"""),"4 Stars")</f>
        <v>4 Stars</v>
      </c>
      <c r="F185" s="266" t="str">
        <f>IFERROR(__xludf.DUMMYFUNCTION("""COMPUTED_VALUE"""),"Step Up")</f>
        <v>Step Up</v>
      </c>
      <c r="G185" s="266" t="str">
        <f>IFERROR(__xludf.DUMMYFUNCTION("""COMPUTED_VALUE"""),"Attacker(s) ~ Revolutionary Army ~ New World")</f>
        <v>Attacker(s) ~ Revolutionary Army ~ New World</v>
      </c>
      <c r="H185" s="266" t="str">
        <f>IFERROR(__xludf.DUMMYFUNCTION("""COMPUTED_VALUE"""),"Red ~ Attacker")</f>
        <v>Red ~ Attacker</v>
      </c>
      <c r="I185" s="265" t="str">
        <f>IFERROR(__xludf.DUMMYFUNCTION("""COMPUTED_VALUE"""),"https://i.postimg.cc/L6B2DCYf/Red-Attacker.png")</f>
        <v>https://i.postimg.cc/L6B2DCYf/Red-Attacker.png</v>
      </c>
      <c r="J185" s="267" t="str">
        <f>IFERROR(__xludf.DUMMYFUNCTION("""COMPUTED_VALUE"""),"2021-03-18")</f>
        <v>2021-03-18</v>
      </c>
      <c r="K185" s="263"/>
    </row>
    <row r="186">
      <c r="A186" s="263"/>
      <c r="B186" s="264">
        <f>IFERROR(__xludf.DUMMYFUNCTION("""COMPUTED_VALUE"""),159.0)</f>
        <v>159</v>
      </c>
      <c r="C186" s="265" t="str">
        <f>IFERROR(__xludf.DUMMYFUNCTION("""COMPUTED_VALUE"""),"https://i.postimg.cc/2SNyHPdZ/159-Minks-Carrot.png")</f>
        <v>https://i.postimg.cc/2SNyHPdZ/159-Minks-Carrot.png</v>
      </c>
      <c r="D186" s="266" t="str">
        <f>IFERROR(__xludf.DUMMYFUNCTION("""COMPUTED_VALUE"""),"Minks ~ Carrot")</f>
        <v>Minks ~ Carrot</v>
      </c>
      <c r="E186" s="266" t="str">
        <f>IFERROR(__xludf.DUMMYFUNCTION("""COMPUTED_VALUE"""),"4 Stars")</f>
        <v>4 Stars</v>
      </c>
      <c r="F186" s="266" t="str">
        <f>IFERROR(__xludf.DUMMYFUNCTION("""COMPUTED_VALUE"""),"Step Up")</f>
        <v>Step Up</v>
      </c>
      <c r="G186" s="266" t="str">
        <f>IFERROR(__xludf.DUMMYFUNCTION("""COMPUTED_VALUE"""),"Runner(s) ~ New World ~ Minks")</f>
        <v>Runner(s) ~ New World ~ Minks</v>
      </c>
      <c r="H186" s="266" t="str">
        <f>IFERROR(__xludf.DUMMYFUNCTION("""COMPUTED_VALUE"""),"Green ~ Runner")</f>
        <v>Green ~ Runner</v>
      </c>
      <c r="I186" s="265" t="str">
        <f>IFERROR(__xludf.DUMMYFUNCTION("""COMPUTED_VALUE"""),"https://i.postimg.cc/PxgT30Qb/Green-Runner.png")</f>
        <v>https://i.postimg.cc/PxgT30Qb/Green-Runner.png</v>
      </c>
      <c r="J186" s="267" t="str">
        <f>IFERROR(__xludf.DUMMYFUNCTION("""COMPUTED_VALUE"""),"2021-03-04")</f>
        <v>2021-03-04</v>
      </c>
      <c r="K186" s="263"/>
    </row>
    <row r="187">
      <c r="A187" s="263"/>
      <c r="B187" s="264">
        <f>IFERROR(__xludf.DUMMYFUNCTION("""COMPUTED_VALUE"""),158.0)</f>
        <v>158</v>
      </c>
      <c r="C187" s="265" t="str">
        <f>IFERROR(__xludf.DUMMYFUNCTION("""COMPUTED_VALUE"""),"https://i.postimg.cc/SxLsHDVt/158-Roger-s-Rival-Edward-Newgate.png")</f>
        <v>https://i.postimg.cc/SxLsHDVt/158-Roger-s-Rival-Edward-Newgate.png</v>
      </c>
      <c r="D187" s="266" t="str">
        <f>IFERROR(__xludf.DUMMYFUNCTION("""COMPUTED_VALUE"""),"Roger`s Rival ~ Edward Newgate")</f>
        <v>Roger`s Rival ~ Edward Newgate</v>
      </c>
      <c r="E187" s="266" t="str">
        <f>IFERROR(__xludf.DUMMYFUNCTION("""COMPUTED_VALUE"""),"4 Stars")</f>
        <v>4 Stars</v>
      </c>
      <c r="F187" s="266" t="str">
        <f>IFERROR(__xludf.DUMMYFUNCTION("""COMPUTED_VALUE"""),"Bounty Festival")</f>
        <v>Bounty Festival</v>
      </c>
      <c r="G187" s="266" t="str">
        <f>IFERROR(__xludf.DUMMYFUNCTION("""COMPUTED_VALUE"""),"Attacker(s) ~ Whitebeard Pirates ~ Paramecia ~ Captain ~ Power users ~ New World")</f>
        <v>Attacker(s) ~ Whitebeard Pirates ~ Paramecia ~ Captain ~ Power users ~ New World</v>
      </c>
      <c r="H187" s="266" t="str">
        <f>IFERROR(__xludf.DUMMYFUNCTION("""COMPUTED_VALUE"""),"Green ~ Attacker")</f>
        <v>Green ~ Attacker</v>
      </c>
      <c r="I187" s="265" t="str">
        <f>IFERROR(__xludf.DUMMYFUNCTION("""COMPUTED_VALUE"""),"https://i.postimg.cc/0NH8mz6B/Green-Attacker.png")</f>
        <v>https://i.postimg.cc/0NH8mz6B/Green-Attacker.png</v>
      </c>
      <c r="J187" s="267" t="str">
        <f>IFERROR(__xludf.DUMMYFUNCTION("""COMPUTED_VALUE"""),"2021-02-25")</f>
        <v>2021-02-25</v>
      </c>
      <c r="K187" s="263"/>
    </row>
    <row r="188">
      <c r="A188" s="263"/>
      <c r="B188" s="264">
        <f>IFERROR(__xludf.DUMMYFUNCTION("""COMPUTED_VALUE"""),157.0)</f>
        <v>157</v>
      </c>
      <c r="C188" s="265" t="str">
        <f>IFERROR(__xludf.DUMMYFUNCTION("""COMPUTED_VALUE"""),"https://i.postimg.cc/d0q1FrxQ/157-Hero-of-the-Navy-Monkey-D-Garb.png")</f>
        <v>https://i.postimg.cc/d0q1FrxQ/157-Hero-of-the-Navy-Monkey-D-Garb.png</v>
      </c>
      <c r="D188" s="266" t="str">
        <f>IFERROR(__xludf.DUMMYFUNCTION("""COMPUTED_VALUE"""),"Hero of the Navy ~ Monkey D. Garb")</f>
        <v>Hero of the Navy ~ Monkey D. Garb</v>
      </c>
      <c r="E188" s="266" t="str">
        <f>IFERROR(__xludf.DUMMYFUNCTION("""COMPUTED_VALUE"""),"4 Stars")</f>
        <v>4 Stars</v>
      </c>
      <c r="F188" s="266" t="str">
        <f>IFERROR(__xludf.DUMMYFUNCTION("""COMPUTED_VALUE"""),"Bounty Festival")</f>
        <v>Bounty Festival</v>
      </c>
      <c r="G188" s="266" t="str">
        <f>IFERROR(__xludf.DUMMYFUNCTION("""COMPUTED_VALUE"""),"Defender(s) ~ Navy")</f>
        <v>Defender(s) ~ Navy</v>
      </c>
      <c r="H188" s="266" t="str">
        <f>IFERROR(__xludf.DUMMYFUNCTION("""COMPUTED_VALUE"""),"Red ~ Defender")</f>
        <v>Red ~ Defender</v>
      </c>
      <c r="I188" s="265" t="str">
        <f>IFERROR(__xludf.DUMMYFUNCTION("""COMPUTED_VALUE"""),"https://i.postimg.cc/P5XhRWY7/Red-Defender.png")</f>
        <v>https://i.postimg.cc/P5XhRWY7/Red-Defender.png</v>
      </c>
      <c r="J188" s="267" t="str">
        <f>IFERROR(__xludf.DUMMYFUNCTION("""COMPUTED_VALUE"""),"2021-02-25")</f>
        <v>2021-02-25</v>
      </c>
      <c r="K188" s="263"/>
    </row>
    <row r="189">
      <c r="A189" s="263"/>
      <c r="B189" s="264">
        <f>IFERROR(__xludf.DUMMYFUNCTION("""COMPUTED_VALUE"""),156.0)</f>
        <v>156</v>
      </c>
      <c r="C189" s="265" t="str">
        <f>IFERROR(__xludf.DUMMYFUNCTION("""COMPUTED_VALUE"""),"https://i.postimg.cc/63qp2wKD/156-Kozuki-Clan-Servant-Ashura-Doji.png")</f>
        <v>https://i.postimg.cc/63qp2wKD/156-Kozuki-Clan-Servant-Ashura-Doji.png</v>
      </c>
      <c r="D189" s="266" t="str">
        <f>IFERROR(__xludf.DUMMYFUNCTION("""COMPUTED_VALUE"""),"Kozuki Clan / Servant ~ Ashura Doji")</f>
        <v>Kozuki Clan / Servant ~ Ashura Doji</v>
      </c>
      <c r="E189" s="266" t="str">
        <f>IFERROR(__xludf.DUMMYFUNCTION("""COMPUTED_VALUE"""),"4 Stars")</f>
        <v>4 Stars</v>
      </c>
      <c r="F189" s="266" t="str">
        <f>IFERROR(__xludf.DUMMYFUNCTION("""COMPUTED_VALUE"""),"Step Up")</f>
        <v>Step Up</v>
      </c>
      <c r="G189" s="266" t="str">
        <f>IFERROR(__xludf.DUMMYFUNCTION("""COMPUTED_VALUE"""),"Defender(s) ~ New World ~ Kozuki Clan / Kozuki Clan Servant")</f>
        <v>Defender(s) ~ New World ~ Kozuki Clan / Kozuki Clan Servant</v>
      </c>
      <c r="H189" s="266" t="str">
        <f>IFERROR(__xludf.DUMMYFUNCTION("""COMPUTED_VALUE"""),"Green ~ Defender")</f>
        <v>Green ~ Defender</v>
      </c>
      <c r="I189" s="265" t="str">
        <f>IFERROR(__xludf.DUMMYFUNCTION("""COMPUTED_VALUE"""),"https://i.postimg.cc/qRhpGpyM/Green-Defender.png")</f>
        <v>https://i.postimg.cc/qRhpGpyM/Green-Defender.png</v>
      </c>
      <c r="J189" s="267" t="str">
        <f>IFERROR(__xludf.DUMMYFUNCTION("""COMPUTED_VALUE"""),"2021-02-18")</f>
        <v>2021-02-18</v>
      </c>
      <c r="K189" s="263"/>
    </row>
    <row r="190">
      <c r="A190" s="263"/>
      <c r="B190" s="264">
        <f>IFERROR(__xludf.DUMMYFUNCTION("""COMPUTED_VALUE"""),155.0)</f>
        <v>155</v>
      </c>
      <c r="C190" s="265" t="str">
        <f>IFERROR(__xludf.DUMMYFUNCTION("""COMPUTED_VALUE"""),"https://i.postimg.cc/PJ8fy4Py/155-Kyoshiro-Family-Boss-Napping-Kyoshiro.png")</f>
        <v>https://i.postimg.cc/PJ8fy4Py/155-Kyoshiro-Family-Boss-Napping-Kyoshiro.png</v>
      </c>
      <c r="D190" s="266" t="str">
        <f>IFERROR(__xludf.DUMMYFUNCTION("""COMPUTED_VALUE"""),"Kyoshiro Family / Boss ~ Napping Kyoshiro")</f>
        <v>Kyoshiro Family / Boss ~ Napping Kyoshiro</v>
      </c>
      <c r="E190" s="266" t="str">
        <f>IFERROR(__xludf.DUMMYFUNCTION("""COMPUTED_VALUE"""),"4 Stars")</f>
        <v>4 Stars</v>
      </c>
      <c r="F190" s="266" t="str">
        <f>IFERROR(__xludf.DUMMYFUNCTION("""COMPUTED_VALUE"""),"Step Up")</f>
        <v>Step Up</v>
      </c>
      <c r="G190" s="266" t="str">
        <f>IFERROR(__xludf.DUMMYFUNCTION("""COMPUTED_VALUE"""),"Runner(s) ~ New World")</f>
        <v>Runner(s) ~ New World</v>
      </c>
      <c r="H190" s="266" t="str">
        <f>IFERROR(__xludf.DUMMYFUNCTION("""COMPUTED_VALUE"""),"Blue ~ Runner")</f>
        <v>Blue ~ Runner</v>
      </c>
      <c r="I190" s="265" t="str">
        <f>IFERROR(__xludf.DUMMYFUNCTION("""COMPUTED_VALUE"""),"https://i.postimg.cc/4NzNM4MY/Blue-Runner.png")</f>
        <v>https://i.postimg.cc/4NzNM4MY/Blue-Runner.png</v>
      </c>
      <c r="J190" s="267" t="str">
        <f>IFERROR(__xludf.DUMMYFUNCTION("""COMPUTED_VALUE"""),"2021-02-09")</f>
        <v>2021-02-09</v>
      </c>
      <c r="K190" s="263"/>
    </row>
    <row r="191">
      <c r="A191" s="263"/>
      <c r="B191" s="264">
        <f>IFERROR(__xludf.DUMMYFUNCTION("""COMPUTED_VALUE"""),154.0)</f>
        <v>154</v>
      </c>
      <c r="C191" s="265" t="str">
        <f>IFERROR(__xludf.DUMMYFUNCTION("""COMPUTED_VALUE"""),"https://i.postimg.cc/25cBX0SN/154-King-of-the-Pirates-Gol-D-Roger.png")</f>
        <v>https://i.postimg.cc/25cBX0SN/154-King-of-the-Pirates-Gol-D-Roger.png</v>
      </c>
      <c r="D191" s="266" t="str">
        <f>IFERROR(__xludf.DUMMYFUNCTION("""COMPUTED_VALUE"""),"King of the Pirates ~ Gol D. Roger")</f>
        <v>King of the Pirates ~ Gol D. Roger</v>
      </c>
      <c r="E191" s="266" t="str">
        <f>IFERROR(__xludf.DUMMYFUNCTION("""COMPUTED_VALUE"""),"4 Stars")</f>
        <v>4 Stars</v>
      </c>
      <c r="F191" s="266" t="str">
        <f>IFERROR(__xludf.DUMMYFUNCTION("""COMPUTED_VALUE"""),"Extreme")</f>
        <v>Extreme</v>
      </c>
      <c r="G191" s="266" t="str">
        <f>IFERROR(__xludf.DUMMYFUNCTION("""COMPUTED_VALUE"""),"Attacker(s) ~ Captain ~ Roger Pirates / Ex-Roger Pirates")</f>
        <v>Attacker(s) ~ Captain ~ Roger Pirates / Ex-Roger Pirates</v>
      </c>
      <c r="H191" s="266" t="str">
        <f>IFERROR(__xludf.DUMMYFUNCTION("""COMPUTED_VALUE"""),"Green ~ Attacker")</f>
        <v>Green ~ Attacker</v>
      </c>
      <c r="I191" s="265" t="str">
        <f>IFERROR(__xludf.DUMMYFUNCTION("""COMPUTED_VALUE"""),"https://i.postimg.cc/0NH8mz6B/Green-Attacker.png")</f>
        <v>https://i.postimg.cc/0NH8mz6B/Green-Attacker.png</v>
      </c>
      <c r="J191" s="267" t="str">
        <f>IFERROR(__xludf.DUMMYFUNCTION("""COMPUTED_VALUE"""),"2021-01-28")</f>
        <v>2021-01-28</v>
      </c>
      <c r="K191" s="263"/>
    </row>
    <row r="192">
      <c r="A192" s="263"/>
      <c r="B192" s="264">
        <f>IFERROR(__xludf.DUMMYFUNCTION("""COMPUTED_VALUE"""),153.0)</f>
        <v>153</v>
      </c>
      <c r="C192" s="265" t="str">
        <f>IFERROR(__xludf.DUMMYFUNCTION("""COMPUTED_VALUE"""),"https://i.postimg.cc/1tbVy4FW/153-Land-of-Wano-Chopperemon.png")</f>
        <v>https://i.postimg.cc/1tbVy4FW/153-Land-of-Wano-Chopperemon.png</v>
      </c>
      <c r="D192" s="266" t="str">
        <f>IFERROR(__xludf.DUMMYFUNCTION("""COMPUTED_VALUE"""),"Land of Wano ~ Chopperemon")</f>
        <v>Land of Wano ~ Chopperemon</v>
      </c>
      <c r="E192" s="266" t="str">
        <f>IFERROR(__xludf.DUMMYFUNCTION("""COMPUTED_VALUE"""),"3 Stars")</f>
        <v>3 Stars</v>
      </c>
      <c r="F192" s="266" t="str">
        <f>IFERROR(__xludf.DUMMYFUNCTION("""COMPUTED_VALUE"""),"Free ~ 3 Stars")</f>
        <v>Free ~ 3 Stars</v>
      </c>
      <c r="G192" s="266" t="str">
        <f>IFERROR(__xludf.DUMMYFUNCTION("""COMPUTED_VALUE"""),"Runner(s) ~ Straw Hat Pirates ~ Zoan ~ Power users ~ New World ~ Ninja")</f>
        <v>Runner(s) ~ Straw Hat Pirates ~ Zoan ~ Power users ~ New World ~ Ninja</v>
      </c>
      <c r="H192" s="266" t="str">
        <f>IFERROR(__xludf.DUMMYFUNCTION("""COMPUTED_VALUE"""),"Red ~ Runner")</f>
        <v>Red ~ Runner</v>
      </c>
      <c r="I192" s="265" t="str">
        <f>IFERROR(__xludf.DUMMYFUNCTION("""COMPUTED_VALUE"""),"https://i.postimg.cc/Hk6HDrtk/Red-Runner.png")</f>
        <v>https://i.postimg.cc/Hk6HDrtk/Red-Runner.png</v>
      </c>
      <c r="J192" s="267" t="str">
        <f>IFERROR(__xludf.DUMMYFUNCTION("""COMPUTED_VALUE"""),"2021-01-21")</f>
        <v>2021-01-21</v>
      </c>
      <c r="K192" s="263"/>
    </row>
    <row r="193">
      <c r="A193" s="263"/>
      <c r="B193" s="264">
        <f>IFERROR(__xludf.DUMMYFUNCTION("""COMPUTED_VALUE"""),152.0)</f>
        <v>152</v>
      </c>
      <c r="C193" s="265" t="str">
        <f>IFERROR(__xludf.DUMMYFUNCTION("""COMPUTED_VALUE"""),"https://i.postimg.cc/5yvYy1qf/152-Kozuki-Clan-Servant-Kawamatsu.png")</f>
        <v>https://i.postimg.cc/5yvYy1qf/152-Kozuki-Clan-Servant-Kawamatsu.png</v>
      </c>
      <c r="D193" s="266" t="str">
        <f>IFERROR(__xludf.DUMMYFUNCTION("""COMPUTED_VALUE"""),"Kozuki Clan / Servant ~ Kawamatsu")</f>
        <v>Kozuki Clan / Servant ~ Kawamatsu</v>
      </c>
      <c r="E193" s="266" t="str">
        <f>IFERROR(__xludf.DUMMYFUNCTION("""COMPUTED_VALUE"""),"4 Stars")</f>
        <v>4 Stars</v>
      </c>
      <c r="F193" s="266" t="str">
        <f>IFERROR(__xludf.DUMMYFUNCTION("""COMPUTED_VALUE"""),"Step Up")</f>
        <v>Step Up</v>
      </c>
      <c r="G193" s="266" t="str">
        <f>IFERROR(__xludf.DUMMYFUNCTION("""COMPUTED_VALUE"""),"Defender(s) ~ Fish-Man ~ New World ~ Kozuki Clan / Kozuki Clan Servant")</f>
        <v>Defender(s) ~ Fish-Man ~ New World ~ Kozuki Clan / Kozuki Clan Servant</v>
      </c>
      <c r="H193" s="266" t="str">
        <f>IFERROR(__xludf.DUMMYFUNCTION("""COMPUTED_VALUE"""),"Red ~ Defender")</f>
        <v>Red ~ Defender</v>
      </c>
      <c r="I193" s="265" t="str">
        <f>IFERROR(__xludf.DUMMYFUNCTION("""COMPUTED_VALUE"""),"https://i.postimg.cc/P5XhRWY7/Red-Defender.png")</f>
        <v>https://i.postimg.cc/P5XhRWY7/Red-Defender.png</v>
      </c>
      <c r="J193" s="267" t="str">
        <f>IFERROR(__xludf.DUMMYFUNCTION("""COMPUTED_VALUE"""),"2021-01-21")</f>
        <v>2021-01-21</v>
      </c>
      <c r="K193" s="263"/>
    </row>
    <row r="194">
      <c r="A194" s="263"/>
      <c r="B194" s="264">
        <f>IFERROR(__xludf.DUMMYFUNCTION("""COMPUTED_VALUE"""),151.0)</f>
        <v>151</v>
      </c>
      <c r="C194" s="265" t="str">
        <f>IFERROR(__xludf.DUMMYFUNCTION("""COMPUTED_VALUE"""),"https://i.postimg.cc/Nfq2V9BF/151-Most-Handsome-Swordman-in-the-Land-of-Wano-Kikunojo.png")</f>
        <v>https://i.postimg.cc/Nfq2V9BF/151-Most-Handsome-Swordman-in-the-Land-of-Wano-Kikunojo.png</v>
      </c>
      <c r="D194" s="266" t="str">
        <f>IFERROR(__xludf.DUMMYFUNCTION("""COMPUTED_VALUE"""),"Most Handsome Swordman in the Land of Wano ~ Kikunojo")</f>
        <v>Most Handsome Swordman in the Land of Wano ~ Kikunojo</v>
      </c>
      <c r="E194" s="266" t="str">
        <f>IFERROR(__xludf.DUMMYFUNCTION("""COMPUTED_VALUE"""),"4 Stars")</f>
        <v>4 Stars</v>
      </c>
      <c r="F194" s="266" t="str">
        <f>IFERROR(__xludf.DUMMYFUNCTION("""COMPUTED_VALUE"""),"Step Up")</f>
        <v>Step Up</v>
      </c>
      <c r="G194" s="266" t="str">
        <f>IFERROR(__xludf.DUMMYFUNCTION("""COMPUTED_VALUE"""),"Attacker(s) ~ New World ~ Kozuki Clan / Kozuki Clan Servant")</f>
        <v>Attacker(s) ~ New World ~ Kozuki Clan / Kozuki Clan Servant</v>
      </c>
      <c r="H194" s="266" t="str">
        <f>IFERROR(__xludf.DUMMYFUNCTION("""COMPUTED_VALUE"""),"Blue ~ Attacker")</f>
        <v>Blue ~ Attacker</v>
      </c>
      <c r="I194" s="265" t="str">
        <f>IFERROR(__xludf.DUMMYFUNCTION("""COMPUTED_VALUE"""),"https://i.postimg.cc/1zRtDxvf/Blue-Attacker.png")</f>
        <v>https://i.postimg.cc/1zRtDxvf/Blue-Attacker.png</v>
      </c>
      <c r="J194" s="267" t="str">
        <f>IFERROR(__xludf.DUMMYFUNCTION("""COMPUTED_VALUE"""),"2021-01-21")</f>
        <v>2021-01-21</v>
      </c>
      <c r="K194" s="263"/>
    </row>
    <row r="195">
      <c r="A195" s="263"/>
      <c r="B195" s="264">
        <f>IFERROR(__xludf.DUMMYFUNCTION("""COMPUTED_VALUE"""),150.0)</f>
        <v>150</v>
      </c>
      <c r="C195" s="265" t="str">
        <f>IFERROR(__xludf.DUMMYFUNCTION("""COMPUTED_VALUE"""),"https://i.postimg.cc/2561vnFc/150-Daimyo-of-Kuri-Kozuki-Oden.png")</f>
        <v>https://i.postimg.cc/2561vnFc/150-Daimyo-of-Kuri-Kozuki-Oden.png</v>
      </c>
      <c r="D195" s="266" t="str">
        <f>IFERROR(__xludf.DUMMYFUNCTION("""COMPUTED_VALUE"""),"Daimyo of Kuri ~ Kozuki Oden")</f>
        <v>Daimyo of Kuri ~ Kozuki Oden</v>
      </c>
      <c r="E195" s="266" t="str">
        <f>IFERROR(__xludf.DUMMYFUNCTION("""COMPUTED_VALUE"""),"4 Stars")</f>
        <v>4 Stars</v>
      </c>
      <c r="F195" s="266" t="str">
        <f>IFERROR(__xludf.DUMMYFUNCTION("""COMPUTED_VALUE"""),"Extreme")</f>
        <v>Extreme</v>
      </c>
      <c r="G195" s="266" t="str">
        <f>IFERROR(__xludf.DUMMYFUNCTION("""COMPUTED_VALUE"""),"Runner(s) ~ Whitebeard Pirates ~ Kozuki Clan / Kozuki Clan Servant ~ Roger Pirates / Ex-Roger Pirates")</f>
        <v>Runner(s) ~ Whitebeard Pirates ~ Kozuki Clan / Kozuki Clan Servant ~ Roger Pirates / Ex-Roger Pirates</v>
      </c>
      <c r="H195" s="266" t="str">
        <f>IFERROR(__xludf.DUMMYFUNCTION("""COMPUTED_VALUE"""),"Green ~ Runner")</f>
        <v>Green ~ Runner</v>
      </c>
      <c r="I195" s="265" t="str">
        <f>IFERROR(__xludf.DUMMYFUNCTION("""COMPUTED_VALUE"""),"https://i.postimg.cc/PxgT30Qb/Green-Runner.png")</f>
        <v>https://i.postimg.cc/PxgT30Qb/Green-Runner.png</v>
      </c>
      <c r="J195" s="267" t="str">
        <f>IFERROR(__xludf.DUMMYFUNCTION("""COMPUTED_VALUE"""),"2021-01-21")</f>
        <v>2021-01-21</v>
      </c>
      <c r="K195" s="263"/>
    </row>
    <row r="196">
      <c r="A196" s="263"/>
      <c r="B196" s="264">
        <f>IFERROR(__xludf.DUMMYFUNCTION("""COMPUTED_VALUE"""),149.0)</f>
        <v>149</v>
      </c>
      <c r="C196" s="265" t="str">
        <f>IFERROR(__xludf.DUMMYFUNCTION("""COMPUTED_VALUE"""),"https://i.postimg.cc/MGFvYX9W/149-Fire-Fist-Portgaz-D-Ace.png")</f>
        <v>https://i.postimg.cc/MGFvYX9W/149-Fire-Fist-Portgaz-D-Ace.png</v>
      </c>
      <c r="D196" s="266" t="str">
        <f>IFERROR(__xludf.DUMMYFUNCTION("""COMPUTED_VALUE"""),"Fire Fist ~ Portgaz D. Ace")</f>
        <v>Fire Fist ~ Portgaz D. Ace</v>
      </c>
      <c r="E196" s="266" t="str">
        <f>IFERROR(__xludf.DUMMYFUNCTION("""COMPUTED_VALUE"""),"4 Stars")</f>
        <v>4 Stars</v>
      </c>
      <c r="F196" s="266" t="str">
        <f>IFERROR(__xludf.DUMMYFUNCTION("""COMPUTED_VALUE"""),"Step Up")</f>
        <v>Step Up</v>
      </c>
      <c r="G196" s="266" t="str">
        <f>IFERROR(__xludf.DUMMYFUNCTION("""COMPUTED_VALUE"""),"Defender(s) ~ Whitebeard Pirates ~ Logia ~ Power users ~ The Grand Line ~ Long-Range Normal Attacks")</f>
        <v>Defender(s) ~ Whitebeard Pirates ~ Logia ~ Power users ~ The Grand Line ~ Long-Range Normal Attacks</v>
      </c>
      <c r="H196" s="266" t="str">
        <f>IFERROR(__xludf.DUMMYFUNCTION("""COMPUTED_VALUE"""),"Blue ~ Defender")</f>
        <v>Blue ~ Defender</v>
      </c>
      <c r="I196" s="265" t="str">
        <f>IFERROR(__xludf.DUMMYFUNCTION("""COMPUTED_VALUE"""),"https://i.postimg.cc/m2xg81dx/Blue-Defender.png")</f>
        <v>https://i.postimg.cc/m2xg81dx/Blue-Defender.png</v>
      </c>
      <c r="J196" s="267" t="str">
        <f>IFERROR(__xludf.DUMMYFUNCTION("""COMPUTED_VALUE"""),"2020-12-31")</f>
        <v>2020-12-31</v>
      </c>
      <c r="K196" s="263"/>
    </row>
    <row r="197">
      <c r="A197" s="263"/>
      <c r="B197" s="264">
        <f>IFERROR(__xludf.DUMMYFUNCTION("""COMPUTED_VALUE"""),148.0)</f>
        <v>148</v>
      </c>
      <c r="C197" s="265" t="str">
        <f>IFERROR(__xludf.DUMMYFUNCTION("""COMPUTED_VALUE"""),"https://i.postimg.cc/qR6gD0F2/148-Royal-Wedding-Sanji.png")</f>
        <v>https://i.postimg.cc/qR6gD0F2/148-Royal-Wedding-Sanji.png</v>
      </c>
      <c r="D197" s="266" t="str">
        <f>IFERROR(__xludf.DUMMYFUNCTION("""COMPUTED_VALUE"""),"Royal Wedding ~ Sanji")</f>
        <v>Royal Wedding ~ Sanji</v>
      </c>
      <c r="E197" s="266" t="str">
        <f>IFERROR(__xludf.DUMMYFUNCTION("""COMPUTED_VALUE"""),"4 Stars")</f>
        <v>4 Stars</v>
      </c>
      <c r="F197" s="266" t="str">
        <f>IFERROR(__xludf.DUMMYFUNCTION("""COMPUTED_VALUE"""),"Bounty Festival")</f>
        <v>Bounty Festival</v>
      </c>
      <c r="G197" s="266" t="str">
        <f>IFERROR(__xludf.DUMMYFUNCTION("""COMPUTED_VALUE"""),"Runner(s) ~ Straw Hat Pirates ~ New World ~ Royalty / Former Royalty")</f>
        <v>Runner(s) ~ Straw Hat Pirates ~ New World ~ Royalty / Former Royalty</v>
      </c>
      <c r="H197" s="266" t="str">
        <f>IFERROR(__xludf.DUMMYFUNCTION("""COMPUTED_VALUE"""),"Blue ~ Runner")</f>
        <v>Blue ~ Runner</v>
      </c>
      <c r="I197" s="265" t="str">
        <f>IFERROR(__xludf.DUMMYFUNCTION("""COMPUTED_VALUE"""),"https://i.postimg.cc/4NzNM4MY/Blue-Runner.png")</f>
        <v>https://i.postimg.cc/4NzNM4MY/Blue-Runner.png</v>
      </c>
      <c r="J197" s="267" t="str">
        <f>IFERROR(__xludf.DUMMYFUNCTION("""COMPUTED_VALUE"""),"2020-12-25")</f>
        <v>2020-12-25</v>
      </c>
      <c r="K197" s="263"/>
    </row>
    <row r="198">
      <c r="A198" s="263"/>
      <c r="B198" s="264">
        <f>IFERROR(__xludf.DUMMYFUNCTION("""COMPUTED_VALUE"""),147.0)</f>
        <v>147</v>
      </c>
      <c r="C198" s="265" t="str">
        <f>IFERROR(__xludf.DUMMYFUNCTION("""COMPUTED_VALUE"""),"https://i.postimg.cc/Y2gh1rYH/147-The-Billion-Fold-World-Trichiliocosm-Roronoa-Zoro.png")</f>
        <v>https://i.postimg.cc/Y2gh1rYH/147-The-Billion-Fold-World-Trichiliocosm-Roronoa-Zoro.png</v>
      </c>
      <c r="D198" s="266" t="str">
        <f>IFERROR(__xludf.DUMMYFUNCTION("""COMPUTED_VALUE"""),"The Billion-Fold World Trichiliocosm ~ Roronoa Zoro")</f>
        <v>The Billion-Fold World Trichiliocosm ~ Roronoa Zoro</v>
      </c>
      <c r="E198" s="266" t="str">
        <f>IFERROR(__xludf.DUMMYFUNCTION("""COMPUTED_VALUE"""),"4 Stars")</f>
        <v>4 Stars</v>
      </c>
      <c r="F198" s="266" t="str">
        <f>IFERROR(__xludf.DUMMYFUNCTION("""COMPUTED_VALUE"""),"Bounty Festival")</f>
        <v>Bounty Festival</v>
      </c>
      <c r="G198" s="266" t="str">
        <f>IFERROR(__xludf.DUMMYFUNCTION("""COMPUTED_VALUE"""),"Attacker(s) ~ Straw Hat Pirates ~ New World ~ Worst Generation")</f>
        <v>Attacker(s) ~ Straw Hat Pirates ~ New World ~ Worst Generation</v>
      </c>
      <c r="H198" s="266" t="str">
        <f>IFERROR(__xludf.DUMMYFUNCTION("""COMPUTED_VALUE"""),"Red ~ Attacker")</f>
        <v>Red ~ Attacker</v>
      </c>
      <c r="I198" s="265" t="str">
        <f>IFERROR(__xludf.DUMMYFUNCTION("""COMPUTED_VALUE"""),"https://i.postimg.cc/L6B2DCYf/Red-Attacker.png")</f>
        <v>https://i.postimg.cc/L6B2DCYf/Red-Attacker.png</v>
      </c>
      <c r="J198" s="267" t="str">
        <f>IFERROR(__xludf.DUMMYFUNCTION("""COMPUTED_VALUE"""),"2020-12-25")</f>
        <v>2020-12-25</v>
      </c>
      <c r="K198" s="263"/>
    </row>
    <row r="199">
      <c r="A199" s="263"/>
      <c r="B199" s="264">
        <f>IFERROR(__xludf.DUMMYFUNCTION("""COMPUTED_VALUE"""),146.0)</f>
        <v>146</v>
      </c>
      <c r="C199" s="265" t="str">
        <f>IFERROR(__xludf.DUMMYFUNCTION("""COMPUTED_VALUE"""),"https://i.postimg.cc/SNfRvgg1/146-Luffy-Law-Pirate-Alliance-Monkey-D-Luffy.png")</f>
        <v>https://i.postimg.cc/SNfRvgg1/146-Luffy-Law-Pirate-Alliance-Monkey-D-Luffy.png</v>
      </c>
      <c r="D199" s="266" t="str">
        <f>IFERROR(__xludf.DUMMYFUNCTION("""COMPUTED_VALUE"""),"Luffy &amp; Law Pirate Alliance ~ Monkey D. Luffy")</f>
        <v>Luffy &amp; Law Pirate Alliance ~ Monkey D. Luffy</v>
      </c>
      <c r="E199" s="266" t="str">
        <f>IFERROR(__xludf.DUMMYFUNCTION("""COMPUTED_VALUE"""),"4 Stars")</f>
        <v>4 Stars</v>
      </c>
      <c r="F199" s="266" t="str">
        <f>IFERROR(__xludf.DUMMYFUNCTION("""COMPUTED_VALUE"""),"Bounty Festival")</f>
        <v>Bounty Festival</v>
      </c>
      <c r="G199" s="266" t="str">
        <f>IFERROR(__xludf.DUMMYFUNCTION("""COMPUTED_VALUE"""),"Attacker(s) ~ Straw Hat Pirates ~ Paramecia ~ Captain ~ Power users ~ New World ~ Worst Generation")</f>
        <v>Attacker(s) ~ Straw Hat Pirates ~ Paramecia ~ Captain ~ Power users ~ New World ~ Worst Generation</v>
      </c>
      <c r="H199" s="266" t="str">
        <f>IFERROR(__xludf.DUMMYFUNCTION("""COMPUTED_VALUE"""),"Blue ~ Attacker")</f>
        <v>Blue ~ Attacker</v>
      </c>
      <c r="I199" s="265" t="str">
        <f>IFERROR(__xludf.DUMMYFUNCTION("""COMPUTED_VALUE"""),"https://i.postimg.cc/1zRtDxvf/Blue-Attacker.png")</f>
        <v>https://i.postimg.cc/1zRtDxvf/Blue-Attacker.png</v>
      </c>
      <c r="J199" s="267" t="str">
        <f>IFERROR(__xludf.DUMMYFUNCTION("""COMPUTED_VALUE"""),"2020-11-26")</f>
        <v>2020-11-26</v>
      </c>
      <c r="K199" s="263"/>
    </row>
    <row r="200">
      <c r="A200" s="263"/>
      <c r="B200" s="264">
        <f>IFERROR(__xludf.DUMMYFUNCTION("""COMPUTED_VALUE"""),145.0)</f>
        <v>145</v>
      </c>
      <c r="C200" s="265" t="str">
        <f>IFERROR(__xludf.DUMMYFUNCTION("""COMPUTED_VALUE"""),"https://i.postimg.cc/13Wt9fhp/145-Kozuki-Clan-Servant-Kin-emon.png")</f>
        <v>https://i.postimg.cc/13Wt9fhp/145-Kozuki-Clan-Servant-Kin-emon.png</v>
      </c>
      <c r="D200" s="266" t="str">
        <f>IFERROR(__xludf.DUMMYFUNCTION("""COMPUTED_VALUE"""),"Kozuki Clan / Servant ~ Kin'emon")</f>
        <v>Kozuki Clan / Servant ~ Kin'emon</v>
      </c>
      <c r="E200" s="266" t="str">
        <f>IFERROR(__xludf.DUMMYFUNCTION("""COMPUTED_VALUE"""),"4 Stars")</f>
        <v>4 Stars</v>
      </c>
      <c r="F200" s="266" t="str">
        <f>IFERROR(__xludf.DUMMYFUNCTION("""COMPUTED_VALUE"""),"Bounty Festival")</f>
        <v>Bounty Festival</v>
      </c>
      <c r="G200" s="266" t="str">
        <f>IFERROR(__xludf.DUMMYFUNCTION("""COMPUTED_VALUE"""),"Defender(s) ~ Paramecia ~ Power users ~ New World ~ Kozuki Clan / Kozuki Clan Servant")</f>
        <v>Defender(s) ~ Paramecia ~ Power users ~ New World ~ Kozuki Clan / Kozuki Clan Servant</v>
      </c>
      <c r="H200" s="266" t="str">
        <f>IFERROR(__xludf.DUMMYFUNCTION("""COMPUTED_VALUE"""),"Red ~ Defender")</f>
        <v>Red ~ Defender</v>
      </c>
      <c r="I200" s="265" t="str">
        <f>IFERROR(__xludf.DUMMYFUNCTION("""COMPUTED_VALUE"""),"https://i.postimg.cc/P5XhRWY7/Red-Defender.png")</f>
        <v>https://i.postimg.cc/P5XhRWY7/Red-Defender.png</v>
      </c>
      <c r="J200" s="267" t="str">
        <f>IFERROR(__xludf.DUMMYFUNCTION("""COMPUTED_VALUE"""),"2020-11-26")</f>
        <v>2020-11-26</v>
      </c>
      <c r="K200" s="263"/>
    </row>
    <row r="201">
      <c r="A201" s="263"/>
      <c r="B201" s="264">
        <f>IFERROR(__xludf.DUMMYFUNCTION("""COMPUTED_VALUE"""),144.0)</f>
        <v>144</v>
      </c>
      <c r="C201" s="265" t="str">
        <f>IFERROR(__xludf.DUMMYFUNCTION("""COMPUTED_VALUE"""),"https://i.postimg.cc/Pfm5C6nf/144-Former-Navy-Admiral-Kuzan.png")</f>
        <v>https://i.postimg.cc/Pfm5C6nf/144-Former-Navy-Admiral-Kuzan.png</v>
      </c>
      <c r="D201" s="266" t="str">
        <f>IFERROR(__xludf.DUMMYFUNCTION("""COMPUTED_VALUE"""),"Former Navy Admiral ~ Kuzan")</f>
        <v>Former Navy Admiral ~ Kuzan</v>
      </c>
      <c r="E201" s="266" t="str">
        <f>IFERROR(__xludf.DUMMYFUNCTION("""COMPUTED_VALUE"""),"4 Stars")</f>
        <v>4 Stars</v>
      </c>
      <c r="F201" s="266" t="str">
        <f>IFERROR(__xludf.DUMMYFUNCTION("""COMPUTED_VALUE"""),"Step Up")</f>
        <v>Step Up</v>
      </c>
      <c r="G201" s="266" t="str">
        <f>IFERROR(__xludf.DUMMYFUNCTION("""COMPUTED_VALUE"""),"Attacker(s) ~ Logia ~ Power users ~ New World ~ Navy Admiral / Former Navy Admiral")</f>
        <v>Attacker(s) ~ Logia ~ Power users ~ New World ~ Navy Admiral / Former Navy Admiral</v>
      </c>
      <c r="H201" s="266" t="str">
        <f>IFERROR(__xludf.DUMMYFUNCTION("""COMPUTED_VALUE"""),"Green ~ Attacker")</f>
        <v>Green ~ Attacker</v>
      </c>
      <c r="I201" s="265" t="str">
        <f>IFERROR(__xludf.DUMMYFUNCTION("""COMPUTED_VALUE"""),"https://i.postimg.cc/0NH8mz6B/Green-Attacker.png")</f>
        <v>https://i.postimg.cc/0NH8mz6B/Green-Attacker.png</v>
      </c>
      <c r="J201" s="267" t="str">
        <f>IFERROR(__xludf.DUMMYFUNCTION("""COMPUTED_VALUE"""),"2020-11-17")</f>
        <v>2020-11-17</v>
      </c>
      <c r="K201" s="263"/>
    </row>
    <row r="202">
      <c r="A202" s="263"/>
      <c r="B202" s="264">
        <f>IFERROR(__xludf.DUMMYFUNCTION("""COMPUTED_VALUE"""),143.0)</f>
        <v>143</v>
      </c>
      <c r="C202" s="265" t="str">
        <f>IFERROR(__xludf.DUMMYFUNCTION("""COMPUTED_VALUE"""),"https://i.postimg.cc/02n5fbNL/143-Punk-Hazard-Smoker-Chambres.png")</f>
        <v>https://i.postimg.cc/02n5fbNL/143-Punk-Hazard-Smoker-Chambres.png</v>
      </c>
      <c r="D202" s="266" t="str">
        <f>IFERROR(__xludf.DUMMYFUNCTION("""COMPUTED_VALUE"""),"Punk Hazard ~ Smoker (Chambres)")</f>
        <v>Punk Hazard ~ Smoker (Chambres)</v>
      </c>
      <c r="E202" s="266" t="str">
        <f>IFERROR(__xludf.DUMMYFUNCTION("""COMPUTED_VALUE"""),"4 Stars")</f>
        <v>4 Stars</v>
      </c>
      <c r="F202" s="266" t="str">
        <f>IFERROR(__xludf.DUMMYFUNCTION("""COMPUTED_VALUE"""),"Step Up")</f>
        <v>Step Up</v>
      </c>
      <c r="G202" s="266" t="str">
        <f>IFERROR(__xludf.DUMMYFUNCTION("""COMPUTED_VALUE"""),"Attacker(s) ~ Navy ~ New World ~ Chambres")</f>
        <v>Attacker(s) ~ Navy ~ New World ~ Chambres</v>
      </c>
      <c r="H202" s="266" t="str">
        <f>IFERROR(__xludf.DUMMYFUNCTION("""COMPUTED_VALUE"""),"Red ~ Attacker")</f>
        <v>Red ~ Attacker</v>
      </c>
      <c r="I202" s="265" t="str">
        <f>IFERROR(__xludf.DUMMYFUNCTION("""COMPUTED_VALUE"""),"https://i.postimg.cc/L6B2DCYf/Red-Attacker.png")</f>
        <v>https://i.postimg.cc/L6B2DCYf/Red-Attacker.png</v>
      </c>
      <c r="J202" s="267" t="str">
        <f>IFERROR(__xludf.DUMMYFUNCTION("""COMPUTED_VALUE"""),"2020-11-05")</f>
        <v>2020-11-05</v>
      </c>
      <c r="K202" s="263"/>
    </row>
    <row r="203">
      <c r="A203" s="263"/>
      <c r="B203" s="264">
        <f>IFERROR(__xludf.DUMMYFUNCTION("""COMPUTED_VALUE"""),142.0)</f>
        <v>142</v>
      </c>
      <c r="C203" s="265" t="str">
        <f>IFERROR(__xludf.DUMMYFUNCTION("""COMPUTED_VALUE"""),"https://i.postimg.cc/bwFz7Wkg/142-The-Parmount-War-Gecko-Moria.png")</f>
        <v>https://i.postimg.cc/bwFz7Wkg/142-The-Parmount-War-Gecko-Moria.png</v>
      </c>
      <c r="D203" s="266" t="str">
        <f>IFERROR(__xludf.DUMMYFUNCTION("""COMPUTED_VALUE"""),"The Parmount War ~ Gecko Moria")</f>
        <v>The Parmount War ~ Gecko Moria</v>
      </c>
      <c r="E203" s="266" t="str">
        <f>IFERROR(__xludf.DUMMYFUNCTION("""COMPUTED_VALUE"""),"4 Stars")</f>
        <v>4 Stars</v>
      </c>
      <c r="F203" s="266" t="str">
        <f>IFERROR(__xludf.DUMMYFUNCTION("""COMPUTED_VALUE"""),"Bounty Festival")</f>
        <v>Bounty Festival</v>
      </c>
      <c r="G203" s="266" t="str">
        <f>IFERROR(__xludf.DUMMYFUNCTION("""COMPUTED_VALUE"""),"Attacker(s) ~ The Seven Warlords of the Sea / Former Warlords of the Sea ~ Paramecia ~ Captain ~ Power users ~ The Grand Line")</f>
        <v>Attacker(s) ~ The Seven Warlords of the Sea / Former Warlords of the Sea ~ Paramecia ~ Captain ~ Power users ~ The Grand Line</v>
      </c>
      <c r="H203" s="266" t="str">
        <f>IFERROR(__xludf.DUMMYFUNCTION("""COMPUTED_VALUE"""),"Blue ~ Attacker")</f>
        <v>Blue ~ Attacker</v>
      </c>
      <c r="I203" s="265" t="str">
        <f>IFERROR(__xludf.DUMMYFUNCTION("""COMPUTED_VALUE"""),"https://i.postimg.cc/1zRtDxvf/Blue-Attacker.png")</f>
        <v>https://i.postimg.cc/1zRtDxvf/Blue-Attacker.png</v>
      </c>
      <c r="J203" s="267" t="str">
        <f>IFERROR(__xludf.DUMMYFUNCTION("""COMPUTED_VALUE"""),"2020-10-29")</f>
        <v>2020-10-29</v>
      </c>
      <c r="K203" s="263"/>
    </row>
    <row r="204">
      <c r="A204" s="263"/>
      <c r="B204" s="264">
        <f>IFERROR(__xludf.DUMMYFUNCTION("""COMPUTED_VALUE"""),141.0)</f>
        <v>141</v>
      </c>
      <c r="C204" s="265" t="str">
        <f>IFERROR(__xludf.DUMMYFUNCTION("""COMPUTED_VALUE"""),"https://i.postimg.cc/BvLq4pC0/141-The-Parmount-War-Crocodile.png")</f>
        <v>https://i.postimg.cc/BvLq4pC0/141-The-Parmount-War-Crocodile.png</v>
      </c>
      <c r="D204" s="266" t="str">
        <f>IFERROR(__xludf.DUMMYFUNCTION("""COMPUTED_VALUE"""),"The Parmount War ~ Crocodile")</f>
        <v>The Parmount War ~ Crocodile</v>
      </c>
      <c r="E204" s="266" t="str">
        <f>IFERROR(__xludf.DUMMYFUNCTION("""COMPUTED_VALUE"""),"4 Stars")</f>
        <v>4 Stars</v>
      </c>
      <c r="F204" s="266" t="str">
        <f>IFERROR(__xludf.DUMMYFUNCTION("""COMPUTED_VALUE"""),"Bounty Festival")</f>
        <v>Bounty Festival</v>
      </c>
      <c r="G204" s="266" t="str">
        <f>IFERROR(__xludf.DUMMYFUNCTION("""COMPUTED_VALUE"""),"Runner(s) ~ The Seven Warlords of the Sea / Former Warlords of the Sea ~ Logia ~ Power users ~ The Grand Line")</f>
        <v>Runner(s) ~ The Seven Warlords of the Sea / Former Warlords of the Sea ~ Logia ~ Power users ~ The Grand Line</v>
      </c>
      <c r="H204" s="266" t="str">
        <f>IFERROR(__xludf.DUMMYFUNCTION("""COMPUTED_VALUE"""),"Green ~ Runner")</f>
        <v>Green ~ Runner</v>
      </c>
      <c r="I204" s="265" t="str">
        <f>IFERROR(__xludf.DUMMYFUNCTION("""COMPUTED_VALUE"""),"https://i.postimg.cc/PxgT30Qb/Green-Runner.png")</f>
        <v>https://i.postimg.cc/PxgT30Qb/Green-Runner.png</v>
      </c>
      <c r="J204" s="267" t="str">
        <f>IFERROR(__xludf.DUMMYFUNCTION("""COMPUTED_VALUE"""),"2020-10-29")</f>
        <v>2020-10-29</v>
      </c>
      <c r="K204" s="263"/>
    </row>
    <row r="205">
      <c r="A205" s="263"/>
      <c r="B205" s="264">
        <f>IFERROR(__xludf.DUMMYFUNCTION("""COMPUTED_VALUE"""),140.0)</f>
        <v>140</v>
      </c>
      <c r="C205" s="265" t="str">
        <f>IFERROR(__xludf.DUMMYFUNCTION("""COMPUTED_VALUE"""),"https://i.postimg.cc/C5YYCgph/140-Ghost-Princess-Perona.png")</f>
        <v>https://i.postimg.cc/C5YYCgph/140-Ghost-Princess-Perona.png</v>
      </c>
      <c r="D205" s="266" t="str">
        <f>IFERROR(__xludf.DUMMYFUNCTION("""COMPUTED_VALUE"""),"Ghost Princess ~ Perona")</f>
        <v>Ghost Princess ~ Perona</v>
      </c>
      <c r="E205" s="266" t="str">
        <f>IFERROR(__xludf.DUMMYFUNCTION("""COMPUTED_VALUE"""),"4 Stars")</f>
        <v>4 Stars</v>
      </c>
      <c r="F205" s="266" t="str">
        <f>IFERROR(__xludf.DUMMYFUNCTION("""COMPUTED_VALUE"""),"Step Up")</f>
        <v>Step Up</v>
      </c>
      <c r="G205" s="266" t="str">
        <f>IFERROR(__xludf.DUMMYFUNCTION("""COMPUTED_VALUE"""),"Defender(s) ~ Paramecia ~ Power users ~ New World ~ Long-Range Normal Attacks")</f>
        <v>Defender(s) ~ Paramecia ~ Power users ~ New World ~ Long-Range Normal Attacks</v>
      </c>
      <c r="H205" s="266" t="str">
        <f>IFERROR(__xludf.DUMMYFUNCTION("""COMPUTED_VALUE"""),"Blue ~ Defender")</f>
        <v>Blue ~ Defender</v>
      </c>
      <c r="I205" s="265" t="str">
        <f>IFERROR(__xludf.DUMMYFUNCTION("""COMPUTED_VALUE"""),"https://i.postimg.cc/m2xg81dx/Blue-Defender.png")</f>
        <v>https://i.postimg.cc/m2xg81dx/Blue-Defender.png</v>
      </c>
      <c r="J205" s="267" t="str">
        <f>IFERROR(__xludf.DUMMYFUNCTION("""COMPUTED_VALUE"""),"2020-10-08")</f>
        <v>2020-10-08</v>
      </c>
      <c r="K205" s="263"/>
    </row>
    <row r="206">
      <c r="A206" s="263"/>
      <c r="B206" s="264">
        <f>IFERROR(__xludf.DUMMYFUNCTION("""COMPUTED_VALUE"""),139.0)</f>
        <v>139</v>
      </c>
      <c r="C206" s="265" t="str">
        <f>IFERROR(__xludf.DUMMYFUNCTION("""COMPUTED_VALUE"""),"https://i.postimg.cc/RVS4N4TG/139-Kuja-Pirates-Captain-Boa-Hancock.png")</f>
        <v>https://i.postimg.cc/RVS4N4TG/139-Kuja-Pirates-Captain-Boa-Hancock.png</v>
      </c>
      <c r="D206" s="266" t="str">
        <f>IFERROR(__xludf.DUMMYFUNCTION("""COMPUTED_VALUE"""),"Kuja Pirates / Captain ~ Boa Hancock")</f>
        <v>Kuja Pirates / Captain ~ Boa Hancock</v>
      </c>
      <c r="E206" s="266" t="str">
        <f>IFERROR(__xludf.DUMMYFUNCTION("""COMPUTED_VALUE"""),"4 Stars")</f>
        <v>4 Stars</v>
      </c>
      <c r="F206" s="266" t="str">
        <f>IFERROR(__xludf.DUMMYFUNCTION("""COMPUTED_VALUE"""),"Bounty Festival")</f>
        <v>Bounty Festival</v>
      </c>
      <c r="G206" s="266" t="str">
        <f>IFERROR(__xludf.DUMMYFUNCTION("""COMPUTED_VALUE"""),"Attacker(s) ~ The Seven Warlords of the Sea / Former Warlords of the Sea ~ Kuja Pirates ~ Paramecia ~ Captain ~ Power users ~ New World ~ Long-Range Normal Attacks")</f>
        <v>Attacker(s) ~ The Seven Warlords of the Sea / Former Warlords of the Sea ~ Kuja Pirates ~ Paramecia ~ Captain ~ Power users ~ New World ~ Long-Range Normal Attacks</v>
      </c>
      <c r="H206" s="266" t="str">
        <f>IFERROR(__xludf.DUMMYFUNCTION("""COMPUTED_VALUE"""),"Blue ~ Attacker")</f>
        <v>Blue ~ Attacker</v>
      </c>
      <c r="I206" s="265" t="str">
        <f>IFERROR(__xludf.DUMMYFUNCTION("""COMPUTED_VALUE"""),"https://i.postimg.cc/1zRtDxvf/Blue-Attacker.png")</f>
        <v>https://i.postimg.cc/1zRtDxvf/Blue-Attacker.png</v>
      </c>
      <c r="J206" s="267" t="str">
        <f>IFERROR(__xludf.DUMMYFUNCTION("""COMPUTED_VALUE"""),"2020-09-29")</f>
        <v>2020-09-29</v>
      </c>
      <c r="K206" s="263"/>
    </row>
    <row r="207">
      <c r="A207" s="263"/>
      <c r="B207" s="264">
        <f>IFERROR(__xludf.DUMMYFUNCTION("""COMPUTED_VALUE"""),138.0)</f>
        <v>138</v>
      </c>
      <c r="C207" s="265" t="str">
        <f>IFERROR(__xludf.DUMMYFUNCTION("""COMPUTED_VALUE"""),"https://i.postimg.cc/VNCc36Ys/138-The-Greatest-Swordman-in-the-World-Dracule-Mihawk.png")</f>
        <v>https://i.postimg.cc/VNCc36Ys/138-The-Greatest-Swordman-in-the-World-Dracule-Mihawk.png</v>
      </c>
      <c r="D207" s="266" t="str">
        <f>IFERROR(__xludf.DUMMYFUNCTION("""COMPUTED_VALUE"""),"The Greatest Swordman in the World ~ Dracule Mihawk")</f>
        <v>The Greatest Swordman in the World ~ Dracule Mihawk</v>
      </c>
      <c r="E207" s="266" t="str">
        <f>IFERROR(__xludf.DUMMYFUNCTION("""COMPUTED_VALUE"""),"4 Stars")</f>
        <v>4 Stars</v>
      </c>
      <c r="F207" s="266" t="str">
        <f>IFERROR(__xludf.DUMMYFUNCTION("""COMPUTED_VALUE"""),"Bounty Festival")</f>
        <v>Bounty Festival</v>
      </c>
      <c r="G207" s="266" t="str">
        <f>IFERROR(__xludf.DUMMYFUNCTION("""COMPUTED_VALUE"""),"Defender(s) ~ The Seven Warlords of the Sea / Former Warlords of the Sea ~ New World")</f>
        <v>Defender(s) ~ The Seven Warlords of the Sea / Former Warlords of the Sea ~ New World</v>
      </c>
      <c r="H207" s="266" t="str">
        <f>IFERROR(__xludf.DUMMYFUNCTION("""COMPUTED_VALUE"""),"Green ~ Defender")</f>
        <v>Green ~ Defender</v>
      </c>
      <c r="I207" s="265" t="str">
        <f>IFERROR(__xludf.DUMMYFUNCTION("""COMPUTED_VALUE"""),"https://i.postimg.cc/qRhpGpyM/Green-Defender.png")</f>
        <v>https://i.postimg.cc/qRhpGpyM/Green-Defender.png</v>
      </c>
      <c r="J207" s="267" t="str">
        <f>IFERROR(__xludf.DUMMYFUNCTION("""COMPUTED_VALUE"""),"2020-09-29")</f>
        <v>2020-09-29</v>
      </c>
      <c r="K207" s="263"/>
    </row>
    <row r="208">
      <c r="A208" s="263"/>
      <c r="B208" s="264">
        <f>IFERROR(__xludf.DUMMYFUNCTION("""COMPUTED_VALUE"""),137.0)</f>
        <v>137</v>
      </c>
      <c r="C208" s="265" t="str">
        <f>IFERROR(__xludf.DUMMYFUNCTION("""COMPUTED_VALUE"""),"https://i.postimg.cc/QCXG9JcV/137-Former-World-Government-Science-Division-Member-Caesar-Clown.png")</f>
        <v>https://i.postimg.cc/QCXG9JcV/137-Former-World-Government-Science-Division-Member-Caesar-Clown.png</v>
      </c>
      <c r="D208" s="266" t="str">
        <f>IFERROR(__xludf.DUMMYFUNCTION("""COMPUTED_VALUE"""),"Former World Government / Science Division Member ~ Caesar Clown")</f>
        <v>Former World Government / Science Division Member ~ Caesar Clown</v>
      </c>
      <c r="E208" s="266" t="str">
        <f>IFERROR(__xludf.DUMMYFUNCTION("""COMPUTED_VALUE"""),"4 Stars")</f>
        <v>4 Stars</v>
      </c>
      <c r="F208" s="266" t="str">
        <f>IFERROR(__xludf.DUMMYFUNCTION("""COMPUTED_VALUE"""),"Step Up")</f>
        <v>Step Up</v>
      </c>
      <c r="G208" s="266" t="str">
        <f>IFERROR(__xludf.DUMMYFUNCTION("""COMPUTED_VALUE"""),"Defender(s) ~ Logia ~ Power users ~ New World")</f>
        <v>Defender(s) ~ Logia ~ Power users ~ New World</v>
      </c>
      <c r="H208" s="266" t="str">
        <f>IFERROR(__xludf.DUMMYFUNCTION("""COMPUTED_VALUE"""),"Red ~ Defender")</f>
        <v>Red ~ Defender</v>
      </c>
      <c r="I208" s="265" t="str">
        <f>IFERROR(__xludf.DUMMYFUNCTION("""COMPUTED_VALUE"""),"https://i.postimg.cc/P5XhRWY7/Red-Defender.png")</f>
        <v>https://i.postimg.cc/P5XhRWY7/Red-Defender.png</v>
      </c>
      <c r="J208" s="267" t="str">
        <f>IFERROR(__xludf.DUMMYFUNCTION("""COMPUTED_VALUE"""),"2020-09-15")</f>
        <v>2020-09-15</v>
      </c>
      <c r="K208" s="263"/>
    </row>
    <row r="209">
      <c r="A209" s="263"/>
      <c r="B209" s="264">
        <f>IFERROR(__xludf.DUMMYFUNCTION("""COMPUTED_VALUE"""),136.0)</f>
        <v>136</v>
      </c>
      <c r="C209" s="265" t="str">
        <f>IFERROR(__xludf.DUMMYFUNCTION("""COMPUTED_VALUE"""),"https://i.postimg.cc/ZnVkrvLH/136-The-Seven-Warlords-of-the-Sea-Buggy.png")</f>
        <v>https://i.postimg.cc/ZnVkrvLH/136-The-Seven-Warlords-of-the-Sea-Buggy.png</v>
      </c>
      <c r="D209" s="266" t="str">
        <f>IFERROR(__xludf.DUMMYFUNCTION("""COMPUTED_VALUE"""),"The Seven Warlords of the Sea ~ Buggy")</f>
        <v>The Seven Warlords of the Sea ~ Buggy</v>
      </c>
      <c r="E209" s="266" t="str">
        <f>IFERROR(__xludf.DUMMYFUNCTION("""COMPUTED_VALUE"""),"4 Stars")</f>
        <v>4 Stars</v>
      </c>
      <c r="F209" s="266" t="str">
        <f>IFERROR(__xludf.DUMMYFUNCTION("""COMPUTED_VALUE"""),"Step Up")</f>
        <v>Step Up</v>
      </c>
      <c r="G209" s="266" t="str">
        <f>IFERROR(__xludf.DUMMYFUNCTION("""COMPUTED_VALUE"""),"Attacker(s) ~ The Seven Warlords of the Sea / Former Warlords of the Sea ~ Paramecia ~ Captain ~ Power users ~ New World ~ Buggy's Delivery ~ Roger Pirates / Ex-Roger Pirates")</f>
        <v>Attacker(s) ~ The Seven Warlords of the Sea / Former Warlords of the Sea ~ Paramecia ~ Captain ~ Power users ~ New World ~ Buggy's Delivery ~ Roger Pirates / Ex-Roger Pirates</v>
      </c>
      <c r="H209" s="266" t="str">
        <f>IFERROR(__xludf.DUMMYFUNCTION("""COMPUTED_VALUE"""),"Blue ~ Attacker")</f>
        <v>Blue ~ Attacker</v>
      </c>
      <c r="I209" s="265" t="str">
        <f>IFERROR(__xludf.DUMMYFUNCTION("""COMPUTED_VALUE"""),"https://i.postimg.cc/1zRtDxvf/Blue-Attacker.png")</f>
        <v>https://i.postimg.cc/1zRtDxvf/Blue-Attacker.png</v>
      </c>
      <c r="J209" s="267" t="str">
        <f>IFERROR(__xludf.DUMMYFUNCTION("""COMPUTED_VALUE"""),"2020-09-03")</f>
        <v>2020-09-03</v>
      </c>
      <c r="K209" s="263"/>
    </row>
    <row r="210">
      <c r="A210" s="263"/>
      <c r="B210" s="264">
        <f>IFERROR(__xludf.DUMMYFUNCTION("""COMPUTED_VALUE"""),135.0)</f>
        <v>135</v>
      </c>
      <c r="C210" s="265" t="str">
        <f>IFERROR(__xludf.DUMMYFUNCTION("""COMPUTED_VALUE"""),"https://i.postimg.cc/zDj1m41h/135-Superhuman-Charlotte-Katakuri.png")</f>
        <v>https://i.postimg.cc/zDj1m41h/135-Superhuman-Charlotte-Katakuri.png</v>
      </c>
      <c r="D210" s="266" t="str">
        <f>IFERROR(__xludf.DUMMYFUNCTION("""COMPUTED_VALUE"""),"Superhuman ~ Charlotte Katakuri")</f>
        <v>Superhuman ~ Charlotte Katakuri</v>
      </c>
      <c r="E210" s="266" t="str">
        <f>IFERROR(__xludf.DUMMYFUNCTION("""COMPUTED_VALUE"""),"4 Stars")</f>
        <v>4 Stars</v>
      </c>
      <c r="F210" s="266" t="str">
        <f>IFERROR(__xludf.DUMMYFUNCTION("""COMPUTED_VALUE"""),"Bounty Festival")</f>
        <v>Bounty Festival</v>
      </c>
      <c r="G210" s="266" t="str">
        <f>IFERROR(__xludf.DUMMYFUNCTION("""COMPUTED_VALUE"""),"Defender(s) ~ Paramecia ~ Power users ~ New World ~ Charlotte Family ~ Royalty / Former Royalty")</f>
        <v>Defender(s) ~ Paramecia ~ Power users ~ New World ~ Charlotte Family ~ Royalty / Former Royalty</v>
      </c>
      <c r="H210" s="266" t="str">
        <f>IFERROR(__xludf.DUMMYFUNCTION("""COMPUTED_VALUE"""),"Green ~ Defender")</f>
        <v>Green ~ Defender</v>
      </c>
      <c r="I210" s="265" t="str">
        <f>IFERROR(__xludf.DUMMYFUNCTION("""COMPUTED_VALUE"""),"https://i.postimg.cc/qRhpGpyM/Green-Defender.png")</f>
        <v>https://i.postimg.cc/qRhpGpyM/Green-Defender.png</v>
      </c>
      <c r="J210" s="267" t="str">
        <f>IFERROR(__xludf.DUMMYFUNCTION("""COMPUTED_VALUE"""),"2020-08-25")</f>
        <v>2020-08-25</v>
      </c>
      <c r="K210" s="263"/>
    </row>
    <row r="211">
      <c r="A211" s="263"/>
      <c r="B211" s="264">
        <f>IFERROR(__xludf.DUMMYFUNCTION("""COMPUTED_VALUE"""),134.0)</f>
        <v>134</v>
      </c>
      <c r="C211" s="265" t="str">
        <f>IFERROR(__xludf.DUMMYFUNCTION("""COMPUTED_VALUE"""),"https://i.postimg.cc/hPZWvxvP/134-Hunger-Pangs-Charlotte-Linlin.png")</f>
        <v>https://i.postimg.cc/hPZWvxvP/134-Hunger-Pangs-Charlotte-Linlin.png</v>
      </c>
      <c r="D211" s="266" t="str">
        <f>IFERROR(__xludf.DUMMYFUNCTION("""COMPUTED_VALUE"""),"Hunger Pangs ~ Charlotte Linlin")</f>
        <v>Hunger Pangs ~ Charlotte Linlin</v>
      </c>
      <c r="E211" s="266" t="str">
        <f>IFERROR(__xludf.DUMMYFUNCTION("""COMPUTED_VALUE"""),"4 Stars")</f>
        <v>4 Stars</v>
      </c>
      <c r="F211" s="266" t="str">
        <f>IFERROR(__xludf.DUMMYFUNCTION("""COMPUTED_VALUE"""),"Extreme")</f>
        <v>Extreme</v>
      </c>
      <c r="G211" s="266" t="str">
        <f>IFERROR(__xludf.DUMMYFUNCTION("""COMPUTED_VALUE"""),"Runner(s) ~ Paramecia ~ Captain ~ Power users ~ New World ~ Charlotte Family ~ Royalty / Former Royalty")</f>
        <v>Runner(s) ~ Paramecia ~ Captain ~ Power users ~ New World ~ Charlotte Family ~ Royalty / Former Royalty</v>
      </c>
      <c r="H211" s="266" t="str">
        <f>IFERROR(__xludf.DUMMYFUNCTION("""COMPUTED_VALUE"""),"Blue ~ Runner")</f>
        <v>Blue ~ Runner</v>
      </c>
      <c r="I211" s="265" t="str">
        <f>IFERROR(__xludf.DUMMYFUNCTION("""COMPUTED_VALUE"""),"https://i.postimg.cc/4NzNM4MY/Blue-Runner.png")</f>
        <v>https://i.postimg.cc/4NzNM4MY/Blue-Runner.png</v>
      </c>
      <c r="J211" s="267" t="str">
        <f>IFERROR(__xludf.DUMMYFUNCTION("""COMPUTED_VALUE"""),"2020-08-25")</f>
        <v>2020-08-25</v>
      </c>
      <c r="K211" s="263"/>
    </row>
    <row r="212">
      <c r="A212" s="263"/>
      <c r="B212" s="264">
        <f>IFERROR(__xludf.DUMMYFUNCTION("""COMPUTED_VALUE"""),133.0)</f>
        <v>133</v>
      </c>
      <c r="C212" s="265" t="str">
        <f>IFERROR(__xludf.DUMMYFUNCTION("""COMPUTED_VALUE"""),"https://i.postimg.cc/Vk2xB8Xx/133-Don-Quixote-Family-Officer-Corazon.png")</f>
        <v>https://i.postimg.cc/Vk2xB8Xx/133-Don-Quixote-Family-Officer-Corazon.png</v>
      </c>
      <c r="D212" s="266" t="str">
        <f>IFERROR(__xludf.DUMMYFUNCTION("""COMPUTED_VALUE"""),"Don Quixote Family / Officer ~ Corazon")</f>
        <v>Don Quixote Family / Officer ~ Corazon</v>
      </c>
      <c r="E212" s="266" t="str">
        <f>IFERROR(__xludf.DUMMYFUNCTION("""COMPUTED_VALUE"""),"4 Stars")</f>
        <v>4 Stars</v>
      </c>
      <c r="F212" s="266" t="str">
        <f>IFERROR(__xludf.DUMMYFUNCTION("""COMPUTED_VALUE"""),"Step Up")</f>
        <v>Step Up</v>
      </c>
      <c r="G212" s="266" t="str">
        <f>IFERROR(__xludf.DUMMYFUNCTION("""COMPUTED_VALUE"""),"Defender(s) ~ Navy ~ Don Quixote Family ~ Paramecia ~ Power users ~ New World ~ Celestial Dragons / Former Celestial Dragons")</f>
        <v>Defender(s) ~ Navy ~ Don Quixote Family ~ Paramecia ~ Power users ~ New World ~ Celestial Dragons / Former Celestial Dragons</v>
      </c>
      <c r="H212" s="266" t="str">
        <f>IFERROR(__xludf.DUMMYFUNCTION("""COMPUTED_VALUE"""),"Blue ~ Defender")</f>
        <v>Blue ~ Defender</v>
      </c>
      <c r="I212" s="265" t="str">
        <f>IFERROR(__xludf.DUMMYFUNCTION("""COMPUTED_VALUE"""),"https://i.postimg.cc/m2xg81dx/Blue-Defender.png")</f>
        <v>https://i.postimg.cc/m2xg81dx/Blue-Defender.png</v>
      </c>
      <c r="J212" s="267" t="str">
        <f>IFERROR(__xludf.DUMMYFUNCTION("""COMPUTED_VALUE"""),"2020-08-11")</f>
        <v>2020-08-11</v>
      </c>
      <c r="K212" s="263"/>
    </row>
    <row r="213">
      <c r="A213" s="263"/>
      <c r="B213" s="264">
        <f>IFERROR(__xludf.DUMMYFUNCTION("""COMPUTED_VALUE"""),132.0)</f>
        <v>132</v>
      </c>
      <c r="C213" s="265" t="str">
        <f>IFERROR(__xludf.DUMMYFUNCTION("""COMPUTED_VALUE"""),"https://i.postimg.cc/fR349LS7/132-The-Undefeated-Woman-Rebecca.png")</f>
        <v>https://i.postimg.cc/fR349LS7/132-The-Undefeated-Woman-Rebecca.png</v>
      </c>
      <c r="D213" s="266" t="str">
        <f>IFERROR(__xludf.DUMMYFUNCTION("""COMPUTED_VALUE"""),"The Undefeated Woman ~ Rebecca")</f>
        <v>The Undefeated Woman ~ Rebecca</v>
      </c>
      <c r="E213" s="266" t="str">
        <f>IFERROR(__xludf.DUMMYFUNCTION("""COMPUTED_VALUE"""),"3 Stars")</f>
        <v>3 Stars</v>
      </c>
      <c r="F213" s="266" t="str">
        <f>IFERROR(__xludf.DUMMYFUNCTION("""COMPUTED_VALUE"""),"Free ~ 3 Stars")</f>
        <v>Free ~ 3 Stars</v>
      </c>
      <c r="G213" s="266" t="str">
        <f>IFERROR(__xludf.DUMMYFUNCTION("""COMPUTED_VALUE"""),"Defender(s) ~ New World ~ Royalty / Former Royalty")</f>
        <v>Defender(s) ~ New World ~ Royalty / Former Royalty</v>
      </c>
      <c r="H213" s="266" t="str">
        <f>IFERROR(__xludf.DUMMYFUNCTION("""COMPUTED_VALUE"""),"Green ~ Defender")</f>
        <v>Green ~ Defender</v>
      </c>
      <c r="I213" s="265" t="str">
        <f>IFERROR(__xludf.DUMMYFUNCTION("""COMPUTED_VALUE"""),"https://i.postimg.cc/qRhpGpyM/Green-Defender.png")</f>
        <v>https://i.postimg.cc/qRhpGpyM/Green-Defender.png</v>
      </c>
      <c r="J213" s="267" t="str">
        <f>IFERROR(__xludf.DUMMYFUNCTION("""COMPUTED_VALUE"""),"2020-08-04")</f>
        <v>2020-08-04</v>
      </c>
      <c r="K213" s="263"/>
    </row>
    <row r="214">
      <c r="A214" s="263"/>
      <c r="B214" s="264">
        <f>IFERROR(__xludf.DUMMYFUNCTION("""COMPUTED_VALUE"""),131.0)</f>
        <v>131</v>
      </c>
      <c r="C214" s="265" t="str">
        <f>IFERROR(__xludf.DUMMYFUNCTION("""COMPUTED_VALUE"""),"https://i.postimg.cc/k4mLzv1w/131-Surgeon-of-Death-Trafalger-Law.png")</f>
        <v>https://i.postimg.cc/k4mLzv1w/131-Surgeon-of-Death-Trafalger-Law.png</v>
      </c>
      <c r="D214" s="266" t="str">
        <f>IFERROR(__xludf.DUMMYFUNCTION("""COMPUTED_VALUE"""),"Surgeon of Death ~ Trafalger Law")</f>
        <v>Surgeon of Death ~ Trafalger Law</v>
      </c>
      <c r="E214" s="266" t="str">
        <f>IFERROR(__xludf.DUMMYFUNCTION("""COMPUTED_VALUE"""),"4 Stars")</f>
        <v>4 Stars</v>
      </c>
      <c r="F214" s="266" t="str">
        <f>IFERROR(__xludf.DUMMYFUNCTION("""COMPUTED_VALUE"""),"Step Up")</f>
        <v>Step Up</v>
      </c>
      <c r="G214" s="266" t="str">
        <f>IFERROR(__xludf.DUMMYFUNCTION("""COMPUTED_VALUE"""),"Runner(s) ~ The Seven Warlords of the Sea / Former Warlords of the Sea ~ Paramecia ~ Captain ~ Power users ~ New World ~ Worst Generation")</f>
        <v>Runner(s) ~ The Seven Warlords of the Sea / Former Warlords of the Sea ~ Paramecia ~ Captain ~ Power users ~ New World ~ Worst Generation</v>
      </c>
      <c r="H214" s="266" t="str">
        <f>IFERROR(__xludf.DUMMYFUNCTION("""COMPUTED_VALUE"""),"Red ~ Runner")</f>
        <v>Red ~ Runner</v>
      </c>
      <c r="I214" s="265" t="str">
        <f>IFERROR(__xludf.DUMMYFUNCTION("""COMPUTED_VALUE"""),"https://i.postimg.cc/Hk6HDrtk/Red-Runner.png")</f>
        <v>https://i.postimg.cc/Hk6HDrtk/Red-Runner.png</v>
      </c>
      <c r="J214" s="267" t="str">
        <f>IFERROR(__xludf.DUMMYFUNCTION("""COMPUTED_VALUE"""),"2020-08-04")</f>
        <v>2020-08-04</v>
      </c>
      <c r="K214" s="263"/>
    </row>
    <row r="215">
      <c r="A215" s="263"/>
      <c r="B215" s="264">
        <f>IFERROR(__xludf.DUMMYFUNCTION("""COMPUTED_VALUE"""),130.0)</f>
        <v>130</v>
      </c>
      <c r="C215" s="265" t="str">
        <f>IFERROR(__xludf.DUMMYFUNCTION("""COMPUTED_VALUE"""),"https://i.postimg.cc/pTJ3H53v/130-Amaru-Eneru.png")</f>
        <v>https://i.postimg.cc/pTJ3H53v/130-Amaru-Eneru.png</v>
      </c>
      <c r="D215" s="266" t="str">
        <f>IFERROR(__xludf.DUMMYFUNCTION("""COMPUTED_VALUE"""),"Amaru ~ Eneru")</f>
        <v>Amaru ~ Eneru</v>
      </c>
      <c r="E215" s="266" t="str">
        <f>IFERROR(__xludf.DUMMYFUNCTION("""COMPUTED_VALUE"""),"4 Stars")</f>
        <v>4 Stars</v>
      </c>
      <c r="F215" s="266" t="str">
        <f>IFERROR(__xludf.DUMMYFUNCTION("""COMPUTED_VALUE"""),"Bounty Festival")</f>
        <v>Bounty Festival</v>
      </c>
      <c r="G215" s="266" t="str">
        <f>IFERROR(__xludf.DUMMYFUNCTION("""COMPUTED_VALUE"""),"Defender(s) ~ Logia ~ Power users ~ The Grand Line")</f>
        <v>Defender(s) ~ Logia ~ Power users ~ The Grand Line</v>
      </c>
      <c r="H215" s="266" t="str">
        <f>IFERROR(__xludf.DUMMYFUNCTION("""COMPUTED_VALUE"""),"Blue ~ Defender")</f>
        <v>Blue ~ Defender</v>
      </c>
      <c r="I215" s="265" t="str">
        <f>IFERROR(__xludf.DUMMYFUNCTION("""COMPUTED_VALUE"""),"https://i.postimg.cc/m2xg81dx/Blue-Defender.png")</f>
        <v>https://i.postimg.cc/m2xg81dx/Blue-Defender.png</v>
      </c>
      <c r="J215" s="267" t="str">
        <f>IFERROR(__xludf.DUMMYFUNCTION("""COMPUTED_VALUE"""),"2020-07-30")</f>
        <v>2020-07-30</v>
      </c>
      <c r="K215" s="263"/>
    </row>
    <row r="216">
      <c r="A216" s="263"/>
      <c r="B216" s="264">
        <f>IFERROR(__xludf.DUMMYFUNCTION("""COMPUTED_VALUE"""),129.0)</f>
        <v>129</v>
      </c>
      <c r="C216" s="265" t="str">
        <f>IFERROR(__xludf.DUMMYFUNCTION("""COMPUTED_VALUE"""),"https://i.postimg.cc/mkZJ22GH/129-CP0-Rob-Lucci.png")</f>
        <v>https://i.postimg.cc/mkZJ22GH/129-CP0-Rob-Lucci.png</v>
      </c>
      <c r="D216" s="266" t="str">
        <f>IFERROR(__xludf.DUMMYFUNCTION("""COMPUTED_VALUE"""),"CP0 ~ Rob Lucci")</f>
        <v>CP0 ~ Rob Lucci</v>
      </c>
      <c r="E216" s="266" t="str">
        <f>IFERROR(__xludf.DUMMYFUNCTION("""COMPUTED_VALUE"""),"4 Stars")</f>
        <v>4 Stars</v>
      </c>
      <c r="F216" s="266" t="str">
        <f>IFERROR(__xludf.DUMMYFUNCTION("""COMPUTED_VALUE"""),"Bounty Festival")</f>
        <v>Bounty Festival</v>
      </c>
      <c r="G216" s="266" t="str">
        <f>IFERROR(__xludf.DUMMYFUNCTION("""COMPUTED_VALUE"""),"Attacker(s) ~ Cipher Pol ~ Zoan ~ Power users ~ New World")</f>
        <v>Attacker(s) ~ Cipher Pol ~ Zoan ~ Power users ~ New World</v>
      </c>
      <c r="H216" s="266" t="str">
        <f>IFERROR(__xludf.DUMMYFUNCTION("""COMPUTED_VALUE"""),"Red ~ Attacker")</f>
        <v>Red ~ Attacker</v>
      </c>
      <c r="I216" s="265" t="str">
        <f>IFERROR(__xludf.DUMMYFUNCTION("""COMPUTED_VALUE"""),"https://i.postimg.cc/L6B2DCYf/Red-Attacker.png")</f>
        <v>https://i.postimg.cc/L6B2DCYf/Red-Attacker.png</v>
      </c>
      <c r="J216" s="267" t="str">
        <f>IFERROR(__xludf.DUMMYFUNCTION("""COMPUTED_VALUE"""),"2020-07-30")</f>
        <v>2020-07-30</v>
      </c>
      <c r="K216" s="263"/>
    </row>
    <row r="217">
      <c r="A217" s="263"/>
      <c r="B217" s="264">
        <f>IFERROR(__xludf.DUMMYFUNCTION("""COMPUTED_VALUE"""),128.0)</f>
        <v>128</v>
      </c>
      <c r="C217" s="265" t="str">
        <f>IFERROR(__xludf.DUMMYFUNCTION("""COMPUTED_VALUE"""),"https://i.postimg.cc/J0TgyV1d/128-Land-of-Wano-Luffytaro.png")</f>
        <v>https://i.postimg.cc/J0TgyV1d/128-Land-of-Wano-Luffytaro.png</v>
      </c>
      <c r="D217" s="266" t="str">
        <f>IFERROR(__xludf.DUMMYFUNCTION("""COMPUTED_VALUE"""),"Land of Wano ~ Luffytaro")</f>
        <v>Land of Wano ~ Luffytaro</v>
      </c>
      <c r="E217" s="266" t="str">
        <f>IFERROR(__xludf.DUMMYFUNCTION("""COMPUTED_VALUE"""),"4 Stars")</f>
        <v>4 Stars</v>
      </c>
      <c r="F217" s="266" t="str">
        <f>IFERROR(__xludf.DUMMYFUNCTION("""COMPUTED_VALUE"""),"Step Up")</f>
        <v>Step Up</v>
      </c>
      <c r="G217" s="266" t="str">
        <f>IFERROR(__xludf.DUMMYFUNCTION("""COMPUTED_VALUE"""),"Attacker(s) ~ Straw Hat Pirates ~ Paramecia ~ Captain ~ Power users ~ New World ~ Worst Generation")</f>
        <v>Attacker(s) ~ Straw Hat Pirates ~ Paramecia ~ Captain ~ Power users ~ New World ~ Worst Generation</v>
      </c>
      <c r="H217" s="266" t="str">
        <f>IFERROR(__xludf.DUMMYFUNCTION("""COMPUTED_VALUE"""),"Blue ~ Attacker")</f>
        <v>Blue ~ Attacker</v>
      </c>
      <c r="I217" s="265" t="str">
        <f>IFERROR(__xludf.DUMMYFUNCTION("""COMPUTED_VALUE"""),"https://i.postimg.cc/1zRtDxvf/Blue-Attacker.png")</f>
        <v>https://i.postimg.cc/1zRtDxvf/Blue-Attacker.png</v>
      </c>
      <c r="J217" s="267" t="str">
        <f>IFERROR(__xludf.DUMMYFUNCTION("""COMPUTED_VALUE"""),"2020-07-22")</f>
        <v>2020-07-22</v>
      </c>
      <c r="K217" s="263"/>
    </row>
    <row r="218">
      <c r="A218" s="263"/>
      <c r="B218" s="264">
        <f>IFERROR(__xludf.DUMMYFUNCTION("""COMPUTED_VALUE"""),127.0)</f>
        <v>127</v>
      </c>
      <c r="C218" s="265" t="str">
        <f>IFERROR(__xludf.DUMMYFUNCTION("""COMPUTED_VALUE"""),"https://i.postimg.cc/RCG2pfcQ/127-Land-of-Wano-Onami.png")</f>
        <v>https://i.postimg.cc/RCG2pfcQ/127-Land-of-Wano-Onami.png</v>
      </c>
      <c r="D218" s="266" t="str">
        <f>IFERROR(__xludf.DUMMYFUNCTION("""COMPUTED_VALUE"""),"Land of Wano ~ Onami")</f>
        <v>Land of Wano ~ Onami</v>
      </c>
      <c r="E218" s="266" t="str">
        <f>IFERROR(__xludf.DUMMYFUNCTION("""COMPUTED_VALUE"""),"4 Stars")</f>
        <v>4 Stars</v>
      </c>
      <c r="F218" s="266" t="str">
        <f>IFERROR(__xludf.DUMMYFUNCTION("""COMPUTED_VALUE"""),"Step Up")</f>
        <v>Step Up</v>
      </c>
      <c r="G218" s="266" t="str">
        <f>IFERROR(__xludf.DUMMYFUNCTION("""COMPUTED_VALUE"""),"Runner(s) ~ Paramecia ~ Power users ~ New World")</f>
        <v>Runner(s) ~ Paramecia ~ Power users ~ New World</v>
      </c>
      <c r="H218" s="266" t="str">
        <f>IFERROR(__xludf.DUMMYFUNCTION("""COMPUTED_VALUE"""),"Green ~ Runner")</f>
        <v>Green ~ Runner</v>
      </c>
      <c r="I218" s="265" t="str">
        <f>IFERROR(__xludf.DUMMYFUNCTION("""COMPUTED_VALUE"""),"https://i.postimg.cc/PxgT30Qb/Green-Runner.png")</f>
        <v>https://i.postimg.cc/PxgT30Qb/Green-Runner.png</v>
      </c>
      <c r="J218" s="267" t="str">
        <f>IFERROR(__xludf.DUMMYFUNCTION("""COMPUTED_VALUE"""),"2020-07-14")</f>
        <v>2020-07-14</v>
      </c>
      <c r="K218" s="263"/>
    </row>
    <row r="219">
      <c r="A219" s="263"/>
      <c r="B219" s="264">
        <f>IFERROR(__xludf.DUMMYFUNCTION("""COMPUTED_VALUE"""),126.0)</f>
        <v>126</v>
      </c>
      <c r="C219" s="265" t="str">
        <f>IFERROR(__xludf.DUMMYFUNCTION("""COMPUTED_VALUE"""),"https://i.postimg.cc/pL57d63q/126-Land-of-Wano-X-Drake.png")</f>
        <v>https://i.postimg.cc/pL57d63q/126-Land-of-Wano-X-Drake.png</v>
      </c>
      <c r="D219" s="266" t="str">
        <f>IFERROR(__xludf.DUMMYFUNCTION("""COMPUTED_VALUE"""),"Land of Wano ~ X.Drake")</f>
        <v>Land of Wano ~ X.Drake</v>
      </c>
      <c r="E219" s="266" t="str">
        <f>IFERROR(__xludf.DUMMYFUNCTION("""COMPUTED_VALUE"""),"4 Stars")</f>
        <v>4 Stars</v>
      </c>
      <c r="F219" s="266" t="str">
        <f>IFERROR(__xludf.DUMMYFUNCTION("""COMPUTED_VALUE"""),"Bounty Festival")</f>
        <v>Bounty Festival</v>
      </c>
      <c r="G219" s="266" t="str">
        <f>IFERROR(__xludf.DUMMYFUNCTION("""COMPUTED_VALUE"""),"Attacker(s) ~ Zoan ~ Power users ~ New World ~ Worst Generation ~ Animal Kingdom Pirates")</f>
        <v>Attacker(s) ~ Zoan ~ Power users ~ New World ~ Worst Generation ~ Animal Kingdom Pirates</v>
      </c>
      <c r="H219" s="266" t="str">
        <f>IFERROR(__xludf.DUMMYFUNCTION("""COMPUTED_VALUE"""),"Red ~ Attacker")</f>
        <v>Red ~ Attacker</v>
      </c>
      <c r="I219" s="265" t="str">
        <f>IFERROR(__xludf.DUMMYFUNCTION("""COMPUTED_VALUE"""),"https://i.postimg.cc/L6B2DCYf/Red-Attacker.png")</f>
        <v>https://i.postimg.cc/L6B2DCYf/Red-Attacker.png</v>
      </c>
      <c r="J219" s="267" t="str">
        <f>IFERROR(__xludf.DUMMYFUNCTION("""COMPUTED_VALUE"""),"2020-06-25")</f>
        <v>2020-06-25</v>
      </c>
      <c r="K219" s="263"/>
    </row>
    <row r="220">
      <c r="A220" s="263"/>
      <c r="B220" s="264">
        <f>IFERROR(__xludf.DUMMYFUNCTION("""COMPUTED_VALUE"""),125.0)</f>
        <v>125</v>
      </c>
      <c r="C220" s="265" t="str">
        <f>IFERROR(__xludf.DUMMYFUNCTION("""COMPUTED_VALUE"""),"https://i.postimg.cc/pX64RHcm/125-New-World-Eustass-Kid.png")</f>
        <v>https://i.postimg.cc/pX64RHcm/125-New-World-Eustass-Kid.png</v>
      </c>
      <c r="D220" s="266" t="str">
        <f>IFERROR(__xludf.DUMMYFUNCTION("""COMPUTED_VALUE"""),"New World ~ Eustass Kid")</f>
        <v>New World ~ Eustass Kid</v>
      </c>
      <c r="E220" s="266" t="str">
        <f>IFERROR(__xludf.DUMMYFUNCTION("""COMPUTED_VALUE"""),"4 Stars")</f>
        <v>4 Stars</v>
      </c>
      <c r="F220" s="266" t="str">
        <f>IFERROR(__xludf.DUMMYFUNCTION("""COMPUTED_VALUE"""),"Bounty Festival")</f>
        <v>Bounty Festival</v>
      </c>
      <c r="G220" s="266" t="str">
        <f>IFERROR(__xludf.DUMMYFUNCTION("""COMPUTED_VALUE"""),"Defender(s) ~ Paramecia ~ Captain ~ Power users ~ New World ~ Worst Generation")</f>
        <v>Defender(s) ~ Paramecia ~ Captain ~ Power users ~ New World ~ Worst Generation</v>
      </c>
      <c r="H220" s="266" t="str">
        <f>IFERROR(__xludf.DUMMYFUNCTION("""COMPUTED_VALUE"""),"Green ~ Defender")</f>
        <v>Green ~ Defender</v>
      </c>
      <c r="I220" s="265" t="str">
        <f>IFERROR(__xludf.DUMMYFUNCTION("""COMPUTED_VALUE"""),"https://i.postimg.cc/qRhpGpyM/Green-Defender.png")</f>
        <v>https://i.postimg.cc/qRhpGpyM/Green-Defender.png</v>
      </c>
      <c r="J220" s="267" t="str">
        <f>IFERROR(__xludf.DUMMYFUNCTION("""COMPUTED_VALUE"""),"2020-06-25")</f>
        <v>2020-06-25</v>
      </c>
      <c r="K220" s="263"/>
    </row>
    <row r="221">
      <c r="A221" s="263"/>
      <c r="B221" s="264">
        <f>IFERROR(__xludf.DUMMYFUNCTION("""COMPUTED_VALUE"""),124.0)</f>
        <v>124</v>
      </c>
      <c r="C221" s="265" t="str">
        <f>IFERROR(__xludf.DUMMYFUNCTION("""COMPUTED_VALUE"""),"https://i.postimg.cc/DyZH9Z6V/124-Kid-Pirates-Fighter-Killer.png")</f>
        <v>https://i.postimg.cc/DyZH9Z6V/124-Kid-Pirates-Fighter-Killer.png</v>
      </c>
      <c r="D221" s="266" t="str">
        <f>IFERROR(__xludf.DUMMYFUNCTION("""COMPUTED_VALUE"""),"Kid Pirates / Fighter ~ Killer")</f>
        <v>Kid Pirates / Fighter ~ Killer</v>
      </c>
      <c r="E221" s="266" t="str">
        <f>IFERROR(__xludf.DUMMYFUNCTION("""COMPUTED_VALUE"""),"3 Stars")</f>
        <v>3 Stars</v>
      </c>
      <c r="F221" s="266" t="str">
        <f>IFERROR(__xludf.DUMMYFUNCTION("""COMPUTED_VALUE"""),"Free ~ 3 Stars")</f>
        <v>Free ~ 3 Stars</v>
      </c>
      <c r="G221" s="266" t="str">
        <f>IFERROR(__xludf.DUMMYFUNCTION("""COMPUTED_VALUE"""),"Runner(s) ~ New World ~ Worst Generation")</f>
        <v>Runner(s) ~ New World ~ Worst Generation</v>
      </c>
      <c r="H221" s="266" t="str">
        <f>IFERROR(__xludf.DUMMYFUNCTION("""COMPUTED_VALUE"""),"Blue ~ Runner")</f>
        <v>Blue ~ Runner</v>
      </c>
      <c r="I221" s="265" t="str">
        <f>IFERROR(__xludf.DUMMYFUNCTION("""COMPUTED_VALUE"""),"https://i.postimg.cc/4NzNM4MY/Blue-Runner.png")</f>
        <v>https://i.postimg.cc/4NzNM4MY/Blue-Runner.png</v>
      </c>
      <c r="J221" s="267" t="str">
        <f>IFERROR(__xludf.DUMMYFUNCTION("""COMPUTED_VALUE"""),"2020-06-18")</f>
        <v>2020-06-18</v>
      </c>
      <c r="K221" s="263"/>
    </row>
    <row r="222">
      <c r="A222" s="263"/>
      <c r="B222" s="264">
        <f>IFERROR(__xludf.DUMMYFUNCTION("""COMPUTED_VALUE"""),123.0)</f>
        <v>123</v>
      </c>
      <c r="C222" s="265" t="str">
        <f>IFERROR(__xludf.DUMMYFUNCTION("""COMPUTED_VALUE"""),"https://i.postimg.cc/7LgW3THz/123-On-Air-Pirates-Captain-Scratchmen-Apoo.png")</f>
        <v>https://i.postimg.cc/7LgW3THz/123-On-Air-Pirates-Captain-Scratchmen-Apoo.png</v>
      </c>
      <c r="D222" s="266" t="str">
        <f>IFERROR(__xludf.DUMMYFUNCTION("""COMPUTED_VALUE"""),"On-Air Pirates / Captain ~ Scratchmen Apoo")</f>
        <v>On-Air Pirates / Captain ~ Scratchmen Apoo</v>
      </c>
      <c r="E222" s="266" t="str">
        <f>IFERROR(__xludf.DUMMYFUNCTION("""COMPUTED_VALUE"""),"4 Stars")</f>
        <v>4 Stars</v>
      </c>
      <c r="F222" s="266" t="str">
        <f>IFERROR(__xludf.DUMMYFUNCTION("""COMPUTED_VALUE"""),"Step Up")</f>
        <v>Step Up</v>
      </c>
      <c r="G222" s="266" t="str">
        <f>IFERROR(__xludf.DUMMYFUNCTION("""COMPUTED_VALUE"""),"Runner(s) ~ Paramecia ~ Captain ~ Power users ~ New World ~ Worst Generation")</f>
        <v>Runner(s) ~ Paramecia ~ Captain ~ Power users ~ New World ~ Worst Generation</v>
      </c>
      <c r="H222" s="266" t="str">
        <f>IFERROR(__xludf.DUMMYFUNCTION("""COMPUTED_VALUE"""),"Green ~ Runner")</f>
        <v>Green ~ Runner</v>
      </c>
      <c r="I222" s="265" t="str">
        <f>IFERROR(__xludf.DUMMYFUNCTION("""COMPUTED_VALUE"""),"https://i.postimg.cc/PxgT30Qb/Green-Runner.png")</f>
        <v>https://i.postimg.cc/PxgT30Qb/Green-Runner.png</v>
      </c>
      <c r="J222" s="267" t="str">
        <f>IFERROR(__xludf.DUMMYFUNCTION("""COMPUTED_VALUE"""),"2020-06-18")</f>
        <v>2020-06-18</v>
      </c>
      <c r="K222" s="263"/>
    </row>
    <row r="223">
      <c r="A223" s="269"/>
      <c r="B223" s="264">
        <f>IFERROR(__xludf.DUMMYFUNCTION("""COMPUTED_VALUE"""),122.0)</f>
        <v>122</v>
      </c>
      <c r="C223" s="265" t="str">
        <f>IFERROR(__xludf.DUMMYFUNCTION("""COMPUTED_VALUE"""),"https://i.postimg.cc/yxNpCQFh/122-Fallen-Monk-Pirates-Captain-Mad-Monk-Urouge.png")</f>
        <v>https://i.postimg.cc/yxNpCQFh/122-Fallen-Monk-Pirates-Captain-Mad-Monk-Urouge.png</v>
      </c>
      <c r="D223" s="266" t="str">
        <f>IFERROR(__xludf.DUMMYFUNCTION("""COMPUTED_VALUE"""),"Fallen Monk Pirates / Captain ""Mad Monk"" ~ Urouge")</f>
        <v>Fallen Monk Pirates / Captain "Mad Monk" ~ Urouge</v>
      </c>
      <c r="E223" s="266" t="str">
        <f>IFERROR(__xludf.DUMMYFUNCTION("""COMPUTED_VALUE"""),"4 Stars")</f>
        <v>4 Stars</v>
      </c>
      <c r="F223" s="266" t="str">
        <f>IFERROR(__xludf.DUMMYFUNCTION("""COMPUTED_VALUE"""),"Step Up")</f>
        <v>Step Up</v>
      </c>
      <c r="G223" s="266" t="str">
        <f>IFERROR(__xludf.DUMMYFUNCTION("""COMPUTED_VALUE"""),"Defender(s) ~ Captain ~ New World ~ Worst Generation")</f>
        <v>Defender(s) ~ Captain ~ New World ~ Worst Generation</v>
      </c>
      <c r="H223" s="266" t="str">
        <f>IFERROR(__xludf.DUMMYFUNCTION("""COMPUTED_VALUE"""),"Red ~ Defender")</f>
        <v>Red ~ Defender</v>
      </c>
      <c r="I223" s="265" t="str">
        <f>IFERROR(__xludf.DUMMYFUNCTION("""COMPUTED_VALUE"""),"https://i.postimg.cc/P5XhRWY7/Red-Defender.png")</f>
        <v>https://i.postimg.cc/P5XhRWY7/Red-Defender.png</v>
      </c>
      <c r="J223" s="267" t="str">
        <f>IFERROR(__xludf.DUMMYFUNCTION("""COMPUTED_VALUE"""),"2020-06-09")</f>
        <v>2020-06-09</v>
      </c>
      <c r="K223" s="263"/>
    </row>
    <row r="224">
      <c r="A224" s="269"/>
      <c r="B224" s="264">
        <f>IFERROR(__xludf.DUMMYFUNCTION("""COMPUTED_VALUE"""),121.0)</f>
        <v>121</v>
      </c>
      <c r="C224" s="265" t="str">
        <f>IFERROR(__xludf.DUMMYFUNCTION("""COMPUTED_VALUE"""),"https://i.postimg.cc/15f7WdRs/121-Navy-HQ-Fleet-Admiral-Sengoku.png")</f>
        <v>https://i.postimg.cc/15f7WdRs/121-Navy-HQ-Fleet-Admiral-Sengoku.png</v>
      </c>
      <c r="D224" s="266" t="str">
        <f>IFERROR(__xludf.DUMMYFUNCTION("""COMPUTED_VALUE"""),"Navy HQ / Fleet Admiral ~ Sengoku")</f>
        <v>Navy HQ / Fleet Admiral ~ Sengoku</v>
      </c>
      <c r="E224" s="266" t="str">
        <f>IFERROR(__xludf.DUMMYFUNCTION("""COMPUTED_VALUE"""),"4 Stars")</f>
        <v>4 Stars</v>
      </c>
      <c r="F224" s="266" t="str">
        <f>IFERROR(__xludf.DUMMYFUNCTION("""COMPUTED_VALUE"""),"Bounty Festival")</f>
        <v>Bounty Festival</v>
      </c>
      <c r="G224" s="266" t="str">
        <f>IFERROR(__xludf.DUMMYFUNCTION("""COMPUTED_VALUE"""),"Defender(s) ~ Navy ~ Zoan ~ Power users ~ The Grand Line ~ Navy Admiral / Former Navy Admiral")</f>
        <v>Defender(s) ~ Navy ~ Zoan ~ Power users ~ The Grand Line ~ Navy Admiral / Former Navy Admiral</v>
      </c>
      <c r="H224" s="266" t="str">
        <f>IFERROR(__xludf.DUMMYFUNCTION("""COMPUTED_VALUE"""),"Blue ~ Defender")</f>
        <v>Blue ~ Defender</v>
      </c>
      <c r="I224" s="265" t="str">
        <f>IFERROR(__xludf.DUMMYFUNCTION("""COMPUTED_VALUE"""),"https://i.postimg.cc/m2xg81dx/Blue-Defender.png")</f>
        <v>https://i.postimg.cc/m2xg81dx/Blue-Defender.png</v>
      </c>
      <c r="J224" s="267" t="str">
        <f>IFERROR(__xludf.DUMMYFUNCTION("""COMPUTED_VALUE"""),"2020-05-28")</f>
        <v>2020-05-28</v>
      </c>
      <c r="K224" s="263"/>
    </row>
    <row r="225">
      <c r="A225" s="269"/>
      <c r="B225" s="264">
        <f>IFERROR(__xludf.DUMMYFUNCTION("""COMPUTED_VALUE"""),120.0)</f>
        <v>120</v>
      </c>
      <c r="C225" s="265" t="str">
        <f>IFERROR(__xludf.DUMMYFUNCTION("""COMPUTED_VALUE"""),"https://i.postimg.cc/JzX68BBF/120-The-Pirate-King-s-Right-Arm-The-Dark-King-Silvers-Rayleigh.png")</f>
        <v>https://i.postimg.cc/JzX68BBF/120-The-Pirate-King-s-Right-Arm-The-Dark-King-Silvers-Rayleigh.png</v>
      </c>
      <c r="D225" s="266" t="str">
        <f>IFERROR(__xludf.DUMMYFUNCTION("""COMPUTED_VALUE"""),"The Pirate King`s Right Arm The Dark King ~ Silvers Rayleigh")</f>
        <v>The Pirate King`s Right Arm The Dark King ~ Silvers Rayleigh</v>
      </c>
      <c r="E225" s="266" t="str">
        <f>IFERROR(__xludf.DUMMYFUNCTION("""COMPUTED_VALUE"""),"4 Stars")</f>
        <v>4 Stars</v>
      </c>
      <c r="F225" s="266" t="str">
        <f>IFERROR(__xludf.DUMMYFUNCTION("""COMPUTED_VALUE"""),"Bounty Festival")</f>
        <v>Bounty Festival</v>
      </c>
      <c r="G225" s="266" t="str">
        <f>IFERROR(__xludf.DUMMYFUNCTION("""COMPUTED_VALUE"""),"Attacker(s) ~ The Grand Line ~ Roger Pirates / Ex-Roger Pirates")</f>
        <v>Attacker(s) ~ The Grand Line ~ Roger Pirates / Ex-Roger Pirates</v>
      </c>
      <c r="H225" s="266" t="str">
        <f>IFERROR(__xludf.DUMMYFUNCTION("""COMPUTED_VALUE"""),"Green ~ Attacker")</f>
        <v>Green ~ Attacker</v>
      </c>
      <c r="I225" s="265" t="str">
        <f>IFERROR(__xludf.DUMMYFUNCTION("""COMPUTED_VALUE"""),"https://i.postimg.cc/0NH8mz6B/Green-Attacker.png")</f>
        <v>https://i.postimg.cc/0NH8mz6B/Green-Attacker.png</v>
      </c>
      <c r="J225" s="267" t="str">
        <f>IFERROR(__xludf.DUMMYFUNCTION("""COMPUTED_VALUE"""),"2020-05-28")</f>
        <v>2020-05-28</v>
      </c>
      <c r="K225" s="263"/>
    </row>
    <row r="226">
      <c r="A226" s="269"/>
      <c r="B226" s="264">
        <f>IFERROR(__xludf.DUMMYFUNCTION("""COMPUTED_VALUE"""),119.0)</f>
        <v>119</v>
      </c>
      <c r="C226" s="265" t="str">
        <f>IFERROR(__xludf.DUMMYFUNCTION("""COMPUTED_VALUE"""),"https://i.postimg.cc/m2JXKShM/119-Gear-Four-Snakeman-Monkey-D-Luffy.png")</f>
        <v>https://i.postimg.cc/m2JXKShM/119-Gear-Four-Snakeman-Monkey-D-Luffy.png</v>
      </c>
      <c r="D226" s="266" t="str">
        <f>IFERROR(__xludf.DUMMYFUNCTION("""COMPUTED_VALUE"""),"Gear Four / Snakeman ~ Monkey D. Luffy")</f>
        <v>Gear Four / Snakeman ~ Monkey D. Luffy</v>
      </c>
      <c r="E226" s="266" t="str">
        <f>IFERROR(__xludf.DUMMYFUNCTION("""COMPUTED_VALUE"""),"4 Stars")</f>
        <v>4 Stars</v>
      </c>
      <c r="F226" s="266" t="str">
        <f>IFERROR(__xludf.DUMMYFUNCTION("""COMPUTED_VALUE"""),"Step Up")</f>
        <v>Step Up</v>
      </c>
      <c r="G226" s="266" t="str">
        <f>IFERROR(__xludf.DUMMYFUNCTION("""COMPUTED_VALUE"""),"Runner(s) ~ Straw Hat Pirates ~ Paramecia ~ Captain ~ Power users ~ New World ~ Worst Generation")</f>
        <v>Runner(s) ~ Straw Hat Pirates ~ Paramecia ~ Captain ~ Power users ~ New World ~ Worst Generation</v>
      </c>
      <c r="H226" s="266" t="str">
        <f>IFERROR(__xludf.DUMMYFUNCTION("""COMPUTED_VALUE"""),"Red ~ Runner")</f>
        <v>Red ~ Runner</v>
      </c>
      <c r="I226" s="265" t="str">
        <f>IFERROR(__xludf.DUMMYFUNCTION("""COMPUTED_VALUE"""),"https://i.postimg.cc/Hk6HDrtk/Red-Runner.png")</f>
        <v>https://i.postimg.cc/Hk6HDrtk/Red-Runner.png</v>
      </c>
      <c r="J226" s="267" t="str">
        <f>IFERROR(__xludf.DUMMYFUNCTION("""COMPUTED_VALUE"""),"2020-05-05")</f>
        <v>2020-05-05</v>
      </c>
      <c r="K226" s="263"/>
    </row>
    <row r="227">
      <c r="A227" s="269"/>
      <c r="B227" s="264">
        <f>IFERROR(__xludf.DUMMYFUNCTION("""COMPUTED_VALUE"""),118.0)</f>
        <v>118</v>
      </c>
      <c r="C227" s="265" t="str">
        <f>IFERROR(__xludf.DUMMYFUNCTION("""COMPUTED_VALUE"""),"https://i.postimg.cc/s2RngDYg/118-Revolutoonary-Army-Emporio-Ivankov.png")</f>
        <v>https://i.postimg.cc/s2RngDYg/118-Revolutoonary-Army-Emporio-Ivankov.png</v>
      </c>
      <c r="D227" s="266" t="str">
        <f>IFERROR(__xludf.DUMMYFUNCTION("""COMPUTED_VALUE"""),"Revolutoonary Army ~ Emporio Ivankov")</f>
        <v>Revolutoonary Army ~ Emporio Ivankov</v>
      </c>
      <c r="E227" s="266" t="str">
        <f>IFERROR(__xludf.DUMMYFUNCTION("""COMPUTED_VALUE"""),"4 Stars")</f>
        <v>4 Stars</v>
      </c>
      <c r="F227" s="266" t="str">
        <f>IFERROR(__xludf.DUMMYFUNCTION("""COMPUTED_VALUE"""),"Bounty Festival")</f>
        <v>Bounty Festival</v>
      </c>
      <c r="G227" s="266" t="str">
        <f>IFERROR(__xludf.DUMMYFUNCTION("""COMPUTED_VALUE"""),"Runner(s) ~ Revolutionary Army ~ Paramecia ~ Power users ~ The Grand Line ~ Royalty / Former Royalty")</f>
        <v>Runner(s) ~ Revolutionary Army ~ Paramecia ~ Power users ~ The Grand Line ~ Royalty / Former Royalty</v>
      </c>
      <c r="H227" s="266" t="str">
        <f>IFERROR(__xludf.DUMMYFUNCTION("""COMPUTED_VALUE"""),"Green ~ Runner")</f>
        <v>Green ~ Runner</v>
      </c>
      <c r="I227" s="265" t="str">
        <f>IFERROR(__xludf.DUMMYFUNCTION("""COMPUTED_VALUE"""),"https://i.postimg.cc/PxgT30Qb/Green-Runner.png")</f>
        <v>https://i.postimg.cc/PxgT30Qb/Green-Runner.png</v>
      </c>
      <c r="J227" s="267" t="str">
        <f>IFERROR(__xludf.DUMMYFUNCTION("""COMPUTED_VALUE"""),"2020-04-28")</f>
        <v>2020-04-28</v>
      </c>
      <c r="K227" s="263"/>
    </row>
    <row r="228">
      <c r="A228" s="269"/>
      <c r="B228" s="264">
        <f>IFERROR(__xludf.DUMMYFUNCTION("""COMPUTED_VALUE"""),117.0)</f>
        <v>117</v>
      </c>
      <c r="C228" s="265" t="str">
        <f>IFERROR(__xludf.DUMMYFUNCTION("""COMPUTED_VALUE"""),"https://i.postimg.cc/PrgySrFQ/117-Impel-Down-Warden-Magellan.png")</f>
        <v>https://i.postimg.cc/PrgySrFQ/117-Impel-Down-Warden-Magellan.png</v>
      </c>
      <c r="D228" s="266" t="str">
        <f>IFERROR(__xludf.DUMMYFUNCTION("""COMPUTED_VALUE"""),"Impel Down / Warden ~ Magellan")</f>
        <v>Impel Down / Warden ~ Magellan</v>
      </c>
      <c r="E228" s="266" t="str">
        <f>IFERROR(__xludf.DUMMYFUNCTION("""COMPUTED_VALUE"""),"4 Stars")</f>
        <v>4 Stars</v>
      </c>
      <c r="F228" s="266" t="str">
        <f>IFERROR(__xludf.DUMMYFUNCTION("""COMPUTED_VALUE"""),"Bounty Festival")</f>
        <v>Bounty Festival</v>
      </c>
      <c r="G228" s="266" t="str">
        <f>IFERROR(__xludf.DUMMYFUNCTION("""COMPUTED_VALUE"""),"Defender(s) ~ Paramecia ~ Power users ~ The Grand Line")</f>
        <v>Defender(s) ~ Paramecia ~ Power users ~ The Grand Line</v>
      </c>
      <c r="H228" s="266" t="str">
        <f>IFERROR(__xludf.DUMMYFUNCTION("""COMPUTED_VALUE"""),"Blue ~ Defender")</f>
        <v>Blue ~ Defender</v>
      </c>
      <c r="I228" s="265" t="str">
        <f>IFERROR(__xludf.DUMMYFUNCTION("""COMPUTED_VALUE"""),"https://i.postimg.cc/m2xg81dx/Blue-Defender.png")</f>
        <v>https://i.postimg.cc/m2xg81dx/Blue-Defender.png</v>
      </c>
      <c r="J228" s="267" t="str">
        <f>IFERROR(__xludf.DUMMYFUNCTION("""COMPUTED_VALUE"""),"2020-04-28")</f>
        <v>2020-04-28</v>
      </c>
      <c r="K228" s="263"/>
    </row>
    <row r="229">
      <c r="A229" s="269"/>
      <c r="B229" s="264">
        <f>IFERROR(__xludf.DUMMYFUNCTION("""COMPUTED_VALUE"""),116.0)</f>
        <v>116</v>
      </c>
      <c r="C229" s="265" t="str">
        <f>IFERROR(__xludf.DUMMYFUNCTION("""COMPUTED_VALUE"""),"https://i.postimg.cc/cC6hbKSX/116-Gerand-Line-Navel-Base-5-Vice-Admiral-Smoker.png")</f>
        <v>https://i.postimg.cc/cC6hbKSX/116-Gerand-Line-Navel-Base-5-Vice-Admiral-Smoker.png</v>
      </c>
      <c r="D229" s="266" t="str">
        <f>IFERROR(__xludf.DUMMYFUNCTION("""COMPUTED_VALUE"""),"Gerand Line Navel Base 5 / Vice Admiral ~ Smoker")</f>
        <v>Gerand Line Navel Base 5 / Vice Admiral ~ Smoker</v>
      </c>
      <c r="E229" s="266" t="str">
        <f>IFERROR(__xludf.DUMMYFUNCTION("""COMPUTED_VALUE"""),"4 Stars")</f>
        <v>4 Stars</v>
      </c>
      <c r="F229" s="266" t="str">
        <f>IFERROR(__xludf.DUMMYFUNCTION("""COMPUTED_VALUE"""),"Step Up")</f>
        <v>Step Up</v>
      </c>
      <c r="G229" s="266" t="str">
        <f>IFERROR(__xludf.DUMMYFUNCTION("""COMPUTED_VALUE"""),"Attacker(s) ~ Navy ~ Logia ~ Power users ~ New World")</f>
        <v>Attacker(s) ~ Navy ~ Logia ~ Power users ~ New World</v>
      </c>
      <c r="H229" s="266" t="str">
        <f>IFERROR(__xludf.DUMMYFUNCTION("""COMPUTED_VALUE"""),"Blue ~ Attacker")</f>
        <v>Blue ~ Attacker</v>
      </c>
      <c r="I229" s="265" t="str">
        <f>IFERROR(__xludf.DUMMYFUNCTION("""COMPUTED_VALUE"""),"https://i.postimg.cc/1zRtDxvf/Blue-Attacker.png")</f>
        <v>https://i.postimg.cc/1zRtDxvf/Blue-Attacker.png</v>
      </c>
      <c r="J229" s="267" t="str">
        <f>IFERROR(__xludf.DUMMYFUNCTION("""COMPUTED_VALUE"""),"2020-04-16")</f>
        <v>2020-04-16</v>
      </c>
      <c r="K229" s="263"/>
    </row>
    <row r="230">
      <c r="A230" s="269"/>
      <c r="B230" s="264">
        <f>IFERROR(__xludf.DUMMYFUNCTION("""COMPUTED_VALUE"""),115.0)</f>
        <v>115</v>
      </c>
      <c r="C230" s="265" t="str">
        <f>IFERROR(__xludf.DUMMYFUNCTION("""COMPUTED_VALUE"""),"https://i.postimg.cc/TP9c2j2t/115-Grand-Line-Naval-Base-5-Captain-Tashigi.png")</f>
        <v>https://i.postimg.cc/TP9c2j2t/115-Grand-Line-Naval-Base-5-Captain-Tashigi.png</v>
      </c>
      <c r="D230" s="266" t="str">
        <f>IFERROR(__xludf.DUMMYFUNCTION("""COMPUTED_VALUE"""),"Grand Line Naval Base 5 / Captain ~ Tashigi")</f>
        <v>Grand Line Naval Base 5 / Captain ~ Tashigi</v>
      </c>
      <c r="E230" s="266" t="str">
        <f>IFERROR(__xludf.DUMMYFUNCTION("""COMPUTED_VALUE"""),"3 Stars")</f>
        <v>3 Stars</v>
      </c>
      <c r="F230" s="266" t="str">
        <f>IFERROR(__xludf.DUMMYFUNCTION("""COMPUTED_VALUE"""),"Free ~ 3 Stars")</f>
        <v>Free ~ 3 Stars</v>
      </c>
      <c r="G230" s="266" t="str">
        <f>IFERROR(__xludf.DUMMYFUNCTION("""COMPUTED_VALUE"""),"Runner(s) ~ Navy ~ New World")</f>
        <v>Runner(s) ~ Navy ~ New World</v>
      </c>
      <c r="H230" s="266" t="str">
        <f>IFERROR(__xludf.DUMMYFUNCTION("""COMPUTED_VALUE"""),"Red ~ Runner")</f>
        <v>Red ~ Runner</v>
      </c>
      <c r="I230" s="265" t="str">
        <f>IFERROR(__xludf.DUMMYFUNCTION("""COMPUTED_VALUE"""),"https://i.postimg.cc/Hk6HDrtk/Red-Runner.png")</f>
        <v>https://i.postimg.cc/Hk6HDrtk/Red-Runner.png</v>
      </c>
      <c r="J230" s="267" t="str">
        <f>IFERROR(__xludf.DUMMYFUNCTION("""COMPUTED_VALUE"""),"2020-04-09")</f>
        <v>2020-04-09</v>
      </c>
      <c r="K230" s="263"/>
    </row>
    <row r="231">
      <c r="A231" s="269"/>
      <c r="B231" s="264">
        <f>IFERROR(__xludf.DUMMYFUNCTION("""COMPUTED_VALUE"""),114.0)</f>
        <v>114</v>
      </c>
      <c r="C231" s="265" t="str">
        <f>IFERROR(__xludf.DUMMYFUNCTION("""COMPUTED_VALUE"""),"https://i.postimg.cc/gJ2Hxwnm/114-Navy-HQ-Rear-Admiral-Hina.png")</f>
        <v>https://i.postimg.cc/gJ2Hxwnm/114-Navy-HQ-Rear-Admiral-Hina.png</v>
      </c>
      <c r="D231" s="266" t="str">
        <f>IFERROR(__xludf.DUMMYFUNCTION("""COMPUTED_VALUE"""),"Navy HQ / Rear Admiral ~ Hina")</f>
        <v>Navy HQ / Rear Admiral ~ Hina</v>
      </c>
      <c r="E231" s="266" t="str">
        <f>IFERROR(__xludf.DUMMYFUNCTION("""COMPUTED_VALUE"""),"4 Stars")</f>
        <v>4 Stars</v>
      </c>
      <c r="F231" s="266" t="str">
        <f>IFERROR(__xludf.DUMMYFUNCTION("""COMPUTED_VALUE"""),"Step Up")</f>
        <v>Step Up</v>
      </c>
      <c r="G231" s="266" t="str">
        <f>IFERROR(__xludf.DUMMYFUNCTION("""COMPUTED_VALUE"""),"Defender(s) ~ Navy ~ Paramecia ~ Power users ~ New World")</f>
        <v>Defender(s) ~ Navy ~ Paramecia ~ Power users ~ New World</v>
      </c>
      <c r="H231" s="266" t="str">
        <f>IFERROR(__xludf.DUMMYFUNCTION("""COMPUTED_VALUE"""),"Green ~ Defender")</f>
        <v>Green ~ Defender</v>
      </c>
      <c r="I231" s="265" t="str">
        <f>IFERROR(__xludf.DUMMYFUNCTION("""COMPUTED_VALUE"""),"https://i.postimg.cc/qRhpGpyM/Green-Defender.png")</f>
        <v>https://i.postimg.cc/qRhpGpyM/Green-Defender.png</v>
      </c>
      <c r="J231" s="267" t="str">
        <f>IFERROR(__xludf.DUMMYFUNCTION("""COMPUTED_VALUE"""),"2020-04-09")</f>
        <v>2020-04-09</v>
      </c>
      <c r="K231" s="263"/>
    </row>
    <row r="232">
      <c r="A232" s="269"/>
      <c r="B232" s="264">
        <f>IFERROR(__xludf.DUMMYFUNCTION("""COMPUTED_VALUE"""),113.0)</f>
        <v>113</v>
      </c>
      <c r="C232" s="265" t="str">
        <f>IFERROR(__xludf.DUMMYFUNCTION("""COMPUTED_VALUE"""),"https://i.postimg.cc/RVHQJxV6/113-STAMPEDE-Douglas-Bullet.png")</f>
        <v>https://i.postimg.cc/RVHQJxV6/113-STAMPEDE-Douglas-Bullet.png</v>
      </c>
      <c r="D232" s="266" t="str">
        <f>IFERROR(__xludf.DUMMYFUNCTION("""COMPUTED_VALUE"""),"STAMPEDE ~ Douglas Bullet")</f>
        <v>STAMPEDE ~ Douglas Bullet</v>
      </c>
      <c r="E232" s="266" t="str">
        <f>IFERROR(__xludf.DUMMYFUNCTION("""COMPUTED_VALUE"""),"4 Stars")</f>
        <v>4 Stars</v>
      </c>
      <c r="F232" s="266" t="str">
        <f>IFERROR(__xludf.DUMMYFUNCTION("""COMPUTED_VALUE"""),"Limited ~ Bounty Festival")</f>
        <v>Limited ~ Bounty Festival</v>
      </c>
      <c r="G232" s="266" t="str">
        <f>IFERROR(__xludf.DUMMYFUNCTION("""COMPUTED_VALUE"""),"Attacker(s) ~ Paramecia ~ Power users ~ New World ~ Roger Pirates / Ex-Roger Pirates")</f>
        <v>Attacker(s) ~ Paramecia ~ Power users ~ New World ~ Roger Pirates / Ex-Roger Pirates</v>
      </c>
      <c r="H232" s="266" t="str">
        <f>IFERROR(__xludf.DUMMYFUNCTION("""COMPUTED_VALUE"""),"Blue ~ Attacker")</f>
        <v>Blue ~ Attacker</v>
      </c>
      <c r="I232" s="265" t="str">
        <f>IFERROR(__xludf.DUMMYFUNCTION("""COMPUTED_VALUE"""),"https://i.postimg.cc/1zRtDxvf/Blue-Attacker.png")</f>
        <v>https://i.postimg.cc/1zRtDxvf/Blue-Attacker.png</v>
      </c>
      <c r="J232" s="267" t="str">
        <f>IFERROR(__xludf.DUMMYFUNCTION("""COMPUTED_VALUE"""),"2020-03-26")</f>
        <v>2020-03-26</v>
      </c>
      <c r="K232" s="263"/>
    </row>
    <row r="233">
      <c r="A233" s="269"/>
      <c r="B233" s="264">
        <f>IFERROR(__xludf.DUMMYFUNCTION("""COMPUTED_VALUE"""),112.0)</f>
        <v>112</v>
      </c>
      <c r="C233" s="265" t="str">
        <f>IFERROR(__xludf.DUMMYFUNCTION("""COMPUTED_VALUE"""),"https://i.postimg.cc/T2SJP3Gv/112-The-King-of-the-Snipers-Sniper-King.png")</f>
        <v>https://i.postimg.cc/T2SJP3Gv/112-The-King-of-the-Snipers-Sniper-King.png</v>
      </c>
      <c r="D233" s="266" t="str">
        <f>IFERROR(__xludf.DUMMYFUNCTION("""COMPUTED_VALUE"""),"The King of the Snipers ~ Sniper King")</f>
        <v>The King of the Snipers ~ Sniper King</v>
      </c>
      <c r="E233" s="266" t="str">
        <f>IFERROR(__xludf.DUMMYFUNCTION("""COMPUTED_VALUE"""),"4 Stars")</f>
        <v>4 Stars</v>
      </c>
      <c r="F233" s="266" t="str">
        <f>IFERROR(__xludf.DUMMYFUNCTION("""COMPUTED_VALUE"""),"Cola")</f>
        <v>Cola</v>
      </c>
      <c r="G233" s="266" t="str">
        <f>IFERROR(__xludf.DUMMYFUNCTION("""COMPUTED_VALUE"""),"Runner(s) ~ Straw Hat Pirates ~ The Grand Line ~ Long-Range Normal Attacks")</f>
        <v>Runner(s) ~ Straw Hat Pirates ~ The Grand Line ~ Long-Range Normal Attacks</v>
      </c>
      <c r="H233" s="266" t="str">
        <f>IFERROR(__xludf.DUMMYFUNCTION("""COMPUTED_VALUE"""),"Green ~ Runner")</f>
        <v>Green ~ Runner</v>
      </c>
      <c r="I233" s="265" t="str">
        <f>IFERROR(__xludf.DUMMYFUNCTION("""COMPUTED_VALUE"""),"https://i.postimg.cc/PxgT30Qb/Green-Runner.png")</f>
        <v>https://i.postimg.cc/PxgT30Qb/Green-Runner.png</v>
      </c>
      <c r="J233" s="267" t="str">
        <f>IFERROR(__xludf.DUMMYFUNCTION("""COMPUTED_VALUE"""),"2020-03-11")</f>
        <v>2020-03-11</v>
      </c>
      <c r="K233" s="263"/>
    </row>
    <row r="234">
      <c r="A234" s="269"/>
      <c r="B234" s="264">
        <f>IFERROR(__xludf.DUMMYFUNCTION("""COMPUTED_VALUE"""),111.0)</f>
        <v>111</v>
      </c>
      <c r="C234" s="265" t="str">
        <f>IFERROR(__xludf.DUMMYFUNCTION("""COMPUTED_VALUE"""),"https://i.postimg.cc/nhfKvSCd/111-CP9-Kaku.png")</f>
        <v>https://i.postimg.cc/nhfKvSCd/111-CP9-Kaku.png</v>
      </c>
      <c r="D234" s="266" t="str">
        <f>IFERROR(__xludf.DUMMYFUNCTION("""COMPUTED_VALUE"""),"CP9 ~ Kaku")</f>
        <v>CP9 ~ Kaku</v>
      </c>
      <c r="E234" s="266" t="str">
        <f>IFERROR(__xludf.DUMMYFUNCTION("""COMPUTED_VALUE"""),"4 Stars")</f>
        <v>4 Stars</v>
      </c>
      <c r="F234" s="266" t="str">
        <f>IFERROR(__xludf.DUMMYFUNCTION("""COMPUTED_VALUE"""),"Step Up")</f>
        <v>Step Up</v>
      </c>
      <c r="G234" s="266" t="str">
        <f>IFERROR(__xludf.DUMMYFUNCTION("""COMPUTED_VALUE"""),"Runner(s) ~ Cipher Pol ~ Zoan ~ Power users ~ The Grand Line")</f>
        <v>Runner(s) ~ Cipher Pol ~ Zoan ~ Power users ~ The Grand Line</v>
      </c>
      <c r="H234" s="266" t="str">
        <f>IFERROR(__xludf.DUMMYFUNCTION("""COMPUTED_VALUE"""),"Red ~ Runner")</f>
        <v>Red ~ Runner</v>
      </c>
      <c r="I234" s="265" t="str">
        <f>IFERROR(__xludf.DUMMYFUNCTION("""COMPUTED_VALUE"""),"https://i.postimg.cc/Hk6HDrtk/Red-Runner.png")</f>
        <v>https://i.postimg.cc/Hk6HDrtk/Red-Runner.png</v>
      </c>
      <c r="J234" s="267" t="str">
        <f>IFERROR(__xludf.DUMMYFUNCTION("""COMPUTED_VALUE"""),"2020-03-11")</f>
        <v>2020-03-11</v>
      </c>
      <c r="K234" s="263"/>
    </row>
    <row r="235">
      <c r="A235" s="269"/>
      <c r="B235" s="264">
        <f>IFERROR(__xludf.DUMMYFUNCTION("""COMPUTED_VALUE"""),110.0)</f>
        <v>110</v>
      </c>
      <c r="C235" s="265" t="str">
        <f>IFERROR(__xludf.DUMMYFUNCTION("""COMPUTED_VALUE"""),"https://i.postimg.cc/k5nxHVNK/110-CP9-Rob-Lucci.png")</f>
        <v>https://i.postimg.cc/k5nxHVNK/110-CP9-Rob-Lucci.png</v>
      </c>
      <c r="D235" s="266" t="str">
        <f>IFERROR(__xludf.DUMMYFUNCTION("""COMPUTED_VALUE"""),"CP9 ~ Rob Lucci")</f>
        <v>CP9 ~ Rob Lucci</v>
      </c>
      <c r="E235" s="266" t="str">
        <f>IFERROR(__xludf.DUMMYFUNCTION("""COMPUTED_VALUE"""),"4 Stars")</f>
        <v>4 Stars</v>
      </c>
      <c r="F235" s="266" t="str">
        <f>IFERROR(__xludf.DUMMYFUNCTION("""COMPUTED_VALUE"""),"Step Up")</f>
        <v>Step Up</v>
      </c>
      <c r="G235" s="266" t="str">
        <f>IFERROR(__xludf.DUMMYFUNCTION("""COMPUTED_VALUE"""),"Attacker(s) ~ Cipher Pol ~ Zoan ~ Power users ~ The Grand Line")</f>
        <v>Attacker(s) ~ Cipher Pol ~ Zoan ~ Power users ~ The Grand Line</v>
      </c>
      <c r="H235" s="266" t="str">
        <f>IFERROR(__xludf.DUMMYFUNCTION("""COMPUTED_VALUE"""),"Green ~ Attacker")</f>
        <v>Green ~ Attacker</v>
      </c>
      <c r="I235" s="265" t="str">
        <f>IFERROR(__xludf.DUMMYFUNCTION("""COMPUTED_VALUE"""),"https://i.postimg.cc/0NH8mz6B/Green-Attacker.png")</f>
        <v>https://i.postimg.cc/0NH8mz6B/Green-Attacker.png</v>
      </c>
      <c r="J235" s="267" t="str">
        <f>IFERROR(__xludf.DUMMYFUNCTION("""COMPUTED_VALUE"""),"2020-03-05")</f>
        <v>2020-03-05</v>
      </c>
      <c r="K235" s="263"/>
    </row>
    <row r="236">
      <c r="A236" s="269"/>
      <c r="B236" s="264">
        <f>IFERROR(__xludf.DUMMYFUNCTION("""COMPUTED_VALUE"""),109.0)</f>
        <v>109</v>
      </c>
      <c r="C236" s="265" t="str">
        <f>IFERROR(__xludf.DUMMYFUNCTION("""COMPUTED_VALUE"""),"https://i.postimg.cc/jjZzYsv9/109-Luffy-s-Brother-Sabo.png")</f>
        <v>https://i.postimg.cc/jjZzYsv9/109-Luffy-s-Brother-Sabo.png</v>
      </c>
      <c r="D236" s="266" t="str">
        <f>IFERROR(__xludf.DUMMYFUNCTION("""COMPUTED_VALUE"""),"Luffy`s Brother ~ Sabo")</f>
        <v>Luffy`s Brother ~ Sabo</v>
      </c>
      <c r="E236" s="266" t="str">
        <f>IFERROR(__xludf.DUMMYFUNCTION("""COMPUTED_VALUE"""),"4 Stars")</f>
        <v>4 Stars</v>
      </c>
      <c r="F236" s="266" t="str">
        <f>IFERROR(__xludf.DUMMYFUNCTION("""COMPUTED_VALUE"""),"Bounty Festival")</f>
        <v>Bounty Festival</v>
      </c>
      <c r="G236" s="266" t="str">
        <f>IFERROR(__xludf.DUMMYFUNCTION("""COMPUTED_VALUE"""),"Attacker(s) ~ Revolutionary Army ~ Logia ~ Power users ~ New World")</f>
        <v>Attacker(s) ~ Revolutionary Army ~ Logia ~ Power users ~ New World</v>
      </c>
      <c r="H236" s="266" t="str">
        <f>IFERROR(__xludf.DUMMYFUNCTION("""COMPUTED_VALUE"""),"Red ~ Attacker")</f>
        <v>Red ~ Attacker</v>
      </c>
      <c r="I236" s="265" t="str">
        <f>IFERROR(__xludf.DUMMYFUNCTION("""COMPUTED_VALUE"""),"https://i.postimg.cc/L6B2DCYf/Red-Attacker.png")</f>
        <v>https://i.postimg.cc/L6B2DCYf/Red-Attacker.png</v>
      </c>
      <c r="J236" s="267" t="str">
        <f>IFERROR(__xludf.DUMMYFUNCTION("""COMPUTED_VALUE"""),"2020-02-27")</f>
        <v>2020-02-27</v>
      </c>
      <c r="K236" s="263"/>
    </row>
    <row r="237">
      <c r="A237" s="269"/>
      <c r="B237" s="264">
        <f>IFERROR(__xludf.DUMMYFUNCTION("""COMPUTED_VALUE"""),108.0)</f>
        <v>108</v>
      </c>
      <c r="C237" s="265" t="str">
        <f>IFERROR(__xludf.DUMMYFUNCTION("""COMPUTED_VALUE"""),"https://i.postimg.cc/d13Gqzx0/108-Navy-HQ-Admiral-Fujitora-Issho.png")</f>
        <v>https://i.postimg.cc/d13Gqzx0/108-Navy-HQ-Admiral-Fujitora-Issho.png</v>
      </c>
      <c r="D237" s="266" t="str">
        <f>IFERROR(__xludf.DUMMYFUNCTION("""COMPUTED_VALUE"""),"Navy HQ / Admiral Fujitora ~ [Issho]")</f>
        <v>Navy HQ / Admiral Fujitora ~ [Issho]</v>
      </c>
      <c r="E237" s="266" t="str">
        <f>IFERROR(__xludf.DUMMYFUNCTION("""COMPUTED_VALUE"""),"4 Stars")</f>
        <v>4 Stars</v>
      </c>
      <c r="F237" s="266" t="str">
        <f>IFERROR(__xludf.DUMMYFUNCTION("""COMPUTED_VALUE"""),"Bounty Festival")</f>
        <v>Bounty Festival</v>
      </c>
      <c r="G237" s="266" t="str">
        <f>IFERROR(__xludf.DUMMYFUNCTION("""COMPUTED_VALUE"""),"Defender(s) ~ Navy ~ Paramecia ~ Power users ~ New World ~ Navy Admiral / Former Navy Admiral")</f>
        <v>Defender(s) ~ Navy ~ Paramecia ~ Power users ~ New World ~ Navy Admiral / Former Navy Admiral</v>
      </c>
      <c r="H237" s="266" t="str">
        <f>IFERROR(__xludf.DUMMYFUNCTION("""COMPUTED_VALUE"""),"Blue ~ Defender")</f>
        <v>Blue ~ Defender</v>
      </c>
      <c r="I237" s="265" t="str">
        <f>IFERROR(__xludf.DUMMYFUNCTION("""COMPUTED_VALUE"""),"https://i.postimg.cc/m2xg81dx/Blue-Defender.png")</f>
        <v>https://i.postimg.cc/m2xg81dx/Blue-Defender.png</v>
      </c>
      <c r="J237" s="267" t="str">
        <f>IFERROR(__xludf.DUMMYFUNCTION("""COMPUTED_VALUE"""),"2020-02-27")</f>
        <v>2020-02-27</v>
      </c>
      <c r="K237" s="263"/>
    </row>
    <row r="238">
      <c r="A238" s="269"/>
      <c r="B238" s="264">
        <f>IFERROR(__xludf.DUMMYFUNCTION("""COMPUTED_VALUE"""),107.0)</f>
        <v>107</v>
      </c>
      <c r="C238" s="265" t="str">
        <f>IFERROR(__xludf.DUMMYFUNCTION("""COMPUTED_VALUE"""),"https://i.postimg.cc/26th32s7/107-Beautiful-Pirates-Captain-Cavendish.png")</f>
        <v>https://i.postimg.cc/26th32s7/107-Beautiful-Pirates-Captain-Cavendish.png</v>
      </c>
      <c r="D238" s="266" t="str">
        <f>IFERROR(__xludf.DUMMYFUNCTION("""COMPUTED_VALUE"""),"Beautiful Pirates / Captain ~ Cavendish")</f>
        <v>Beautiful Pirates / Captain ~ Cavendish</v>
      </c>
      <c r="E238" s="266" t="str">
        <f>IFERROR(__xludf.DUMMYFUNCTION("""COMPUTED_VALUE"""),"4 Stars")</f>
        <v>4 Stars</v>
      </c>
      <c r="F238" s="266" t="str">
        <f>IFERROR(__xludf.DUMMYFUNCTION("""COMPUTED_VALUE"""),"Step Up")</f>
        <v>Step Up</v>
      </c>
      <c r="G238" s="266" t="str">
        <f>IFERROR(__xludf.DUMMYFUNCTION("""COMPUTED_VALUE"""),"Attacker(s) ~ Captain ~ New World ~ Royalty / Former Royalty")</f>
        <v>Attacker(s) ~ Captain ~ New World ~ Royalty / Former Royalty</v>
      </c>
      <c r="H238" s="266" t="str">
        <f>IFERROR(__xludf.DUMMYFUNCTION("""COMPUTED_VALUE"""),"Green ~ Attacker")</f>
        <v>Green ~ Attacker</v>
      </c>
      <c r="I238" s="265" t="str">
        <f>IFERROR(__xludf.DUMMYFUNCTION("""COMPUTED_VALUE"""),"https://i.postimg.cc/0NH8mz6B/Green-Attacker.png")</f>
        <v>https://i.postimg.cc/0NH8mz6B/Green-Attacker.png</v>
      </c>
      <c r="J238" s="267" t="str">
        <f>IFERROR(__xludf.DUMMYFUNCTION("""COMPUTED_VALUE"""),"2020-02-18")</f>
        <v>2020-02-18</v>
      </c>
      <c r="K238" s="263"/>
    </row>
    <row r="239">
      <c r="A239" s="269"/>
      <c r="B239" s="264">
        <f>IFERROR(__xludf.DUMMYFUNCTION("""COMPUTED_VALUE"""),106.0)</f>
        <v>106</v>
      </c>
      <c r="C239" s="265" t="str">
        <f>IFERROR(__xludf.DUMMYFUNCTION("""COMPUTED_VALUE"""),"https://i.postimg.cc/0rRS0r26/106-Barto-Club-Captain-Bartolomeo.png")</f>
        <v>https://i.postimg.cc/0rRS0r26/106-Barto-Club-Captain-Bartolomeo.png</v>
      </c>
      <c r="D239" s="266" t="str">
        <f>IFERROR(__xludf.DUMMYFUNCTION("""COMPUTED_VALUE"""),"Barto Club / Captain ~ Bartolomeo")</f>
        <v>Barto Club / Captain ~ Bartolomeo</v>
      </c>
      <c r="E239" s="266" t="str">
        <f>IFERROR(__xludf.DUMMYFUNCTION("""COMPUTED_VALUE"""),"4 Stars")</f>
        <v>4 Stars</v>
      </c>
      <c r="F239" s="266" t="str">
        <f>IFERROR(__xludf.DUMMYFUNCTION("""COMPUTED_VALUE"""),"Step Up")</f>
        <v>Step Up</v>
      </c>
      <c r="G239" s="266" t="str">
        <f>IFERROR(__xludf.DUMMYFUNCTION("""COMPUTED_VALUE"""),"Defender(s) ~ Paramecia ~ Captain ~ Power users ~ New World")</f>
        <v>Defender(s) ~ Paramecia ~ Captain ~ Power users ~ New World</v>
      </c>
      <c r="H239" s="266" t="str">
        <f>IFERROR(__xludf.DUMMYFUNCTION("""COMPUTED_VALUE"""),"Red ~ Defender")</f>
        <v>Red ~ Defender</v>
      </c>
      <c r="I239" s="265" t="str">
        <f>IFERROR(__xludf.DUMMYFUNCTION("""COMPUTED_VALUE"""),"https://i.postimg.cc/P5XhRWY7/Red-Defender.png")</f>
        <v>https://i.postimg.cc/P5XhRWY7/Red-Defender.png</v>
      </c>
      <c r="J239" s="267" t="str">
        <f>IFERROR(__xludf.DUMMYFUNCTION("""COMPUTED_VALUE"""),"2020-02-10")</f>
        <v>2020-02-10</v>
      </c>
      <c r="K239" s="263"/>
    </row>
    <row r="240">
      <c r="A240" s="269"/>
      <c r="B240" s="264">
        <f>IFERROR(__xludf.DUMMYFUNCTION("""COMPUTED_VALUE"""),105.0)</f>
        <v>105</v>
      </c>
      <c r="C240" s="265" t="str">
        <f>IFERROR(__xludf.DUMMYFUNCTION("""COMPUTED_VALUE"""),"https://i.postimg.cc/k5XTbYp0/105-The-Parmount-War-Monkey-D-Luffy.png")</f>
        <v>https://i.postimg.cc/k5XTbYp0/105-The-Parmount-War-Monkey-D-Luffy.png</v>
      </c>
      <c r="D240" s="266" t="str">
        <f>IFERROR(__xludf.DUMMYFUNCTION("""COMPUTED_VALUE"""),"The Parmount War ~ Monkey D. Luffy")</f>
        <v>The Parmount War ~ Monkey D. Luffy</v>
      </c>
      <c r="E240" s="266" t="str">
        <f>IFERROR(__xludf.DUMMYFUNCTION("""COMPUTED_VALUE"""),"4 Stars")</f>
        <v>4 Stars</v>
      </c>
      <c r="F240" s="266" t="str">
        <f>IFERROR(__xludf.DUMMYFUNCTION("""COMPUTED_VALUE"""),"Free ~ 4 Stars")</f>
        <v>Free ~ 4 Stars</v>
      </c>
      <c r="G240" s="266" t="str">
        <f>IFERROR(__xludf.DUMMYFUNCTION("""COMPUTED_VALUE"""),"Runner(s) ~ Straw Hat Pirates ~ Paramecia ~ Captain ~ Power users ~ The Grand Line ~ Worst Generation")</f>
        <v>Runner(s) ~ Straw Hat Pirates ~ Paramecia ~ Captain ~ Power users ~ The Grand Line ~ Worst Generation</v>
      </c>
      <c r="H240" s="266" t="str">
        <f>IFERROR(__xludf.DUMMYFUNCTION("""COMPUTED_VALUE"""),"Green ~ Runner")</f>
        <v>Green ~ Runner</v>
      </c>
      <c r="I240" s="265" t="str">
        <f>IFERROR(__xludf.DUMMYFUNCTION("""COMPUTED_VALUE"""),"https://i.postimg.cc/PxgT30Qb/Green-Runner.png")</f>
        <v>https://i.postimg.cc/PxgT30Qb/Green-Runner.png</v>
      </c>
      <c r="J240" s="267" t="str">
        <f>IFERROR(__xludf.DUMMYFUNCTION("""COMPUTED_VALUE"""),"2020-01-28")</f>
        <v>2020-01-28</v>
      </c>
      <c r="K240" s="263"/>
    </row>
    <row r="241">
      <c r="A241" s="269"/>
      <c r="B241" s="264">
        <f>IFERROR(__xludf.DUMMYFUNCTION("""COMPUTED_VALUE"""),104.0)</f>
        <v>104</v>
      </c>
      <c r="C241" s="265" t="str">
        <f>IFERROR(__xludf.DUMMYFUNCTION("""COMPUTED_VALUE"""),"https://i.postimg.cc/bwR6df30/104-The-Four-Emperors-Shanks.png")</f>
        <v>https://i.postimg.cc/bwR6df30/104-The-Four-Emperors-Shanks.png</v>
      </c>
      <c r="D241" s="266" t="str">
        <f>IFERROR(__xludf.DUMMYFUNCTION("""COMPUTED_VALUE"""),"The Four Emperors ~ Shanks")</f>
        <v>The Four Emperors ~ Shanks</v>
      </c>
      <c r="E241" s="266" t="str">
        <f>IFERROR(__xludf.DUMMYFUNCTION("""COMPUTED_VALUE"""),"4 Stars")</f>
        <v>4 Stars</v>
      </c>
      <c r="F241" s="266" t="str">
        <f>IFERROR(__xludf.DUMMYFUNCTION("""COMPUTED_VALUE"""),"Extreme")</f>
        <v>Extreme</v>
      </c>
      <c r="G241" s="266" t="str">
        <f>IFERROR(__xludf.DUMMYFUNCTION("""COMPUTED_VALUE"""),"Attacker(s) ~ Red-Haired Pirates ~ Captain ~ The Grand Line ~ Roger Pirates / Ex-Roger Pirates")</f>
        <v>Attacker(s) ~ Red-Haired Pirates ~ Captain ~ The Grand Line ~ Roger Pirates / Ex-Roger Pirates</v>
      </c>
      <c r="H241" s="266" t="str">
        <f>IFERROR(__xludf.DUMMYFUNCTION("""COMPUTED_VALUE"""),"Blue ~ Attacker")</f>
        <v>Blue ~ Attacker</v>
      </c>
      <c r="I241" s="265" t="str">
        <f>IFERROR(__xludf.DUMMYFUNCTION("""COMPUTED_VALUE"""),"https://i.postimg.cc/1zRtDxvf/Blue-Attacker.png")</f>
        <v>https://i.postimg.cc/1zRtDxvf/Blue-Attacker.png</v>
      </c>
      <c r="J241" s="267" t="str">
        <f>IFERROR(__xludf.DUMMYFUNCTION("""COMPUTED_VALUE"""),"2020-01-28")</f>
        <v>2020-01-28</v>
      </c>
      <c r="K241" s="263"/>
    </row>
    <row r="242">
      <c r="A242" s="269"/>
      <c r="B242" s="264">
        <f>IFERROR(__xludf.DUMMYFUNCTION("""COMPUTED_VALUE"""),103.0)</f>
        <v>103</v>
      </c>
      <c r="C242" s="265" t="str">
        <f>IFERROR(__xludf.DUMMYFUNCTION("""COMPUTED_VALUE"""),"https://i.postimg.cc/1zCJccxf/103-The-Seven-Warlords-of-the-Sea-Marshall-D-Teach.png")</f>
        <v>https://i.postimg.cc/1zCJccxf/103-The-Seven-Warlords-of-the-Sea-Marshall-D-Teach.png</v>
      </c>
      <c r="D242" s="266" t="str">
        <f>IFERROR(__xludf.DUMMYFUNCTION("""COMPUTED_VALUE"""),"The Seven Warlords of the Sea ~ Marshall D. Teach")</f>
        <v>The Seven Warlords of the Sea ~ Marshall D. Teach</v>
      </c>
      <c r="E242" s="266" t="str">
        <f>IFERROR(__xludf.DUMMYFUNCTION("""COMPUTED_VALUE"""),"4 Stars")</f>
        <v>4 Stars</v>
      </c>
      <c r="F242" s="266" t="str">
        <f>IFERROR(__xludf.DUMMYFUNCTION("""COMPUTED_VALUE"""),"Extreme")</f>
        <v>Extreme</v>
      </c>
      <c r="G242" s="266" t="str">
        <f>IFERROR(__xludf.DUMMYFUNCTION("""COMPUTED_VALUE"""),"Defender(s) ~ The Seven Warlords of the Sea / Former Warlords of the Sea ~ Logia ~ Captain ~ Power users ~ The Grand Line ~ Worst Generation ~ Blackbeard Pirates")</f>
        <v>Defender(s) ~ The Seven Warlords of the Sea / Former Warlords of the Sea ~ Logia ~ Captain ~ Power users ~ The Grand Line ~ Worst Generation ~ Blackbeard Pirates</v>
      </c>
      <c r="H242" s="266" t="str">
        <f>IFERROR(__xludf.DUMMYFUNCTION("""COMPUTED_VALUE"""),"Red ~ Defender")</f>
        <v>Red ~ Defender</v>
      </c>
      <c r="I242" s="265" t="str">
        <f>IFERROR(__xludf.DUMMYFUNCTION("""COMPUTED_VALUE"""),"https://i.postimg.cc/P5XhRWY7/Red-Defender.png")</f>
        <v>https://i.postimg.cc/P5XhRWY7/Red-Defender.png</v>
      </c>
      <c r="J242" s="267" t="str">
        <f>IFERROR(__xludf.DUMMYFUNCTION("""COMPUTED_VALUE"""),"2020-01-21")</f>
        <v>2020-01-21</v>
      </c>
      <c r="K242" s="263"/>
    </row>
    <row r="243">
      <c r="A243" s="269"/>
      <c r="B243" s="264">
        <f>IFERROR(__xludf.DUMMYFUNCTION("""COMPUTED_VALUE"""),102.0)</f>
        <v>102</v>
      </c>
      <c r="C243" s="265" t="str">
        <f>IFERROR(__xludf.DUMMYFUNCTION("""COMPUTED_VALUE"""),"https://i.postimg.cc/ydDnfgBn/102-Navy-HQ-Vice-Admiral-Monkey-D-Garb.png")</f>
        <v>https://i.postimg.cc/ydDnfgBn/102-Navy-HQ-Vice-Admiral-Monkey-D-Garb.png</v>
      </c>
      <c r="D243" s="266" t="str">
        <f>IFERROR(__xludf.DUMMYFUNCTION("""COMPUTED_VALUE"""),"Navy HQ / Vice Admiral ~ Monkey D. Garb")</f>
        <v>Navy HQ / Vice Admiral ~ Monkey D. Garb</v>
      </c>
      <c r="E243" s="266" t="str">
        <f>IFERROR(__xludf.DUMMYFUNCTION("""COMPUTED_VALUE"""),"3 Stars")</f>
        <v>3 Stars</v>
      </c>
      <c r="F243" s="266" t="str">
        <f>IFERROR(__xludf.DUMMYFUNCTION("""COMPUTED_VALUE"""),"Free ~ 3 Stars")</f>
        <v>Free ~ 3 Stars</v>
      </c>
      <c r="G243" s="266" t="str">
        <f>IFERROR(__xludf.DUMMYFUNCTION("""COMPUTED_VALUE"""),"Defender(s) ~ Navy ~ The Grand Line")</f>
        <v>Defender(s) ~ Navy ~ The Grand Line</v>
      </c>
      <c r="H243" s="266" t="str">
        <f>IFERROR(__xludf.DUMMYFUNCTION("""COMPUTED_VALUE"""),"Green ~ Defender")</f>
        <v>Green ~ Defender</v>
      </c>
      <c r="I243" s="265" t="str">
        <f>IFERROR(__xludf.DUMMYFUNCTION("""COMPUTED_VALUE"""),"https://i.postimg.cc/qRhpGpyM/Green-Defender.png")</f>
        <v>https://i.postimg.cc/qRhpGpyM/Green-Defender.png</v>
      </c>
      <c r="J243" s="267" t="str">
        <f>IFERROR(__xludf.DUMMYFUNCTION("""COMPUTED_VALUE"""),"2020-01-16")</f>
        <v>2020-01-16</v>
      </c>
      <c r="K243" s="263"/>
    </row>
    <row r="244">
      <c r="A244" s="269"/>
      <c r="B244" s="264">
        <f>IFERROR(__xludf.DUMMYFUNCTION("""COMPUTED_VALUE"""),101.0)</f>
        <v>101</v>
      </c>
      <c r="C244" s="265" t="str">
        <f>IFERROR(__xludf.DUMMYFUNCTION("""COMPUTED_VALUE"""),"https://i.postimg.cc/gJ1s1z2p/101-Whitebeard-Pirates-1st-Division-Commander-Marco.png")</f>
        <v>https://i.postimg.cc/gJ1s1z2p/101-Whitebeard-Pirates-1st-Division-Commander-Marco.png</v>
      </c>
      <c r="D244" s="266" t="str">
        <f>IFERROR(__xludf.DUMMYFUNCTION("""COMPUTED_VALUE"""),"Whitebeard Pirates / 1st Division Commander ~ Marco")</f>
        <v>Whitebeard Pirates / 1st Division Commander ~ Marco</v>
      </c>
      <c r="E244" s="266" t="str">
        <f>IFERROR(__xludf.DUMMYFUNCTION("""COMPUTED_VALUE"""),"4 Stars")</f>
        <v>4 Stars</v>
      </c>
      <c r="F244" s="266" t="str">
        <f>IFERROR(__xludf.DUMMYFUNCTION("""COMPUTED_VALUE"""),"Step Up")</f>
        <v>Step Up</v>
      </c>
      <c r="G244" s="266" t="str">
        <f>IFERROR(__xludf.DUMMYFUNCTION("""COMPUTED_VALUE"""),"Runner(s) ~ Whitebeard Pirates ~ Zoan ~ Power users ~ The Grand Line")</f>
        <v>Runner(s) ~ Whitebeard Pirates ~ Zoan ~ Power users ~ The Grand Line</v>
      </c>
      <c r="H244" s="266" t="str">
        <f>IFERROR(__xludf.DUMMYFUNCTION("""COMPUTED_VALUE"""),"Red ~ Runner")</f>
        <v>Red ~ Runner</v>
      </c>
      <c r="I244" s="265" t="str">
        <f>IFERROR(__xludf.DUMMYFUNCTION("""COMPUTED_VALUE"""),"https://i.postimg.cc/Hk6HDrtk/Red-Runner.png")</f>
        <v>https://i.postimg.cc/Hk6HDrtk/Red-Runner.png</v>
      </c>
      <c r="J244" s="267" t="str">
        <f>IFERROR(__xludf.DUMMYFUNCTION("""COMPUTED_VALUE"""),"2020-01-16")</f>
        <v>2020-01-16</v>
      </c>
      <c r="K244" s="263"/>
    </row>
    <row r="245">
      <c r="A245" s="269"/>
      <c r="B245" s="264">
        <f>IFERROR(__xludf.DUMMYFUNCTION("""COMPUTED_VALUE"""),100.0)</f>
        <v>100</v>
      </c>
      <c r="C245" s="265" t="str">
        <f>IFERROR(__xludf.DUMMYFUNCTION("""COMPUTED_VALUE"""),"https://i.postimg.cc/5yvgVhXC/100-Son-of-the-King-of-the-Pirates-Portgaz-D-Ace.png")</f>
        <v>https://i.postimg.cc/5yvgVhXC/100-Son-of-the-King-of-the-Pirates-Portgaz-D-Ace.png</v>
      </c>
      <c r="D245" s="266" t="str">
        <f>IFERROR(__xludf.DUMMYFUNCTION("""COMPUTED_VALUE"""),"Son of the King of the Pirates ~ Portgaz D. Ace")</f>
        <v>Son of the King of the Pirates ~ Portgaz D. Ace</v>
      </c>
      <c r="E245" s="266" t="str">
        <f>IFERROR(__xludf.DUMMYFUNCTION("""COMPUTED_VALUE"""),"4 Stars")</f>
        <v>4 Stars</v>
      </c>
      <c r="F245" s="266" t="str">
        <f>IFERROR(__xludf.DUMMYFUNCTION("""COMPUTED_VALUE"""),"Step Up")</f>
        <v>Step Up</v>
      </c>
      <c r="G245" s="266" t="str">
        <f>IFERROR(__xludf.DUMMYFUNCTION("""COMPUTED_VALUE"""),"Runner(s) ~ Whitebeard Pirates ~ Logia ~ Power users ~ The Grand Line")</f>
        <v>Runner(s) ~ Whitebeard Pirates ~ Logia ~ Power users ~ The Grand Line</v>
      </c>
      <c r="H245" s="266" t="str">
        <f>IFERROR(__xludf.DUMMYFUNCTION("""COMPUTED_VALUE"""),"Green ~ Runner")</f>
        <v>Green ~ Runner</v>
      </c>
      <c r="I245" s="265" t="str">
        <f>IFERROR(__xludf.DUMMYFUNCTION("""COMPUTED_VALUE"""),"https://i.postimg.cc/PxgT30Qb/Green-Runner.png")</f>
        <v>https://i.postimg.cc/PxgT30Qb/Green-Runner.png</v>
      </c>
      <c r="J245" s="267" t="str">
        <f>IFERROR(__xludf.DUMMYFUNCTION("""COMPUTED_VALUE"""),"2019-12-31")</f>
        <v>2019-12-31</v>
      </c>
      <c r="K245" s="263"/>
    </row>
    <row r="246">
      <c r="A246" s="269"/>
      <c r="B246" s="264">
        <f>IFERROR(__xludf.DUMMYFUNCTION("""COMPUTED_VALUE"""),99.0)</f>
        <v>99</v>
      </c>
      <c r="C246" s="265" t="str">
        <f>IFERROR(__xludf.DUMMYFUNCTION("""COMPUTED_VALUE"""),"https://i.postimg.cc/G3sqGyXm/099-Animal-Kingdom-Pirates-Supreme-Commander-Kaido.png")</f>
        <v>https://i.postimg.cc/G3sqGyXm/099-Animal-Kingdom-Pirates-Supreme-Commander-Kaido.png</v>
      </c>
      <c r="D246" s="266" t="str">
        <f>IFERROR(__xludf.DUMMYFUNCTION("""COMPUTED_VALUE"""),"Animal Kingdom Pirates / Supreme Commander ~ Kaido")</f>
        <v>Animal Kingdom Pirates / Supreme Commander ~ Kaido</v>
      </c>
      <c r="E246" s="266" t="str">
        <f>IFERROR(__xludf.DUMMYFUNCTION("""COMPUTED_VALUE"""),"4 Stars")</f>
        <v>4 Stars</v>
      </c>
      <c r="F246" s="266" t="str">
        <f>IFERROR(__xludf.DUMMYFUNCTION("""COMPUTED_VALUE"""),"Bounty Festival")</f>
        <v>Bounty Festival</v>
      </c>
      <c r="G246" s="266" t="str">
        <f>IFERROR(__xludf.DUMMYFUNCTION("""COMPUTED_VALUE"""),"Attacker(s) ~ Zoan ~ Captain ~ Power users ~ New World ~ Animal Kingdom Pirates")</f>
        <v>Attacker(s) ~ Zoan ~ Captain ~ Power users ~ New World ~ Animal Kingdom Pirates</v>
      </c>
      <c r="H246" s="266" t="str">
        <f>IFERROR(__xludf.DUMMYFUNCTION("""COMPUTED_VALUE"""),"Green ~ Attacker")</f>
        <v>Green ~ Attacker</v>
      </c>
      <c r="I246" s="265" t="str">
        <f>IFERROR(__xludf.DUMMYFUNCTION("""COMPUTED_VALUE"""),"https://i.postimg.cc/0NH8mz6B/Green-Attacker.png")</f>
        <v>https://i.postimg.cc/0NH8mz6B/Green-Attacker.png</v>
      </c>
      <c r="J246" s="267" t="str">
        <f>IFERROR(__xludf.DUMMYFUNCTION("""COMPUTED_VALUE"""),"2019-12-26")</f>
        <v>2019-12-26</v>
      </c>
      <c r="K246" s="263"/>
    </row>
    <row r="247">
      <c r="A247" s="269"/>
      <c r="B247" s="264">
        <f>IFERROR(__xludf.DUMMYFUNCTION("""COMPUTED_VALUE"""),98.0)</f>
        <v>98</v>
      </c>
      <c r="C247" s="265" t="str">
        <f>IFERROR(__xludf.DUMMYFUNCTION("""COMPUTED_VALUE"""),"https://i.postimg.cc/L6KvT8WB/098-Happy-Holiday-Nico-Robin.png")</f>
        <v>https://i.postimg.cc/L6KvT8WB/098-Happy-Holiday-Nico-Robin.png</v>
      </c>
      <c r="D247" s="266" t="str">
        <f>IFERROR(__xludf.DUMMYFUNCTION("""COMPUTED_VALUE"""),"Happy Holiday ~ Nico Robin")</f>
        <v>Happy Holiday ~ Nico Robin</v>
      </c>
      <c r="E247" s="266" t="str">
        <f>IFERROR(__xludf.DUMMYFUNCTION("""COMPUTED_VALUE"""),"4 Stars")</f>
        <v>4 Stars</v>
      </c>
      <c r="F247" s="266" t="str">
        <f>IFERROR(__xludf.DUMMYFUNCTION("""COMPUTED_VALUE"""),"Step Up")</f>
        <v>Step Up</v>
      </c>
      <c r="G247" s="266" t="str">
        <f>IFERROR(__xludf.DUMMYFUNCTION("""COMPUTED_VALUE"""),"Runner(s) ~ Straw Hat Pirates ~ Paramecia ~ Power users ~ New World")</f>
        <v>Runner(s) ~ Straw Hat Pirates ~ Paramecia ~ Power users ~ New World</v>
      </c>
      <c r="H247" s="266" t="str">
        <f>IFERROR(__xludf.DUMMYFUNCTION("""COMPUTED_VALUE"""),"Blue ~ Runner")</f>
        <v>Blue ~ Runner</v>
      </c>
      <c r="I247" s="265" t="str">
        <f>IFERROR(__xludf.DUMMYFUNCTION("""COMPUTED_VALUE"""),"https://i.postimg.cc/4NzNM4MY/Blue-Runner.png")</f>
        <v>https://i.postimg.cc/4NzNM4MY/Blue-Runner.png</v>
      </c>
      <c r="J247" s="267" t="str">
        <f>IFERROR(__xludf.DUMMYFUNCTION("""COMPUTED_VALUE"""),"2019-12-17")</f>
        <v>2019-12-17</v>
      </c>
      <c r="K247" s="263"/>
    </row>
    <row r="248">
      <c r="A248" s="269"/>
      <c r="B248" s="264">
        <f>IFERROR(__xludf.DUMMYFUNCTION("""COMPUTED_VALUE"""),97.0)</f>
        <v>97</v>
      </c>
      <c r="C248" s="265" t="str">
        <f>IFERROR(__xludf.DUMMYFUNCTION("""COMPUTED_VALUE"""),"https://i.postimg.cc/7Y39Qy8v/097-Happy-Holiday-Franky.png")</f>
        <v>https://i.postimg.cc/7Y39Qy8v/097-Happy-Holiday-Franky.png</v>
      </c>
      <c r="D248" s="266" t="str">
        <f>IFERROR(__xludf.DUMMYFUNCTION("""COMPUTED_VALUE"""),"Happy Holiday ~ Franky")</f>
        <v>Happy Holiday ~ Franky</v>
      </c>
      <c r="E248" s="266" t="str">
        <f>IFERROR(__xludf.DUMMYFUNCTION("""COMPUTED_VALUE"""),"3 Stars")</f>
        <v>3 Stars</v>
      </c>
      <c r="F248" s="266" t="str">
        <f>IFERROR(__xludf.DUMMYFUNCTION("""COMPUTED_VALUE"""),"Free ~ 3 Stars")</f>
        <v>Free ~ 3 Stars</v>
      </c>
      <c r="G248" s="266" t="str">
        <f>IFERROR(__xludf.DUMMYFUNCTION("""COMPUTED_VALUE"""),"Attacker(s) ~ Straw Hat Pirates ~ New World")</f>
        <v>Attacker(s) ~ Straw Hat Pirates ~ New World</v>
      </c>
      <c r="H248" s="266" t="str">
        <f>IFERROR(__xludf.DUMMYFUNCTION("""COMPUTED_VALUE"""),"Red ~ Attacker")</f>
        <v>Red ~ Attacker</v>
      </c>
      <c r="I248" s="265" t="str">
        <f>IFERROR(__xludf.DUMMYFUNCTION("""COMPUTED_VALUE"""),"https://i.postimg.cc/L6B2DCYf/Red-Attacker.png")</f>
        <v>https://i.postimg.cc/L6B2DCYf/Red-Attacker.png</v>
      </c>
      <c r="J248" s="267" t="str">
        <f>IFERROR(__xludf.DUMMYFUNCTION("""COMPUTED_VALUE"""),"2019-12-10")</f>
        <v>2019-12-10</v>
      </c>
      <c r="K248" s="263"/>
    </row>
    <row r="249">
      <c r="A249" s="269"/>
      <c r="B249" s="264">
        <f>IFERROR(__xludf.DUMMYFUNCTION("""COMPUTED_VALUE"""),96.0)</f>
        <v>96</v>
      </c>
      <c r="C249" s="265" t="str">
        <f>IFERROR(__xludf.DUMMYFUNCTION("""COMPUTED_VALUE"""),"https://i.postimg.cc/RZvRkb4W/096-Happy-Holiday-Tony-Tony-Chopper.png")</f>
        <v>https://i.postimg.cc/RZvRkb4W/096-Happy-Holiday-Tony-Tony-Chopper.png</v>
      </c>
      <c r="D249" s="266" t="str">
        <f>IFERROR(__xludf.DUMMYFUNCTION("""COMPUTED_VALUE"""),"Happy Holiday ~ Tony Tony Chopper")</f>
        <v>Happy Holiday ~ Tony Tony Chopper</v>
      </c>
      <c r="E249" s="266" t="str">
        <f>IFERROR(__xludf.DUMMYFUNCTION("""COMPUTED_VALUE"""),"4 Stars")</f>
        <v>4 Stars</v>
      </c>
      <c r="F249" s="266" t="str">
        <f>IFERROR(__xludf.DUMMYFUNCTION("""COMPUTED_VALUE"""),"Step Up")</f>
        <v>Step Up</v>
      </c>
      <c r="G249" s="266" t="str">
        <f>IFERROR(__xludf.DUMMYFUNCTION("""COMPUTED_VALUE"""),"Attacker(s) ~ Straw Hat Pirates ~ Zoan ~ Power users ~ New World ~ Long-Range Normal Attacks")</f>
        <v>Attacker(s) ~ Straw Hat Pirates ~ Zoan ~ Power users ~ New World ~ Long-Range Normal Attacks</v>
      </c>
      <c r="H249" s="266" t="str">
        <f>IFERROR(__xludf.DUMMYFUNCTION("""COMPUTED_VALUE"""),"Blue ~ Attacker")</f>
        <v>Blue ~ Attacker</v>
      </c>
      <c r="I249" s="265" t="str">
        <f>IFERROR(__xludf.DUMMYFUNCTION("""COMPUTED_VALUE"""),"https://i.postimg.cc/1zRtDxvf/Blue-Attacker.png")</f>
        <v>https://i.postimg.cc/1zRtDxvf/Blue-Attacker.png</v>
      </c>
      <c r="J249" s="267" t="str">
        <f>IFERROR(__xludf.DUMMYFUNCTION("""COMPUTED_VALUE"""),"2019-12-10")</f>
        <v>2019-12-10</v>
      </c>
      <c r="K249" s="263"/>
    </row>
    <row r="250">
      <c r="A250" s="269"/>
      <c r="B250" s="264">
        <f>IFERROR(__xludf.DUMMYFUNCTION("""COMPUTED_VALUE"""),95.0)</f>
        <v>95</v>
      </c>
      <c r="C250" s="265" t="str">
        <f>IFERROR(__xludf.DUMMYFUNCTION("""COMPUTED_VALUE"""),"https://i.postimg.cc/Z5jc4F5V/095-The-Seven-Warlords-of-the-Sea-Bartholomew-Kuma.png")</f>
        <v>https://i.postimg.cc/Z5jc4F5V/095-The-Seven-Warlords-of-the-Sea-Bartholomew-Kuma.png</v>
      </c>
      <c r="D250" s="266" t="str">
        <f>IFERROR(__xludf.DUMMYFUNCTION("""COMPUTED_VALUE"""),"The Seven Warlords of the Sea ~ Bartholomew Kuma")</f>
        <v>The Seven Warlords of the Sea ~ Bartholomew Kuma</v>
      </c>
      <c r="E250" s="266" t="str">
        <f>IFERROR(__xludf.DUMMYFUNCTION("""COMPUTED_VALUE"""),"4 Stars")</f>
        <v>4 Stars</v>
      </c>
      <c r="F250" s="266" t="str">
        <f>IFERROR(__xludf.DUMMYFUNCTION("""COMPUTED_VALUE"""),"Bounty Festival")</f>
        <v>Bounty Festival</v>
      </c>
      <c r="G250" s="266" t="str">
        <f>IFERROR(__xludf.DUMMYFUNCTION("""COMPUTED_VALUE"""),"Defender(s) ~ The Seven Warlords of the Sea / Former Warlords of the Sea ~ Revolutionary Army ~ Paramecia ~ Power users ~ The Grand Line ~ Long-Range Normal Attacks ~ Royalty / Former Royalty")</f>
        <v>Defender(s) ~ The Seven Warlords of the Sea / Former Warlords of the Sea ~ Revolutionary Army ~ Paramecia ~ Power users ~ The Grand Line ~ Long-Range Normal Attacks ~ Royalty / Former Royalty</v>
      </c>
      <c r="H250" s="266" t="str">
        <f>IFERROR(__xludf.DUMMYFUNCTION("""COMPUTED_VALUE"""),"Blue ~ Defender")</f>
        <v>Blue ~ Defender</v>
      </c>
      <c r="I250" s="265" t="str">
        <f>IFERROR(__xludf.DUMMYFUNCTION("""COMPUTED_VALUE"""),"https://i.postimg.cc/m2xg81dx/Blue-Defender.png")</f>
        <v>https://i.postimg.cc/m2xg81dx/Blue-Defender.png</v>
      </c>
      <c r="J250" s="267" t="str">
        <f>IFERROR(__xludf.DUMMYFUNCTION("""COMPUTED_VALUE"""),"2019-11-28")</f>
        <v>2019-11-28</v>
      </c>
      <c r="K250" s="263"/>
    </row>
    <row r="251">
      <c r="A251" s="269"/>
      <c r="B251" s="264">
        <f>IFERROR(__xludf.DUMMYFUNCTION("""COMPUTED_VALUE"""),94.0)</f>
        <v>94</v>
      </c>
      <c r="C251" s="265" t="str">
        <f>IFERROR(__xludf.DUMMYFUNCTION("""COMPUTED_VALUE"""),"https://i.postimg.cc/6Q3h327w/094-Germa-66-Vinsmoke-Reiju.png")</f>
        <v>https://i.postimg.cc/6Q3h327w/094-Germa-66-Vinsmoke-Reiju.png</v>
      </c>
      <c r="D251" s="266" t="str">
        <f>IFERROR(__xludf.DUMMYFUNCTION("""COMPUTED_VALUE"""),"Germa 66 ~ Vinsmoke Reiju")</f>
        <v>Germa 66 ~ Vinsmoke Reiju</v>
      </c>
      <c r="E251" s="266" t="str">
        <f>IFERROR(__xludf.DUMMYFUNCTION("""COMPUTED_VALUE"""),"4 Stars")</f>
        <v>4 Stars</v>
      </c>
      <c r="F251" s="266" t="str">
        <f>IFERROR(__xludf.DUMMYFUNCTION("""COMPUTED_VALUE"""),"Step Up")</f>
        <v>Step Up</v>
      </c>
      <c r="G251" s="266" t="str">
        <f>IFERROR(__xludf.DUMMYFUNCTION("""COMPUTED_VALUE"""),"Runner(s) ~ New World ~ Germa 66 ~ Royalty / Former Royalty")</f>
        <v>Runner(s) ~ New World ~ Germa 66 ~ Royalty / Former Royalty</v>
      </c>
      <c r="H251" s="266" t="str">
        <f>IFERROR(__xludf.DUMMYFUNCTION("""COMPUTED_VALUE"""),"Blue ~ Runner")</f>
        <v>Blue ~ Runner</v>
      </c>
      <c r="I251" s="265" t="str">
        <f>IFERROR(__xludf.DUMMYFUNCTION("""COMPUTED_VALUE"""),"https://i.postimg.cc/4NzNM4MY/Blue-Runner.png")</f>
        <v>https://i.postimg.cc/4NzNM4MY/Blue-Runner.png</v>
      </c>
      <c r="J251" s="267" t="str">
        <f>IFERROR(__xludf.DUMMYFUNCTION("""COMPUTED_VALUE"""),"2019-11-19")</f>
        <v>2019-11-19</v>
      </c>
      <c r="K251" s="263"/>
    </row>
    <row r="252">
      <c r="A252" s="269"/>
      <c r="B252" s="264">
        <f>IFERROR(__xludf.DUMMYFUNCTION("""COMPUTED_VALUE"""),93.0)</f>
        <v>93</v>
      </c>
      <c r="C252" s="265" t="str">
        <f>IFERROR(__xludf.DUMMYFUNCTION("""COMPUTED_VALUE"""),"https://i.postimg.cc/FKBVJrcS/093-Firetank-Pirates-Godfather-Capone-Bege.png")</f>
        <v>https://i.postimg.cc/FKBVJrcS/093-Firetank-Pirates-Godfather-Capone-Bege.png</v>
      </c>
      <c r="D252" s="266" t="str">
        <f>IFERROR(__xludf.DUMMYFUNCTION("""COMPUTED_VALUE"""),"Firetank Pirates / Godfather ~ Capone Bege")</f>
        <v>Firetank Pirates / Godfather ~ Capone Bege</v>
      </c>
      <c r="E252" s="266" t="str">
        <f>IFERROR(__xludf.DUMMYFUNCTION("""COMPUTED_VALUE"""),"3 Stars")</f>
        <v>3 Stars</v>
      </c>
      <c r="F252" s="266" t="str">
        <f>IFERROR(__xludf.DUMMYFUNCTION("""COMPUTED_VALUE"""),"Free ~ 3 Stars")</f>
        <v>Free ~ 3 Stars</v>
      </c>
      <c r="G252" s="266" t="str">
        <f>IFERROR(__xludf.DUMMYFUNCTION("""COMPUTED_VALUE"""),"Defender(s) ~ Paramecia ~ Captain ~ Power users ~ New World ~ Worst Generation ~ Long-Range Normal Attacks")</f>
        <v>Defender(s) ~ Paramecia ~ Captain ~ Power users ~ New World ~ Worst Generation ~ Long-Range Normal Attacks</v>
      </c>
      <c r="H252" s="266" t="str">
        <f>IFERROR(__xludf.DUMMYFUNCTION("""COMPUTED_VALUE"""),"Red ~ Defender")</f>
        <v>Red ~ Defender</v>
      </c>
      <c r="I252" s="265" t="str">
        <f>IFERROR(__xludf.DUMMYFUNCTION("""COMPUTED_VALUE"""),"https://i.postimg.cc/P5XhRWY7/Red-Defender.png")</f>
        <v>https://i.postimg.cc/P5XhRWY7/Red-Defender.png</v>
      </c>
      <c r="J252" s="267" t="str">
        <f>IFERROR(__xludf.DUMMYFUNCTION("""COMPUTED_VALUE"""),"2019-11-07")</f>
        <v>2019-11-07</v>
      </c>
      <c r="K252" s="263"/>
    </row>
    <row r="253">
      <c r="A253" s="269"/>
      <c r="B253" s="264">
        <f>IFERROR(__xludf.DUMMYFUNCTION("""COMPUTED_VALUE"""),92.0)</f>
        <v>92</v>
      </c>
      <c r="C253" s="265" t="str">
        <f>IFERROR(__xludf.DUMMYFUNCTION("""COMPUTED_VALUE"""),"https://i.postimg.cc/vTR7300H/092-Whole-Cake-Island-Sanji.png")</f>
        <v>https://i.postimg.cc/vTR7300H/092-Whole-Cake-Island-Sanji.png</v>
      </c>
      <c r="D253" s="266" t="str">
        <f>IFERROR(__xludf.DUMMYFUNCTION("""COMPUTED_VALUE"""),"Whole Cake Island ~ Sanji")</f>
        <v>Whole Cake Island ~ Sanji</v>
      </c>
      <c r="E253" s="266" t="str">
        <f>IFERROR(__xludf.DUMMYFUNCTION("""COMPUTED_VALUE"""),"4 Stars")</f>
        <v>4 Stars</v>
      </c>
      <c r="F253" s="266" t="str">
        <f>IFERROR(__xludf.DUMMYFUNCTION("""COMPUTED_VALUE"""),"Step Up")</f>
        <v>Step Up</v>
      </c>
      <c r="G253" s="266" t="str">
        <f>IFERROR(__xludf.DUMMYFUNCTION("""COMPUTED_VALUE"""),"Attacker(s) ~ Straw Hat Pirates ~ New World ~ Royalty / Former Royalty")</f>
        <v>Attacker(s) ~ Straw Hat Pirates ~ New World ~ Royalty / Former Royalty</v>
      </c>
      <c r="H253" s="266" t="str">
        <f>IFERROR(__xludf.DUMMYFUNCTION("""COMPUTED_VALUE"""),"Red ~ Attacker")</f>
        <v>Red ~ Attacker</v>
      </c>
      <c r="I253" s="265" t="str">
        <f>IFERROR(__xludf.DUMMYFUNCTION("""COMPUTED_VALUE"""),"https://i.postimg.cc/L6B2DCYf/Red-Attacker.png")</f>
        <v>https://i.postimg.cc/L6B2DCYf/Red-Attacker.png</v>
      </c>
      <c r="J253" s="267" t="str">
        <f>IFERROR(__xludf.DUMMYFUNCTION("""COMPUTED_VALUE"""),"2019-11-07")</f>
        <v>2019-11-07</v>
      </c>
      <c r="K253" s="263"/>
    </row>
    <row r="254">
      <c r="A254" s="269"/>
      <c r="B254" s="264">
        <f>IFERROR(__xludf.DUMMYFUNCTION("""COMPUTED_VALUE"""),91.0)</f>
        <v>91</v>
      </c>
      <c r="C254" s="265" t="str">
        <f>IFERROR(__xludf.DUMMYFUNCTION("""COMPUTED_VALUE"""),"https://i.postimg.cc/G3YxH1pB/091-The-Seven-Warlords-of-the-Sea-Jinbe.png")</f>
        <v>https://i.postimg.cc/G3YxH1pB/091-The-Seven-Warlords-of-the-Sea-Jinbe.png</v>
      </c>
      <c r="D254" s="266" t="str">
        <f>IFERROR(__xludf.DUMMYFUNCTION("""COMPUTED_VALUE"""),"The Seven Warlords of the Sea ~ Jinbe")</f>
        <v>The Seven Warlords of the Sea ~ Jinbe</v>
      </c>
      <c r="E254" s="266" t="str">
        <f>IFERROR(__xludf.DUMMYFUNCTION("""COMPUTED_VALUE"""),"4 Stars")</f>
        <v>4 Stars</v>
      </c>
      <c r="F254" s="266" t="str">
        <f>IFERROR(__xludf.DUMMYFUNCTION("""COMPUTED_VALUE"""),"Bounty Festival")</f>
        <v>Bounty Festival</v>
      </c>
      <c r="G254" s="266" t="str">
        <f>IFERROR(__xludf.DUMMYFUNCTION("""COMPUTED_VALUE"""),"Attacker(s) ~ The Seven Warlords of the Sea / Former Warlords of the Sea ~ Captain ~ Fish-Man ~ The Grand Line")</f>
        <v>Attacker(s) ~ The Seven Warlords of the Sea / Former Warlords of the Sea ~ Captain ~ Fish-Man ~ The Grand Line</v>
      </c>
      <c r="H254" s="266" t="str">
        <f>IFERROR(__xludf.DUMMYFUNCTION("""COMPUTED_VALUE"""),"Blue ~ Attacker")</f>
        <v>Blue ~ Attacker</v>
      </c>
      <c r="I254" s="265" t="str">
        <f>IFERROR(__xludf.DUMMYFUNCTION("""COMPUTED_VALUE"""),"https://i.postimg.cc/1zRtDxvf/Blue-Attacker.png")</f>
        <v>https://i.postimg.cc/1zRtDxvf/Blue-Attacker.png</v>
      </c>
      <c r="J254" s="267" t="str">
        <f>IFERROR(__xludf.DUMMYFUNCTION("""COMPUTED_VALUE"""),"2019-10-29")</f>
        <v>2019-10-29</v>
      </c>
      <c r="K254" s="263"/>
    </row>
    <row r="255">
      <c r="A255" s="269"/>
      <c r="B255" s="264">
        <f>IFERROR(__xludf.DUMMYFUNCTION("""COMPUTED_VALUE"""),90.0)</f>
        <v>90</v>
      </c>
      <c r="C255" s="265" t="str">
        <f>IFERROR(__xludf.DUMMYFUNCTION("""COMPUTED_VALUE"""),"https://i.postimg.cc/MKSbBrc9/090-Imprisoned-Bride-Nami.png")</f>
        <v>https://i.postimg.cc/MKSbBrc9/090-Imprisoned-Bride-Nami.png</v>
      </c>
      <c r="D255" s="266" t="str">
        <f>IFERROR(__xludf.DUMMYFUNCTION("""COMPUTED_VALUE"""),"Imprisoned Bride ~ Nami")</f>
        <v>Imprisoned Bride ~ Nami</v>
      </c>
      <c r="E255" s="266" t="str">
        <f>IFERROR(__xludf.DUMMYFUNCTION("""COMPUTED_VALUE"""),"4 Stars")</f>
        <v>4 Stars</v>
      </c>
      <c r="F255" s="266" t="str">
        <f>IFERROR(__xludf.DUMMYFUNCTION("""COMPUTED_VALUE"""),"Cola")</f>
        <v>Cola</v>
      </c>
      <c r="G255" s="266" t="str">
        <f>IFERROR(__xludf.DUMMYFUNCTION("""COMPUTED_VALUE"""),"Attacker(s) ~ Straw Hat Pirates ~ The Grand Line ~ Long-Range Normal Attacks")</f>
        <v>Attacker(s) ~ Straw Hat Pirates ~ The Grand Line ~ Long-Range Normal Attacks</v>
      </c>
      <c r="H255" s="266" t="str">
        <f>IFERROR(__xludf.DUMMYFUNCTION("""COMPUTED_VALUE"""),"Blue ~ Attacker")</f>
        <v>Blue ~ Attacker</v>
      </c>
      <c r="I255" s="265" t="str">
        <f>IFERROR(__xludf.DUMMYFUNCTION("""COMPUTED_VALUE"""),"https://i.postimg.cc/1zRtDxvf/Blue-Attacker.png")</f>
        <v>https://i.postimg.cc/1zRtDxvf/Blue-Attacker.png</v>
      </c>
      <c r="J255" s="267" t="str">
        <f>IFERROR(__xludf.DUMMYFUNCTION("""COMPUTED_VALUE"""),"2019-10-10")</f>
        <v>2019-10-10</v>
      </c>
      <c r="K255" s="263"/>
    </row>
    <row r="256">
      <c r="A256" s="269"/>
      <c r="B256" s="264">
        <f>IFERROR(__xludf.DUMMYFUNCTION("""COMPUTED_VALUE"""),89.0)</f>
        <v>89</v>
      </c>
      <c r="C256" s="265" t="str">
        <f>IFERROR(__xludf.DUMMYFUNCTION("""COMPUTED_VALUE"""),"https://i.postimg.cc/VksqGrWM/089-Thriller-Park-Pirates-Mysterious-Four-Perona.png")</f>
        <v>https://i.postimg.cc/VksqGrWM/089-Thriller-Park-Pirates-Mysterious-Four-Perona.png</v>
      </c>
      <c r="D256" s="266" t="str">
        <f>IFERROR(__xludf.DUMMYFUNCTION("""COMPUTED_VALUE"""),"Thriller Park Pirates / Mysterious Four ~ Perona")</f>
        <v>Thriller Park Pirates / Mysterious Four ~ Perona</v>
      </c>
      <c r="E256" s="266" t="str">
        <f>IFERROR(__xludf.DUMMYFUNCTION("""COMPUTED_VALUE"""),"4 Stars")</f>
        <v>4 Stars</v>
      </c>
      <c r="F256" s="266" t="str">
        <f>IFERROR(__xludf.DUMMYFUNCTION("""COMPUTED_VALUE"""),"Step Up")</f>
        <v>Step Up</v>
      </c>
      <c r="G256" s="266" t="str">
        <f>IFERROR(__xludf.DUMMYFUNCTION("""COMPUTED_VALUE"""),"Runner(s) ~ Paramecia ~ Power users ~ The Grand Line ~ Long-Range Normal Attacks")</f>
        <v>Runner(s) ~ Paramecia ~ Power users ~ The Grand Line ~ Long-Range Normal Attacks</v>
      </c>
      <c r="H256" s="266" t="str">
        <f>IFERROR(__xludf.DUMMYFUNCTION("""COMPUTED_VALUE"""),"Green ~ Runner")</f>
        <v>Green ~ Runner</v>
      </c>
      <c r="I256" s="265" t="str">
        <f>IFERROR(__xludf.DUMMYFUNCTION("""COMPUTED_VALUE"""),"https://i.postimg.cc/PxgT30Qb/Green-Runner.png")</f>
        <v>https://i.postimg.cc/PxgT30Qb/Green-Runner.png</v>
      </c>
      <c r="J256" s="267" t="str">
        <f>IFERROR(__xludf.DUMMYFUNCTION("""COMPUTED_VALUE"""),"2019-10-10")</f>
        <v>2019-10-10</v>
      </c>
      <c r="K256" s="263"/>
    </row>
    <row r="257">
      <c r="A257" s="269"/>
      <c r="B257" s="264">
        <f>IFERROR(__xludf.DUMMYFUNCTION("""COMPUTED_VALUE"""),88.0)</f>
        <v>88</v>
      </c>
      <c r="C257" s="265" t="str">
        <f>IFERROR(__xludf.DUMMYFUNCTION("""COMPUTED_VALUE"""),"https://i.postimg.cc/HkSQfY6N/088-Legendary-Samurai-Zombie-Ryuma.png")</f>
        <v>https://i.postimg.cc/HkSQfY6N/088-Legendary-Samurai-Zombie-Ryuma.png</v>
      </c>
      <c r="D257" s="266" t="str">
        <f>IFERROR(__xludf.DUMMYFUNCTION("""COMPUTED_VALUE"""),"Legendary Samurai Zombie ~ Ryuma")</f>
        <v>Legendary Samurai Zombie ~ Ryuma</v>
      </c>
      <c r="E257" s="266" t="str">
        <f>IFERROR(__xludf.DUMMYFUNCTION("""COMPUTED_VALUE"""),"3 Stars")</f>
        <v>3 Stars</v>
      </c>
      <c r="F257" s="266" t="str">
        <f>IFERROR(__xludf.DUMMYFUNCTION("""COMPUTED_VALUE"""),"Free ~ 3 Stars")</f>
        <v>Free ~ 3 Stars</v>
      </c>
      <c r="G257" s="266" t="str">
        <f>IFERROR(__xludf.DUMMYFUNCTION("""COMPUTED_VALUE"""),"Attacker(s) ~ The Grand Line")</f>
        <v>Attacker(s) ~ The Grand Line</v>
      </c>
      <c r="H257" s="266" t="str">
        <f>IFERROR(__xludf.DUMMYFUNCTION("""COMPUTED_VALUE"""),"Green ~ Attacker")</f>
        <v>Green ~ Attacker</v>
      </c>
      <c r="I257" s="265" t="str">
        <f>IFERROR(__xludf.DUMMYFUNCTION("""COMPUTED_VALUE"""),"https://i.postimg.cc/0NH8mz6B/Green-Attacker.png")</f>
        <v>https://i.postimg.cc/0NH8mz6B/Green-Attacker.png</v>
      </c>
      <c r="J257" s="267" t="str">
        <f>IFERROR(__xludf.DUMMYFUNCTION("""COMPUTED_VALUE"""),"2019-10-03")</f>
        <v>2019-10-03</v>
      </c>
      <c r="K257" s="263"/>
    </row>
    <row r="258">
      <c r="A258" s="269"/>
      <c r="B258" s="264">
        <f>IFERROR(__xludf.DUMMYFUNCTION("""COMPUTED_VALUE"""),87.0)</f>
        <v>87</v>
      </c>
      <c r="C258" s="265" t="str">
        <f>IFERROR(__xludf.DUMMYFUNCTION("""COMPUTED_VALUE"""),"https://i.postimg.cc/cJrQWpjL/087-Ray-of-Hope-Nightmare-Luffy.png")</f>
        <v>https://i.postimg.cc/cJrQWpjL/087-Ray-of-Hope-Nightmare-Luffy.png</v>
      </c>
      <c r="D258" s="266" t="str">
        <f>IFERROR(__xludf.DUMMYFUNCTION("""COMPUTED_VALUE"""),"Ray of Hope ~ Nightmare Luffy")</f>
        <v>Ray of Hope ~ Nightmare Luffy</v>
      </c>
      <c r="E258" s="266" t="str">
        <f>IFERROR(__xludf.DUMMYFUNCTION("""COMPUTED_VALUE"""),"4 Stars")</f>
        <v>4 Stars</v>
      </c>
      <c r="F258" s="266" t="str">
        <f>IFERROR(__xludf.DUMMYFUNCTION("""COMPUTED_VALUE"""),"Step Up")</f>
        <v>Step Up</v>
      </c>
      <c r="G258" s="266" t="str">
        <f>IFERROR(__xludf.DUMMYFUNCTION("""COMPUTED_VALUE"""),"Defender(s) ~ Straw Hat Pirates ~ Paramecia ~ Captain ~ Power users ~ The Grand Line")</f>
        <v>Defender(s) ~ Straw Hat Pirates ~ Paramecia ~ Captain ~ Power users ~ The Grand Line</v>
      </c>
      <c r="H258" s="266" t="str">
        <f>IFERROR(__xludf.DUMMYFUNCTION("""COMPUTED_VALUE"""),"Blue ~ Defender")</f>
        <v>Blue ~ Defender</v>
      </c>
      <c r="I258" s="265" t="str">
        <f>IFERROR(__xludf.DUMMYFUNCTION("""COMPUTED_VALUE"""),"https://i.postimg.cc/m2xg81dx/Blue-Defender.png")</f>
        <v>https://i.postimg.cc/m2xg81dx/Blue-Defender.png</v>
      </c>
      <c r="J258" s="267" t="str">
        <f>IFERROR(__xludf.DUMMYFUNCTION("""COMPUTED_VALUE"""),"2019-10-03")</f>
        <v>2019-10-03</v>
      </c>
      <c r="K258" s="263"/>
    </row>
    <row r="259">
      <c r="A259" s="269"/>
      <c r="B259" s="264">
        <f>IFERROR(__xludf.DUMMYFUNCTION("""COMPUTED_VALUE"""),86.0)</f>
        <v>86</v>
      </c>
      <c r="C259" s="265" t="str">
        <f>IFERROR(__xludf.DUMMYFUNCTION("""COMPUTED_VALUE"""),"https://i.postimg.cc/mkN9VBc8/086-Big-Mom-Pirates-Sweet-3-General-Charlotte-Katakuri.png")</f>
        <v>https://i.postimg.cc/mkN9VBc8/086-Big-Mom-Pirates-Sweet-3-General-Charlotte-Katakuri.png</v>
      </c>
      <c r="D259" s="266" t="str">
        <f>IFERROR(__xludf.DUMMYFUNCTION("""COMPUTED_VALUE"""),"Big Mom Pirates / ""Sweet 3"" General ~ Charlotte Katakuri")</f>
        <v>Big Mom Pirates / "Sweet 3" General ~ Charlotte Katakuri</v>
      </c>
      <c r="E259" s="266" t="str">
        <f>IFERROR(__xludf.DUMMYFUNCTION("""COMPUTED_VALUE"""),"4 Stars")</f>
        <v>4 Stars</v>
      </c>
      <c r="F259" s="266" t="str">
        <f>IFERROR(__xludf.DUMMYFUNCTION("""COMPUTED_VALUE"""),"Bounty Festival")</f>
        <v>Bounty Festival</v>
      </c>
      <c r="G259" s="266" t="str">
        <f>IFERROR(__xludf.DUMMYFUNCTION("""COMPUTED_VALUE"""),"Attacker(s) ~ Paramecia ~ Power users ~ New World ~ Charlotte Family ~ Royalty / Former Royalty")</f>
        <v>Attacker(s) ~ Paramecia ~ Power users ~ New World ~ Charlotte Family ~ Royalty / Former Royalty</v>
      </c>
      <c r="H259" s="266" t="str">
        <f>IFERROR(__xludf.DUMMYFUNCTION("""COMPUTED_VALUE"""),"Red ~ Attacker")</f>
        <v>Red ~ Attacker</v>
      </c>
      <c r="I259" s="265" t="str">
        <f>IFERROR(__xludf.DUMMYFUNCTION("""COMPUTED_VALUE"""),"https://i.postimg.cc/L6B2DCYf/Red-Attacker.png")</f>
        <v>https://i.postimg.cc/L6B2DCYf/Red-Attacker.png</v>
      </c>
      <c r="J259" s="267" t="str">
        <f>IFERROR(__xludf.DUMMYFUNCTION("""COMPUTED_VALUE"""),"2019-09-26")</f>
        <v>2019-09-26</v>
      </c>
      <c r="K259" s="263"/>
    </row>
    <row r="260">
      <c r="A260" s="269"/>
      <c r="B260" s="264">
        <f>IFERROR(__xludf.DUMMYFUNCTION("""COMPUTED_VALUE"""),85.0)</f>
        <v>85</v>
      </c>
      <c r="C260" s="265" t="str">
        <f>IFERROR(__xludf.DUMMYFUNCTION("""COMPUTED_VALUE"""),"https://i.postimg.cc/VsjXzB7n/085-Big-Mom-Pirates-Captain-Charlotte-Linlin.png")</f>
        <v>https://i.postimg.cc/VsjXzB7n/085-Big-Mom-Pirates-Captain-Charlotte-Linlin.png</v>
      </c>
      <c r="D260" s="266" t="str">
        <f>IFERROR(__xludf.DUMMYFUNCTION("""COMPUTED_VALUE"""),"Big Mom Pirates / Captain ~ Charlotte Linlin")</f>
        <v>Big Mom Pirates / Captain ~ Charlotte Linlin</v>
      </c>
      <c r="E260" s="266" t="str">
        <f>IFERROR(__xludf.DUMMYFUNCTION("""COMPUTED_VALUE"""),"4 Stars")</f>
        <v>4 Stars</v>
      </c>
      <c r="F260" s="266" t="str">
        <f>IFERROR(__xludf.DUMMYFUNCTION("""COMPUTED_VALUE"""),"Bounty Festival")</f>
        <v>Bounty Festival</v>
      </c>
      <c r="G260" s="266" t="str">
        <f>IFERROR(__xludf.DUMMYFUNCTION("""COMPUTED_VALUE"""),"Attacker(s) ~ Paramecia ~ Power users ~ New World ~ Charlotte Family ~ Royalty / Former Royalty")</f>
        <v>Attacker(s) ~ Paramecia ~ Power users ~ New World ~ Charlotte Family ~ Royalty / Former Royalty</v>
      </c>
      <c r="H260" s="266" t="str">
        <f>IFERROR(__xludf.DUMMYFUNCTION("""COMPUTED_VALUE"""),"Green ~ Defender")</f>
        <v>Green ~ Defender</v>
      </c>
      <c r="I260" s="265" t="str">
        <f>IFERROR(__xludf.DUMMYFUNCTION("""COMPUTED_VALUE"""),"https://i.postimg.cc/qRhpGpyM/Green-Defender.png")</f>
        <v>https://i.postimg.cc/qRhpGpyM/Green-Defender.png</v>
      </c>
      <c r="J260" s="267" t="str">
        <f>IFERROR(__xludf.DUMMYFUNCTION("""COMPUTED_VALUE"""),"2019-09-26")</f>
        <v>2019-09-26</v>
      </c>
      <c r="K260" s="263"/>
    </row>
    <row r="261">
      <c r="A261" s="269"/>
      <c r="B261" s="264">
        <f>IFERROR(__xludf.DUMMYFUNCTION("""COMPUTED_VALUE"""),84.0)</f>
        <v>84</v>
      </c>
      <c r="C261" s="265" t="str">
        <f>IFERROR(__xludf.DUMMYFUNCTION("""COMPUTED_VALUE"""),"https://i.postimg.cc/L5MfznsJ/084-Land-of-Wano-Zorojuro.png")</f>
        <v>https://i.postimg.cc/L5MfznsJ/084-Land-of-Wano-Zorojuro.png</v>
      </c>
      <c r="D261" s="266" t="str">
        <f>IFERROR(__xludf.DUMMYFUNCTION("""COMPUTED_VALUE"""),"Land of Wano ~ Zorojuro")</f>
        <v>Land of Wano ~ Zorojuro</v>
      </c>
      <c r="E261" s="266" t="str">
        <f>IFERROR(__xludf.DUMMYFUNCTION("""COMPUTED_VALUE"""),"4 Stars")</f>
        <v>4 Stars</v>
      </c>
      <c r="F261" s="266" t="str">
        <f>IFERROR(__xludf.DUMMYFUNCTION("""COMPUTED_VALUE"""),"Step Up")</f>
        <v>Step Up</v>
      </c>
      <c r="G261" s="266" t="str">
        <f>IFERROR(__xludf.DUMMYFUNCTION("""COMPUTED_VALUE"""),"Attacker(s) ~ Straw Hat Pirates ~ New World ~ Worst Generation")</f>
        <v>Attacker(s) ~ Straw Hat Pirates ~ New World ~ Worst Generation</v>
      </c>
      <c r="H261" s="266" t="str">
        <f>IFERROR(__xludf.DUMMYFUNCTION("""COMPUTED_VALUE"""),"Blue ~ Attacker")</f>
        <v>Blue ~ Attacker</v>
      </c>
      <c r="I261" s="265" t="str">
        <f>IFERROR(__xludf.DUMMYFUNCTION("""COMPUTED_VALUE"""),"https://i.postimg.cc/1zRtDxvf/Blue-Attacker.png")</f>
        <v>https://i.postimg.cc/1zRtDxvf/Blue-Attacker.png</v>
      </c>
      <c r="J261" s="267" t="str">
        <f>IFERROR(__xludf.DUMMYFUNCTION("""COMPUTED_VALUE"""),"2019-09-19")</f>
        <v>2019-09-19</v>
      </c>
      <c r="K261" s="263"/>
    </row>
    <row r="262">
      <c r="A262" s="269"/>
      <c r="B262" s="264">
        <f>IFERROR(__xludf.DUMMYFUNCTION("""COMPUTED_VALUE"""),83.0)</f>
        <v>83</v>
      </c>
      <c r="C262" s="265" t="str">
        <f>IFERROR(__xludf.DUMMYFUNCTION("""COMPUTED_VALUE"""),"https://i.postimg.cc/wTgLMyPP/083-Land-of-Wano-Basil-Hawkins.png")</f>
        <v>https://i.postimg.cc/wTgLMyPP/083-Land-of-Wano-Basil-Hawkins.png</v>
      </c>
      <c r="D262" s="266" t="str">
        <f>IFERROR(__xludf.DUMMYFUNCTION("""COMPUTED_VALUE"""),"Land of Wano ~ Basil Hawkins")</f>
        <v>Land of Wano ~ Basil Hawkins</v>
      </c>
      <c r="E262" s="266" t="str">
        <f>IFERROR(__xludf.DUMMYFUNCTION("""COMPUTED_VALUE"""),"3 Stars")</f>
        <v>3 Stars</v>
      </c>
      <c r="F262" s="266" t="str">
        <f>IFERROR(__xludf.DUMMYFUNCTION("""COMPUTED_VALUE"""),"Free ~ 3 Stars")</f>
        <v>Free ~ 3 Stars</v>
      </c>
      <c r="G262" s="266" t="str">
        <f>IFERROR(__xludf.DUMMYFUNCTION("""COMPUTED_VALUE"""),"Defender(s) ~ Paramecia ~ Power users ~ New World ~ Worst Generation ~ Animal Kingdom Pirates")</f>
        <v>Defender(s) ~ Paramecia ~ Power users ~ New World ~ Worst Generation ~ Animal Kingdom Pirates</v>
      </c>
      <c r="H262" s="266" t="str">
        <f>IFERROR(__xludf.DUMMYFUNCTION("""COMPUTED_VALUE"""),"Blue ~ Defender")</f>
        <v>Blue ~ Defender</v>
      </c>
      <c r="I262" s="265" t="str">
        <f>IFERROR(__xludf.DUMMYFUNCTION("""COMPUTED_VALUE"""),"https://i.postimg.cc/m2xg81dx/Blue-Defender.png")</f>
        <v>https://i.postimg.cc/m2xg81dx/Blue-Defender.png</v>
      </c>
      <c r="J262" s="267" t="str">
        <f>IFERROR(__xludf.DUMMYFUNCTION("""COMPUTED_VALUE"""),"2019-09-10")</f>
        <v>2019-09-10</v>
      </c>
      <c r="K262" s="263"/>
    </row>
    <row r="263">
      <c r="A263" s="269"/>
      <c r="B263" s="264">
        <f>IFERROR(__xludf.DUMMYFUNCTION("""COMPUTED_VALUE"""),82.0)</f>
        <v>82</v>
      </c>
      <c r="C263" s="265" t="str">
        <f>IFERROR(__xludf.DUMMYFUNCTION("""COMPUTED_VALUE"""),"https://i.postimg.cc/m2jMHZWr/082-Land-of-Wano-Trafalgar-Law.png")</f>
        <v>https://i.postimg.cc/m2jMHZWr/082-Land-of-Wano-Trafalgar-Law.png</v>
      </c>
      <c r="D263" s="266" t="str">
        <f>IFERROR(__xludf.DUMMYFUNCTION("""COMPUTED_VALUE"""),"Land of Wano ~ Trafalgar Law")</f>
        <v>Land of Wano ~ Trafalgar Law</v>
      </c>
      <c r="E263" s="266" t="str">
        <f>IFERROR(__xludf.DUMMYFUNCTION("""COMPUTED_VALUE"""),"4 Stars")</f>
        <v>4 Stars</v>
      </c>
      <c r="F263" s="266" t="str">
        <f>IFERROR(__xludf.DUMMYFUNCTION("""COMPUTED_VALUE"""),"Step Up")</f>
        <v>Step Up</v>
      </c>
      <c r="G263" s="266" t="str">
        <f>IFERROR(__xludf.DUMMYFUNCTION("""COMPUTED_VALUE"""),"Defender(s) ~ The Seven Warlords of the Sea / Former Warlords of the Sea ~ Paramecia ~ Captain ~ Power users ~ New World ~ Worst Generation")</f>
        <v>Defender(s) ~ The Seven Warlords of the Sea / Former Warlords of the Sea ~ Paramecia ~ Captain ~ Power users ~ New World ~ Worst Generation</v>
      </c>
      <c r="H263" s="266" t="str">
        <f>IFERROR(__xludf.DUMMYFUNCTION("""COMPUTED_VALUE"""),"Red ~ Defender")</f>
        <v>Red ~ Defender</v>
      </c>
      <c r="I263" s="265" t="str">
        <f>IFERROR(__xludf.DUMMYFUNCTION("""COMPUTED_VALUE"""),"https://i.postimg.cc/P5XhRWY7/Red-Defender.png")</f>
        <v>https://i.postimg.cc/P5XhRWY7/Red-Defender.png</v>
      </c>
      <c r="J263" s="267" t="str">
        <f>IFERROR(__xludf.DUMMYFUNCTION("""COMPUTED_VALUE"""),"2019-09-10")</f>
        <v>2019-09-10</v>
      </c>
      <c r="K263" s="263"/>
    </row>
    <row r="264">
      <c r="A264" s="269"/>
      <c r="B264" s="264">
        <f>IFERROR(__xludf.DUMMYFUNCTION("""COMPUTED_VALUE"""),81.0)</f>
        <v>81</v>
      </c>
      <c r="C264" s="265" t="str">
        <f>IFERROR(__xludf.DUMMYFUNCTION("""COMPUTED_VALUE"""),"https://i.postimg.cc/7ZQ2KB68/081-The-Seven-Warlords-of-the-Sea-Don-Quixote-Doflamingo.png")</f>
        <v>https://i.postimg.cc/7ZQ2KB68/081-The-Seven-Warlords-of-the-Sea-Don-Quixote-Doflamingo.png</v>
      </c>
      <c r="D264" s="266" t="str">
        <f>IFERROR(__xludf.DUMMYFUNCTION("""COMPUTED_VALUE"""),"The Seven Warlords of the Sea ~ Don Quixote Doflamingo")</f>
        <v>The Seven Warlords of the Sea ~ Don Quixote Doflamingo</v>
      </c>
      <c r="E264" s="266" t="str">
        <f>IFERROR(__xludf.DUMMYFUNCTION("""COMPUTED_VALUE"""),"4 Stars")</f>
        <v>4 Stars</v>
      </c>
      <c r="F264" s="266" t="str">
        <f>IFERROR(__xludf.DUMMYFUNCTION("""COMPUTED_VALUE"""),"Bounty Festival")</f>
        <v>Bounty Festival</v>
      </c>
      <c r="G264" s="266" t="str">
        <f>IFERROR(__xludf.DUMMYFUNCTION("""COMPUTED_VALUE"""),"Runner(s) ~ The Seven Warlords of the Sea / Former Warlords of the Sea ~ Don Quixote Family ~ Paramecia ~ Captain ~ Power users ~ New World ~ Celestial Dragons / Former Celestial Dragons ~ Royalty / Former Royalty")</f>
        <v>Runner(s) ~ The Seven Warlords of the Sea / Former Warlords of the Sea ~ Don Quixote Family ~ Paramecia ~ Captain ~ Power users ~ New World ~ Celestial Dragons / Former Celestial Dragons ~ Royalty / Former Royalty</v>
      </c>
      <c r="H264" s="266" t="str">
        <f>IFERROR(__xludf.DUMMYFUNCTION("""COMPUTED_VALUE"""),"Red ~ Runner")</f>
        <v>Red ~ Runner</v>
      </c>
      <c r="I264" s="265" t="str">
        <f>IFERROR(__xludf.DUMMYFUNCTION("""COMPUTED_VALUE"""),"https://i.postimg.cc/Hk6HDrtk/Red-Runner.png")</f>
        <v>https://i.postimg.cc/Hk6HDrtk/Red-Runner.png</v>
      </c>
      <c r="J264" s="267" t="str">
        <f>IFERROR(__xludf.DUMMYFUNCTION("""COMPUTED_VALUE"""),"2019-08-29")</f>
        <v>2019-08-29</v>
      </c>
      <c r="K264" s="263"/>
    </row>
    <row r="265">
      <c r="A265" s="269"/>
      <c r="B265" s="264">
        <f>IFERROR(__xludf.DUMMYFUNCTION("""COMPUTED_VALUE"""),80.0)</f>
        <v>80</v>
      </c>
      <c r="C265" s="265" t="str">
        <f>IFERROR(__xludf.DUMMYFUNCTION("""COMPUTED_VALUE"""),"https://i.postimg.cc/HkLM4GT9/080-Gear-Four-Bounceman-Monkey-D-Luffy.png")</f>
        <v>https://i.postimg.cc/HkLM4GT9/080-Gear-Four-Bounceman-Monkey-D-Luffy.png</v>
      </c>
      <c r="D265" s="266" t="str">
        <f>IFERROR(__xludf.DUMMYFUNCTION("""COMPUTED_VALUE"""),"Gear Four / Bounceman ~ Monkey D. Luffy")</f>
        <v>Gear Four / Bounceman ~ Monkey D. Luffy</v>
      </c>
      <c r="E265" s="266" t="str">
        <f>IFERROR(__xludf.DUMMYFUNCTION("""COMPUTED_VALUE"""),"4 Stars")</f>
        <v>4 Stars</v>
      </c>
      <c r="F265" s="266" t="str">
        <f>IFERROR(__xludf.DUMMYFUNCTION("""COMPUTED_VALUE"""),"Bounty Festival")</f>
        <v>Bounty Festival</v>
      </c>
      <c r="G265" s="266" t="str">
        <f>IFERROR(__xludf.DUMMYFUNCTION("""COMPUTED_VALUE"""),"Attacker(s) ~ Straw Hat Pirates ~ Paramecia ~ Captain ~ Power users ~ New World ~ Worst Generation")</f>
        <v>Attacker(s) ~ Straw Hat Pirates ~ Paramecia ~ Captain ~ Power users ~ New World ~ Worst Generation</v>
      </c>
      <c r="H265" s="266" t="str">
        <f>IFERROR(__xludf.DUMMYFUNCTION("""COMPUTED_VALUE"""),"Green ~ Attacker")</f>
        <v>Green ~ Attacker</v>
      </c>
      <c r="I265" s="265" t="str">
        <f>IFERROR(__xludf.DUMMYFUNCTION("""COMPUTED_VALUE"""),"https://i.postimg.cc/0NH8mz6B/Green-Attacker.png")</f>
        <v>https://i.postimg.cc/0NH8mz6B/Green-Attacker.png</v>
      </c>
      <c r="J265" s="267" t="str">
        <f>IFERROR(__xludf.DUMMYFUNCTION("""COMPUTED_VALUE"""),"2019-08-29")</f>
        <v>2019-08-29</v>
      </c>
      <c r="K265" s="263"/>
    </row>
    <row r="266">
      <c r="A266" s="269"/>
      <c r="B266" s="264">
        <f>IFERROR(__xludf.DUMMYFUNCTION("""COMPUTED_VALUE"""),79.0)</f>
        <v>79</v>
      </c>
      <c r="C266" s="265" t="str">
        <f>IFERROR(__xludf.DUMMYFUNCTION("""COMPUTED_VALUE"""),"https://i.postimg.cc/6Q2Ggd27/079-STAMPEDE-Sabo.png")</f>
        <v>https://i.postimg.cc/6Q2Ggd27/079-STAMPEDE-Sabo.png</v>
      </c>
      <c r="D266" s="266" t="str">
        <f>IFERROR(__xludf.DUMMYFUNCTION("""COMPUTED_VALUE"""),"STAMPEDE ~ Sabo")</f>
        <v>STAMPEDE ~ Sabo</v>
      </c>
      <c r="E266" s="266" t="str">
        <f>IFERROR(__xludf.DUMMYFUNCTION("""COMPUTED_VALUE"""),"4 Stars")</f>
        <v>4 Stars</v>
      </c>
      <c r="F266" s="266" t="str">
        <f>IFERROR(__xludf.DUMMYFUNCTION("""COMPUTED_VALUE"""),"Limited ~ Step Up")</f>
        <v>Limited ~ Step Up</v>
      </c>
      <c r="G266" s="266" t="str">
        <f>IFERROR(__xludf.DUMMYFUNCTION("""COMPUTED_VALUE"""),"Attacker(s) ~ Revolutionary Army ~ Logia ~ Power users ~ New World")</f>
        <v>Attacker(s) ~ Revolutionary Army ~ Logia ~ Power users ~ New World</v>
      </c>
      <c r="H266" s="266" t="str">
        <f>IFERROR(__xludf.DUMMYFUNCTION("""COMPUTED_VALUE"""),"Green ~ Attacker")</f>
        <v>Green ~ Attacker</v>
      </c>
      <c r="I266" s="265" t="str">
        <f>IFERROR(__xludf.DUMMYFUNCTION("""COMPUTED_VALUE"""),"https://i.postimg.cc/0NH8mz6B/Green-Attacker.png")</f>
        <v>https://i.postimg.cc/0NH8mz6B/Green-Attacker.png</v>
      </c>
      <c r="J266" s="267" t="str">
        <f>IFERROR(__xludf.DUMMYFUNCTION("""COMPUTED_VALUE"""),"2019-08-22")</f>
        <v>2019-08-22</v>
      </c>
      <c r="K266" s="263"/>
    </row>
    <row r="267">
      <c r="A267" s="269"/>
      <c r="B267" s="264">
        <f>IFERROR(__xludf.DUMMYFUNCTION("""COMPUTED_VALUE"""),78.0)</f>
        <v>78</v>
      </c>
      <c r="C267" s="265" t="str">
        <f>IFERROR(__xludf.DUMMYFUNCTION("""COMPUTED_VALUE"""),"https://i.postimg.cc/Dz9bT8Lx/078-STAMPEDE-Monkey-D-Luffy.png")</f>
        <v>https://i.postimg.cc/Dz9bT8Lx/078-STAMPEDE-Monkey-D-Luffy.png</v>
      </c>
      <c r="D267" s="266" t="str">
        <f>IFERROR(__xludf.DUMMYFUNCTION("""COMPUTED_VALUE"""),"STAMPEDE ~ Monkey D. Luffy")</f>
        <v>STAMPEDE ~ Monkey D. Luffy</v>
      </c>
      <c r="E267" s="266" t="str">
        <f>IFERROR(__xludf.DUMMYFUNCTION("""COMPUTED_VALUE"""),"3 Stars")</f>
        <v>3 Stars</v>
      </c>
      <c r="F267" s="266" t="str">
        <f>IFERROR(__xludf.DUMMYFUNCTION("""COMPUTED_VALUE"""),"Limited ~ 3 Stars")</f>
        <v>Limited ~ 3 Stars</v>
      </c>
      <c r="G267" s="266" t="str">
        <f>IFERROR(__xludf.DUMMYFUNCTION("""COMPUTED_VALUE"""),"Attacker(s) ~ Straw Hat Pirates ~ Paramecia ~ Captain ~ Power users ~ New World ~ Worst Generation")</f>
        <v>Attacker(s) ~ Straw Hat Pirates ~ Paramecia ~ Captain ~ Power users ~ New World ~ Worst Generation</v>
      </c>
      <c r="H267" s="266" t="str">
        <f>IFERROR(__xludf.DUMMYFUNCTION("""COMPUTED_VALUE"""),"Blue ~ Attacker")</f>
        <v>Blue ~ Attacker</v>
      </c>
      <c r="I267" s="265" t="str">
        <f>IFERROR(__xludf.DUMMYFUNCTION("""COMPUTED_VALUE"""),"https://i.postimg.cc/1zRtDxvf/Blue-Attacker.png")</f>
        <v>https://i.postimg.cc/1zRtDxvf/Blue-Attacker.png</v>
      </c>
      <c r="J267" s="267" t="str">
        <f>IFERROR(__xludf.DUMMYFUNCTION("""COMPUTED_VALUE"""),"2019-08-06")</f>
        <v>2019-08-06</v>
      </c>
      <c r="K267" s="263"/>
    </row>
    <row r="268">
      <c r="A268" s="269"/>
      <c r="B268" s="264">
        <f>IFERROR(__xludf.DUMMYFUNCTION("""COMPUTED_VALUE"""),77.0)</f>
        <v>77</v>
      </c>
      <c r="C268" s="265" t="str">
        <f>IFERROR(__xludf.DUMMYFUNCTION("""COMPUTED_VALUE"""),"https://i.postimg.cc/DZ14yncn/077-STAMPEDE-Smoker.png")</f>
        <v>https://i.postimg.cc/DZ14yncn/077-STAMPEDE-Smoker.png</v>
      </c>
      <c r="D268" s="266" t="str">
        <f>IFERROR(__xludf.DUMMYFUNCTION("""COMPUTED_VALUE"""),"STAMPEDE ~ Smoker")</f>
        <v>STAMPEDE ~ Smoker</v>
      </c>
      <c r="E268" s="266" t="str">
        <f>IFERROR(__xludf.DUMMYFUNCTION("""COMPUTED_VALUE"""),"4 Stars")</f>
        <v>4 Stars</v>
      </c>
      <c r="F268" s="266" t="str">
        <f>IFERROR(__xludf.DUMMYFUNCTION("""COMPUTED_VALUE"""),"Limited ~ Step Up")</f>
        <v>Limited ~ Step Up</v>
      </c>
      <c r="G268" s="266" t="str">
        <f>IFERROR(__xludf.DUMMYFUNCTION("""COMPUTED_VALUE"""),"Defender(s) ~ Navy ~ Logia ~ Power users ~ New World")</f>
        <v>Defender(s) ~ Navy ~ Logia ~ Power users ~ New World</v>
      </c>
      <c r="H268" s="266" t="str">
        <f>IFERROR(__xludf.DUMMYFUNCTION("""COMPUTED_VALUE"""),"Blue ~ Defender")</f>
        <v>Blue ~ Defender</v>
      </c>
      <c r="I268" s="265" t="str">
        <f>IFERROR(__xludf.DUMMYFUNCTION("""COMPUTED_VALUE"""),"https://i.postimg.cc/m2xg81dx/Blue-Defender.png")</f>
        <v>https://i.postimg.cc/m2xg81dx/Blue-Defender.png</v>
      </c>
      <c r="J268" s="267" t="str">
        <f>IFERROR(__xludf.DUMMYFUNCTION("""COMPUTED_VALUE"""),"2019-08-06")</f>
        <v>2019-08-06</v>
      </c>
      <c r="K268" s="263"/>
    </row>
    <row r="269">
      <c r="A269" s="269"/>
      <c r="B269" s="264">
        <f>IFERROR(__xludf.DUMMYFUNCTION("""COMPUTED_VALUE"""),76.0)</f>
        <v>76</v>
      </c>
      <c r="C269" s="265" t="str">
        <f>IFERROR(__xludf.DUMMYFUNCTION("""COMPUTED_VALUE"""),"https://i.postimg.cc/x8YJXhsH/076-Navy-Infiltrator-Portgaz-D-Ace.png")</f>
        <v>https://i.postimg.cc/x8YJXhsH/076-Navy-Infiltrator-Portgaz-D-Ace.png</v>
      </c>
      <c r="D269" s="266" t="str">
        <f>IFERROR(__xludf.DUMMYFUNCTION("""COMPUTED_VALUE"""),"Navy Infiltrator ~ Portgaz D. Ace")</f>
        <v>Navy Infiltrator ~ Portgaz D. Ace</v>
      </c>
      <c r="E269" s="266" t="str">
        <f>IFERROR(__xludf.DUMMYFUNCTION("""COMPUTED_VALUE"""),"4 Stars")</f>
        <v>4 Stars</v>
      </c>
      <c r="F269" s="266" t="str">
        <f>IFERROR(__xludf.DUMMYFUNCTION("""COMPUTED_VALUE"""),"Cola")</f>
        <v>Cola</v>
      </c>
      <c r="G269" s="266" t="str">
        <f>IFERROR(__xludf.DUMMYFUNCTION("""COMPUTED_VALUE"""),"Attacker(s) ~ Whitebeard Pirates ~ Logia ~ Power users ~ The Grand Line ~ Long-Range Normal Attacks")</f>
        <v>Attacker(s) ~ Whitebeard Pirates ~ Logia ~ Power users ~ The Grand Line ~ Long-Range Normal Attacks</v>
      </c>
      <c r="H269" s="266" t="str">
        <f>IFERROR(__xludf.DUMMYFUNCTION("""COMPUTED_VALUE"""),"Red ~ Attacker")</f>
        <v>Red ~ Attacker</v>
      </c>
      <c r="I269" s="265" t="str">
        <f>IFERROR(__xludf.DUMMYFUNCTION("""COMPUTED_VALUE"""),"https://i.postimg.cc/L6B2DCYf/Red-Attacker.png")</f>
        <v>https://i.postimg.cc/L6B2DCYf/Red-Attacker.png</v>
      </c>
      <c r="J269" s="267" t="str">
        <f>IFERROR(__xludf.DUMMYFUNCTION("""COMPUTED_VALUE"""),"2019-08-11")</f>
        <v>2019-08-11</v>
      </c>
      <c r="K269" s="263"/>
    </row>
    <row r="270">
      <c r="A270" s="269"/>
      <c r="B270" s="264">
        <f>IFERROR(__xludf.DUMMYFUNCTION("""COMPUTED_VALUE"""),75.0)</f>
        <v>75</v>
      </c>
      <c r="C270" s="265" t="str">
        <f>IFERROR(__xludf.DUMMYFUNCTION("""COMPUTED_VALUE"""),"https://i.postimg.cc/kGcVKsZH/075-Impel-Down-Prisoner-Crocodile.png")</f>
        <v>https://i.postimg.cc/kGcVKsZH/075-Impel-Down-Prisoner-Crocodile.png</v>
      </c>
      <c r="D270" s="266" t="str">
        <f>IFERROR(__xludf.DUMMYFUNCTION("""COMPUTED_VALUE"""),"Impel Down / Prisoner ~ Crocodile")</f>
        <v>Impel Down / Prisoner ~ Crocodile</v>
      </c>
      <c r="E270" s="266" t="str">
        <f>IFERROR(__xludf.DUMMYFUNCTION("""COMPUTED_VALUE"""),"4 Stars")</f>
        <v>4 Stars</v>
      </c>
      <c r="F270" s="266" t="str">
        <f>IFERROR(__xludf.DUMMYFUNCTION("""COMPUTED_VALUE"""),"Cola")</f>
        <v>Cola</v>
      </c>
      <c r="G270" s="266" t="str">
        <f>IFERROR(__xludf.DUMMYFUNCTION("""COMPUTED_VALUE"""),"Defender(s) ~ The Seven Warlords of the Sea / Former Warlords of the Sea ~ Logia ~ Power users ~ The Grand Line")</f>
        <v>Defender(s) ~ The Seven Warlords of the Sea / Former Warlords of the Sea ~ Logia ~ Power users ~ The Grand Line</v>
      </c>
      <c r="H270" s="266" t="str">
        <f>IFERROR(__xludf.DUMMYFUNCTION("""COMPUTED_VALUE"""),"Green ~ Defender")</f>
        <v>Green ~ Defender</v>
      </c>
      <c r="I270" s="265" t="str">
        <f>IFERROR(__xludf.DUMMYFUNCTION("""COMPUTED_VALUE"""),"https://i.postimg.cc/qRhpGpyM/Green-Defender.png")</f>
        <v>https://i.postimg.cc/qRhpGpyM/Green-Defender.png</v>
      </c>
      <c r="J270" s="267" t="str">
        <f>IFERROR(__xludf.DUMMYFUNCTION("""COMPUTED_VALUE"""),"2019-08-11")</f>
        <v>2019-08-11</v>
      </c>
      <c r="K270" s="263"/>
    </row>
    <row r="271">
      <c r="A271" s="269"/>
      <c r="B271" s="264">
        <f>IFERROR(__xludf.DUMMYFUNCTION("""COMPUTED_VALUE"""),74.0)</f>
        <v>74</v>
      </c>
      <c r="C271" s="265" t="str">
        <f>IFERROR(__xludf.DUMMYFUNCTION("""COMPUTED_VALUE"""),"https://i.postimg.cc/fWjSGWLv/074-Bikini-Boa-Hancock.png")</f>
        <v>https://i.postimg.cc/fWjSGWLv/074-Bikini-Boa-Hancock.png</v>
      </c>
      <c r="D271" s="266" t="str">
        <f>IFERROR(__xludf.DUMMYFUNCTION("""COMPUTED_VALUE"""),"Bikini ~ Boa Hancock")</f>
        <v>Bikini ~ Boa Hancock</v>
      </c>
      <c r="E271" s="266" t="str">
        <f>IFERROR(__xludf.DUMMYFUNCTION("""COMPUTED_VALUE"""),"4 Stars")</f>
        <v>4 Stars</v>
      </c>
      <c r="F271" s="266" t="str">
        <f>IFERROR(__xludf.DUMMYFUNCTION("""COMPUTED_VALUE"""),"Bounty Festival")</f>
        <v>Bounty Festival</v>
      </c>
      <c r="G271" s="266" t="str">
        <f>IFERROR(__xludf.DUMMYFUNCTION("""COMPUTED_VALUE"""),"Attacker(s) ~ The Seven Warlords of the Sea / Former Warlords of the Sea ~ Kuja Pirates ~ Paramecia ~ Captain ~ Power users ~ The Grand Line")</f>
        <v>Attacker(s) ~ The Seven Warlords of the Sea / Former Warlords of the Sea ~ Kuja Pirates ~ Paramecia ~ Captain ~ Power users ~ The Grand Line</v>
      </c>
      <c r="H271" s="266" t="str">
        <f>IFERROR(__xludf.DUMMYFUNCTION("""COMPUTED_VALUE"""),"Green ~ Attacker")</f>
        <v>Green ~ Attacker</v>
      </c>
      <c r="I271" s="265" t="str">
        <f>IFERROR(__xludf.DUMMYFUNCTION("""COMPUTED_VALUE"""),"https://i.postimg.cc/0NH8mz6B/Green-Attacker.png")</f>
        <v>https://i.postimg.cc/0NH8mz6B/Green-Attacker.png</v>
      </c>
      <c r="J271" s="267" t="str">
        <f>IFERROR(__xludf.DUMMYFUNCTION("""COMPUTED_VALUE"""),"2019-07-30")</f>
        <v>2019-07-30</v>
      </c>
      <c r="K271" s="263"/>
    </row>
    <row r="272">
      <c r="A272" s="269"/>
      <c r="B272" s="264">
        <f>IFERROR(__xludf.DUMMYFUNCTION("""COMPUTED_VALUE"""),73.0)</f>
        <v>73</v>
      </c>
      <c r="C272" s="265" t="str">
        <f>IFERROR(__xludf.DUMMYFUNCTION("""COMPUTED_VALUE"""),"https://i.postimg.cc/bNySpXSf/073-Bikini-Nami.png")</f>
        <v>https://i.postimg.cc/bNySpXSf/073-Bikini-Nami.png</v>
      </c>
      <c r="D272" s="266" t="str">
        <f>IFERROR(__xludf.DUMMYFUNCTION("""COMPUTED_VALUE"""),"Bikini ~ Nami")</f>
        <v>Bikini ~ Nami</v>
      </c>
      <c r="E272" s="266" t="str">
        <f>IFERROR(__xludf.DUMMYFUNCTION("""COMPUTED_VALUE"""),"4 Stars")</f>
        <v>4 Stars</v>
      </c>
      <c r="F272" s="266" t="str">
        <f>IFERROR(__xludf.DUMMYFUNCTION("""COMPUTED_VALUE"""),"Bounty Festival")</f>
        <v>Bounty Festival</v>
      </c>
      <c r="G272" s="266" t="str">
        <f>IFERROR(__xludf.DUMMYFUNCTION("""COMPUTED_VALUE"""),"Runner(s) ~ Straw Hat Pirates ~ New World ~ Long-Range Normal Attacks")</f>
        <v>Runner(s) ~ Straw Hat Pirates ~ New World ~ Long-Range Normal Attacks</v>
      </c>
      <c r="H272" s="266" t="str">
        <f>IFERROR(__xludf.DUMMYFUNCTION("""COMPUTED_VALUE"""),"Blue ~ Runner")</f>
        <v>Blue ~ Runner</v>
      </c>
      <c r="I272" s="265" t="str">
        <f>IFERROR(__xludf.DUMMYFUNCTION("""COMPUTED_VALUE"""),"https://i.postimg.cc/4NzNM4MY/Blue-Runner.png")</f>
        <v>https://i.postimg.cc/4NzNM4MY/Blue-Runner.png</v>
      </c>
      <c r="J272" s="267" t="str">
        <f>IFERROR(__xludf.DUMMYFUNCTION("""COMPUTED_VALUE"""),"2019-07-30")</f>
        <v>2019-07-30</v>
      </c>
      <c r="K272" s="263"/>
    </row>
    <row r="273">
      <c r="A273" s="269"/>
      <c r="B273" s="264">
        <f>IFERROR(__xludf.DUMMYFUNCTION("""COMPUTED_VALUE"""),72.0)</f>
        <v>72</v>
      </c>
      <c r="C273" s="265" t="str">
        <f>IFERROR(__xludf.DUMMYFUNCTION("""COMPUTED_VALUE"""),"https://i.postimg.cc/MGQvdqNV/072-2-Years-Later-Ship-Carpenter-Franky.png")</f>
        <v>https://i.postimg.cc/MGQvdqNV/072-2-Years-Later-Ship-Carpenter-Franky.png</v>
      </c>
      <c r="D273" s="266" t="str">
        <f>IFERROR(__xludf.DUMMYFUNCTION("""COMPUTED_VALUE"""),"2 Years Later / Ship Carpenter ~ Franky")</f>
        <v>2 Years Later / Ship Carpenter ~ Franky</v>
      </c>
      <c r="E273" s="266" t="str">
        <f>IFERROR(__xludf.DUMMYFUNCTION("""COMPUTED_VALUE"""),"4 Stars")</f>
        <v>4 Stars</v>
      </c>
      <c r="F273" s="266" t="str">
        <f>IFERROR(__xludf.DUMMYFUNCTION("""COMPUTED_VALUE"""),"Step Up")</f>
        <v>Step Up</v>
      </c>
      <c r="G273" s="266" t="str">
        <f>IFERROR(__xludf.DUMMYFUNCTION("""COMPUTED_VALUE"""),"Defender(s) ~ Straw Hat Pirates ~ New World")</f>
        <v>Defender(s) ~ Straw Hat Pirates ~ New World</v>
      </c>
      <c r="H273" s="266" t="str">
        <f>IFERROR(__xludf.DUMMYFUNCTION("""COMPUTED_VALUE"""),"Red ~ Defender")</f>
        <v>Red ~ Defender</v>
      </c>
      <c r="I273" s="265" t="str">
        <f>IFERROR(__xludf.DUMMYFUNCTION("""COMPUTED_VALUE"""),"https://i.postimg.cc/P5XhRWY7/Red-Defender.png")</f>
        <v>https://i.postimg.cc/P5XhRWY7/Red-Defender.png</v>
      </c>
      <c r="J273" s="267" t="str">
        <f>IFERROR(__xludf.DUMMYFUNCTION("""COMPUTED_VALUE"""),"2019-07-23")</f>
        <v>2019-07-23</v>
      </c>
      <c r="K273" s="263"/>
    </row>
    <row r="274">
      <c r="A274" s="269"/>
      <c r="B274" s="264">
        <f>IFERROR(__xludf.DUMMYFUNCTION("""COMPUTED_VALUE"""),71.0)</f>
        <v>71</v>
      </c>
      <c r="C274" s="265" t="str">
        <f>IFERROR(__xludf.DUMMYFUNCTION("""COMPUTED_VALUE"""),"https://i.postimg.cc/wj3tRhkW/071-2-Years-Later-Musician-Brook.png")</f>
        <v>https://i.postimg.cc/wj3tRhkW/071-2-Years-Later-Musician-Brook.png</v>
      </c>
      <c r="D274" s="266" t="str">
        <f>IFERROR(__xludf.DUMMYFUNCTION("""COMPUTED_VALUE"""),"2 Years Later / Musician ~ Brook")</f>
        <v>2 Years Later / Musician ~ Brook</v>
      </c>
      <c r="E274" s="266" t="str">
        <f>IFERROR(__xludf.DUMMYFUNCTION("""COMPUTED_VALUE"""),"4 Stars")</f>
        <v>4 Stars</v>
      </c>
      <c r="F274" s="266" t="str">
        <f>IFERROR(__xludf.DUMMYFUNCTION("""COMPUTED_VALUE"""),"Step Up")</f>
        <v>Step Up</v>
      </c>
      <c r="G274" s="266" t="str">
        <f>IFERROR(__xludf.DUMMYFUNCTION("""COMPUTED_VALUE"""),"Runner(s) ~ Straw Hat Pirates ~ Paramecia ~ Power users ~ New World")</f>
        <v>Runner(s) ~ Straw Hat Pirates ~ Paramecia ~ Power users ~ New World</v>
      </c>
      <c r="H274" s="266" t="str">
        <f>IFERROR(__xludf.DUMMYFUNCTION("""COMPUTED_VALUE"""),"Green ~ Runner")</f>
        <v>Green ~ Runner</v>
      </c>
      <c r="I274" s="265" t="str">
        <f>IFERROR(__xludf.DUMMYFUNCTION("""COMPUTED_VALUE"""),"https://i.postimg.cc/PxgT30Qb/Green-Runner.png")</f>
        <v>https://i.postimg.cc/PxgT30Qb/Green-Runner.png</v>
      </c>
      <c r="J274" s="267" t="str">
        <f>IFERROR(__xludf.DUMMYFUNCTION("""COMPUTED_VALUE"""),"2019-07-16")</f>
        <v>2019-07-16</v>
      </c>
      <c r="K274" s="263"/>
    </row>
    <row r="275">
      <c r="A275" s="269"/>
      <c r="B275" s="264">
        <f>IFERROR(__xludf.DUMMYFUNCTION("""COMPUTED_VALUE"""),70.0)</f>
        <v>70</v>
      </c>
      <c r="C275" s="265" t="str">
        <f>IFERROR(__xludf.DUMMYFUNCTION("""COMPUTED_VALUE"""),"https://i.postimg.cc/RZ8W7Nsv/070-2-Years-Later-Archaeologist-Nico-Robin.png")</f>
        <v>https://i.postimg.cc/RZ8W7Nsv/070-2-Years-Later-Archaeologist-Nico-Robin.png</v>
      </c>
      <c r="D275" s="266" t="str">
        <f>IFERROR(__xludf.DUMMYFUNCTION("""COMPUTED_VALUE"""),"2 Years Later / Archaeologist ~ Nico Robin")</f>
        <v>2 Years Later / Archaeologist ~ Nico Robin</v>
      </c>
      <c r="E275" s="266" t="str">
        <f>IFERROR(__xludf.DUMMYFUNCTION("""COMPUTED_VALUE"""),"4 Stars")</f>
        <v>4 Stars</v>
      </c>
      <c r="F275" s="266" t="str">
        <f>IFERROR(__xludf.DUMMYFUNCTION("""COMPUTED_VALUE"""),"Step Up")</f>
        <v>Step Up</v>
      </c>
      <c r="G275" s="266" t="str">
        <f>IFERROR(__xludf.DUMMYFUNCTION("""COMPUTED_VALUE"""),"Attacker(s) ~ Straw Hat Pirates ~ Paramecia ~ Power users ~ New World")</f>
        <v>Attacker(s) ~ Straw Hat Pirates ~ Paramecia ~ Power users ~ New World</v>
      </c>
      <c r="H275" s="266" t="str">
        <f>IFERROR(__xludf.DUMMYFUNCTION("""COMPUTED_VALUE"""),"Red ~ Attacker")</f>
        <v>Red ~ Attacker</v>
      </c>
      <c r="I275" s="265" t="str">
        <f>IFERROR(__xludf.DUMMYFUNCTION("""COMPUTED_VALUE"""),"https://i.postimg.cc/L6B2DCYf/Red-Attacker.png")</f>
        <v>https://i.postimg.cc/L6B2DCYf/Red-Attacker.png</v>
      </c>
      <c r="J275" s="267" t="str">
        <f>IFERROR(__xludf.DUMMYFUNCTION("""COMPUTED_VALUE"""),"2019-07-09")</f>
        <v>2019-07-09</v>
      </c>
      <c r="K275" s="263"/>
    </row>
    <row r="276">
      <c r="A276" s="269"/>
      <c r="B276" s="264">
        <f>IFERROR(__xludf.DUMMYFUNCTION("""COMPUTED_VALUE"""),69.0)</f>
        <v>69</v>
      </c>
      <c r="C276" s="265" t="str">
        <f>IFERROR(__xludf.DUMMYFUNCTION("""COMPUTED_VALUE"""),"https://i.postimg.cc/fLQkP1QF/069-2-Years-Later-Doctor-Tony-Tony-Chopper.png")</f>
        <v>https://i.postimg.cc/fLQkP1QF/069-2-Years-Later-Doctor-Tony-Tony-Chopper.png</v>
      </c>
      <c r="D276" s="266" t="str">
        <f>IFERROR(__xludf.DUMMYFUNCTION("""COMPUTED_VALUE"""),"2 Years Later / Doctor ~ Tony Tony Chopper")</f>
        <v>2 Years Later / Doctor ~ Tony Tony Chopper</v>
      </c>
      <c r="E276" s="266" t="str">
        <f>IFERROR(__xludf.DUMMYFUNCTION("""COMPUTED_VALUE"""),"4 Stars")</f>
        <v>4 Stars</v>
      </c>
      <c r="F276" s="266" t="str">
        <f>IFERROR(__xludf.DUMMYFUNCTION("""COMPUTED_VALUE"""),"Step Up")</f>
        <v>Step Up</v>
      </c>
      <c r="G276" s="266" t="str">
        <f>IFERROR(__xludf.DUMMYFUNCTION("""COMPUTED_VALUE"""),"Runner(s) ~ Straw Hat Pirates ~ Zoan ~ Power users ~ New World")</f>
        <v>Runner(s) ~ Straw Hat Pirates ~ Zoan ~ Power users ~ New World</v>
      </c>
      <c r="H276" s="266" t="str">
        <f>IFERROR(__xludf.DUMMYFUNCTION("""COMPUTED_VALUE"""),"Blue ~ Runner")</f>
        <v>Blue ~ Runner</v>
      </c>
      <c r="I276" s="265" t="str">
        <f>IFERROR(__xludf.DUMMYFUNCTION("""COMPUTED_VALUE"""),"https://i.postimg.cc/4NzNM4MY/Blue-Runner.png")</f>
        <v>https://i.postimg.cc/4NzNM4MY/Blue-Runner.png</v>
      </c>
      <c r="J276" s="267" t="str">
        <f>IFERROR(__xludf.DUMMYFUNCTION("""COMPUTED_VALUE"""),"2019-07-02")</f>
        <v>2019-07-02</v>
      </c>
      <c r="K276" s="263"/>
    </row>
    <row r="277">
      <c r="A277" s="269"/>
      <c r="B277" s="264">
        <f>IFERROR(__xludf.DUMMYFUNCTION("""COMPUTED_VALUE"""),68.0)</f>
        <v>68</v>
      </c>
      <c r="C277" s="265" t="str">
        <f>IFERROR(__xludf.DUMMYFUNCTION("""COMPUTED_VALUE"""),"https://i.postimg.cc/W3mtcS24/068-Navy-HQ-Admiral-Kizaru-Borsalino.png")</f>
        <v>https://i.postimg.cc/W3mtcS24/068-Navy-HQ-Admiral-Kizaru-Borsalino.png</v>
      </c>
      <c r="D277" s="266" t="str">
        <f>IFERROR(__xludf.DUMMYFUNCTION("""COMPUTED_VALUE"""),"Navy HQ / Admiral Kizaru ~ [Borsalino]")</f>
        <v>Navy HQ / Admiral Kizaru ~ [Borsalino]</v>
      </c>
      <c r="E277" s="266" t="str">
        <f>IFERROR(__xludf.DUMMYFUNCTION("""COMPUTED_VALUE"""),"4 Stars")</f>
        <v>4 Stars</v>
      </c>
      <c r="F277" s="266" t="str">
        <f>IFERROR(__xludf.DUMMYFUNCTION("""COMPUTED_VALUE"""),"Bounty Festival")</f>
        <v>Bounty Festival</v>
      </c>
      <c r="G277" s="266" t="str">
        <f>IFERROR(__xludf.DUMMYFUNCTION("""COMPUTED_VALUE"""),"Runner(s) ~ Navy ~ Logia ~ Power users ~ The Grand Line ~ Navy Admiral / Former Navy Admiral")</f>
        <v>Runner(s) ~ Navy ~ Logia ~ Power users ~ The Grand Line ~ Navy Admiral / Former Navy Admiral</v>
      </c>
      <c r="H277" s="266" t="str">
        <f>IFERROR(__xludf.DUMMYFUNCTION("""COMPUTED_VALUE"""),"Green ~ Runner")</f>
        <v>Green ~ Runner</v>
      </c>
      <c r="I277" s="265" t="str">
        <f>IFERROR(__xludf.DUMMYFUNCTION("""COMPUTED_VALUE"""),"https://i.postimg.cc/PxgT30Qb/Green-Runner.png")</f>
        <v>https://i.postimg.cc/PxgT30Qb/Green-Runner.png</v>
      </c>
      <c r="J277" s="267" t="str">
        <f>IFERROR(__xludf.DUMMYFUNCTION("""COMPUTED_VALUE"""),"2019-06-27")</f>
        <v>2019-06-27</v>
      </c>
      <c r="K277" s="263"/>
    </row>
    <row r="278">
      <c r="A278" s="269"/>
      <c r="B278" s="264">
        <f>IFERROR(__xludf.DUMMYFUNCTION("""COMPUTED_VALUE"""),67.0)</f>
        <v>67</v>
      </c>
      <c r="C278" s="265" t="str">
        <f>IFERROR(__xludf.DUMMYFUNCTION("""COMPUTED_VALUE"""),"https://i.postimg.cc/fywyzXLf/067-Bonney-Pirates-Captain-Jewelry-Bonney.png")</f>
        <v>https://i.postimg.cc/fywyzXLf/067-Bonney-Pirates-Captain-Jewelry-Bonney.png</v>
      </c>
      <c r="D278" s="266" t="str">
        <f>IFERROR(__xludf.DUMMYFUNCTION("""COMPUTED_VALUE"""),"Bonney Pirates / Captain ~ Jewelry Bonney")</f>
        <v>Bonney Pirates / Captain ~ Jewelry Bonney</v>
      </c>
      <c r="E278" s="266" t="str">
        <f>IFERROR(__xludf.DUMMYFUNCTION("""COMPUTED_VALUE"""),"3 Stars")</f>
        <v>3 Stars</v>
      </c>
      <c r="F278" s="266" t="str">
        <f>IFERROR(__xludf.DUMMYFUNCTION("""COMPUTED_VALUE"""),"Free ~ 3 Stars")</f>
        <v>Free ~ 3 Stars</v>
      </c>
      <c r="G278" s="266" t="str">
        <f>IFERROR(__xludf.DUMMYFUNCTION("""COMPUTED_VALUE"""),"Runner(s) ~ Paramecia ~ Captain ~ Power users ~ The Grand Line ~ Worst Generation")</f>
        <v>Runner(s) ~ Paramecia ~ Captain ~ Power users ~ The Grand Line ~ Worst Generation</v>
      </c>
      <c r="H278" s="266" t="str">
        <f>IFERROR(__xludf.DUMMYFUNCTION("""COMPUTED_VALUE"""),"Green ~ Runner")</f>
        <v>Green ~ Runner</v>
      </c>
      <c r="I278" s="265" t="str">
        <f>IFERROR(__xludf.DUMMYFUNCTION("""COMPUTED_VALUE"""),"https://i.postimg.cc/PxgT30Qb/Green-Runner.png")</f>
        <v>https://i.postimg.cc/PxgT30Qb/Green-Runner.png</v>
      </c>
      <c r="J278" s="267" t="str">
        <f>IFERROR(__xludf.DUMMYFUNCTION("""COMPUTED_VALUE"""),"2019-06-19")</f>
        <v>2019-06-19</v>
      </c>
      <c r="K278" s="263"/>
    </row>
    <row r="279">
      <c r="A279" s="269"/>
      <c r="B279" s="264">
        <f>IFERROR(__xludf.DUMMYFUNCTION("""COMPUTED_VALUE"""),66.0)</f>
        <v>66</v>
      </c>
      <c r="C279" s="265" t="str">
        <f>IFERROR(__xludf.DUMMYFUNCTION("""COMPUTED_VALUE"""),"https://i.postimg.cc/RhXFNFJ5/066-2-Years-Later-Sharp-Shooter-Usopp.png")</f>
        <v>https://i.postimg.cc/RhXFNFJ5/066-2-Years-Later-Sharp-Shooter-Usopp.png</v>
      </c>
      <c r="D279" s="266" t="str">
        <f>IFERROR(__xludf.DUMMYFUNCTION("""COMPUTED_VALUE"""),"2 Years Later / Sharp Shooter ~ Usopp")</f>
        <v>2 Years Later / Sharp Shooter ~ Usopp</v>
      </c>
      <c r="E279" s="266" t="str">
        <f>IFERROR(__xludf.DUMMYFUNCTION("""COMPUTED_VALUE"""),"4 Stars")</f>
        <v>4 Stars</v>
      </c>
      <c r="F279" s="266" t="str">
        <f>IFERROR(__xludf.DUMMYFUNCTION("""COMPUTED_VALUE"""),"Step Up")</f>
        <v>Step Up</v>
      </c>
      <c r="G279" s="266" t="str">
        <f>IFERROR(__xludf.DUMMYFUNCTION("""COMPUTED_VALUE"""),"Runner(s) ~ Straw Hat Pirates ~ New World ~ Long-Range Normal Attacks")</f>
        <v>Runner(s) ~ Straw Hat Pirates ~ New World ~ Long-Range Normal Attacks</v>
      </c>
      <c r="H279" s="266" t="str">
        <f>IFERROR(__xludf.DUMMYFUNCTION("""COMPUTED_VALUE"""),"Blue ~ Runner")</f>
        <v>Blue ~ Runner</v>
      </c>
      <c r="I279" s="265" t="str">
        <f>IFERROR(__xludf.DUMMYFUNCTION("""COMPUTED_VALUE"""),"https://i.postimg.cc/4NzNM4MY/Blue-Runner.png")</f>
        <v>https://i.postimg.cc/4NzNM4MY/Blue-Runner.png</v>
      </c>
      <c r="J279" s="267" t="str">
        <f>IFERROR(__xludf.DUMMYFUNCTION("""COMPUTED_VALUE"""),"2019-06-19")</f>
        <v>2019-06-19</v>
      </c>
      <c r="K279" s="263"/>
    </row>
    <row r="280">
      <c r="A280" s="269"/>
      <c r="B280" s="264">
        <f>IFERROR(__xludf.DUMMYFUNCTION("""COMPUTED_VALUE"""),65.0)</f>
        <v>65</v>
      </c>
      <c r="C280" s="265" t="str">
        <f>IFERROR(__xludf.DUMMYFUNCTION("""COMPUTED_VALUE"""),"https://i.postimg.cc/445n88LL/065-2-Years-Later-Cook-Sanji.png")</f>
        <v>https://i.postimg.cc/445n88LL/065-2-Years-Later-Cook-Sanji.png</v>
      </c>
      <c r="D280" s="266" t="str">
        <f>IFERROR(__xludf.DUMMYFUNCTION("""COMPUTED_VALUE"""),"2 Years Later / Cook ~ Sanji")</f>
        <v>2 Years Later / Cook ~ Sanji</v>
      </c>
      <c r="E280" s="266" t="str">
        <f>IFERROR(__xludf.DUMMYFUNCTION("""COMPUTED_VALUE"""),"4 Stars")</f>
        <v>4 Stars</v>
      </c>
      <c r="F280" s="266" t="str">
        <f>IFERROR(__xludf.DUMMYFUNCTION("""COMPUTED_VALUE"""),"Step Up")</f>
        <v>Step Up</v>
      </c>
      <c r="G280" s="266" t="str">
        <f>IFERROR(__xludf.DUMMYFUNCTION("""COMPUTED_VALUE"""),"Defender(s) ~ Straw Hat Pirates ~ New World ~ Worst Generation")</f>
        <v>Defender(s) ~ Straw Hat Pirates ~ New World ~ Worst Generation</v>
      </c>
      <c r="H280" s="266" t="str">
        <f>IFERROR(__xludf.DUMMYFUNCTION("""COMPUTED_VALUE"""),"Green ~ Attacker")</f>
        <v>Green ~ Attacker</v>
      </c>
      <c r="I280" s="265" t="str">
        <f>IFERROR(__xludf.DUMMYFUNCTION("""COMPUTED_VALUE"""),"https://i.postimg.cc/0NH8mz6B/Green-Attacker.png")</f>
        <v>https://i.postimg.cc/0NH8mz6B/Green-Attacker.png</v>
      </c>
      <c r="J280" s="267" t="str">
        <f>IFERROR(__xludf.DUMMYFUNCTION("""COMPUTED_VALUE"""),"2019-06-06")</f>
        <v>2019-06-06</v>
      </c>
      <c r="K280" s="263"/>
    </row>
    <row r="281">
      <c r="A281" s="269"/>
      <c r="B281" s="264">
        <f>IFERROR(__xludf.DUMMYFUNCTION("""COMPUTED_VALUE"""),64.0)</f>
        <v>64</v>
      </c>
      <c r="C281" s="265" t="str">
        <f>IFERROR(__xludf.DUMMYFUNCTION("""COMPUTED_VALUE"""),"https://i.postimg.cc/SxwKXHRs/064-Revolutoonary-Army-Chief-of-Staff-Sabo.png")</f>
        <v>https://i.postimg.cc/SxwKXHRs/064-Revolutoonary-Army-Chief-of-Staff-Sabo.png</v>
      </c>
      <c r="D281" s="266" t="str">
        <f>IFERROR(__xludf.DUMMYFUNCTION("""COMPUTED_VALUE"""),"Revolutoonary Army / Chief of Staff ~ Sabo")</f>
        <v>Revolutoonary Army / Chief of Staff ~ Sabo</v>
      </c>
      <c r="E281" s="266" t="str">
        <f>IFERROR(__xludf.DUMMYFUNCTION("""COMPUTED_VALUE"""),"4 Stars")</f>
        <v>4 Stars</v>
      </c>
      <c r="F281" s="266" t="str">
        <f>IFERROR(__xludf.DUMMYFUNCTION("""COMPUTED_VALUE"""),"Bounty Festival")</f>
        <v>Bounty Festival</v>
      </c>
      <c r="G281" s="266" t="str">
        <f>IFERROR(__xludf.DUMMYFUNCTION("""COMPUTED_VALUE"""),"Defender(s) ~ Revolutionary Army ~ New World")</f>
        <v>Defender(s) ~ Revolutionary Army ~ New World</v>
      </c>
      <c r="H281" s="266" t="str">
        <f>IFERROR(__xludf.DUMMYFUNCTION("""COMPUTED_VALUE"""),"Blue ~ Defender")</f>
        <v>Blue ~ Defender</v>
      </c>
      <c r="I281" s="265" t="str">
        <f>IFERROR(__xludf.DUMMYFUNCTION("""COMPUTED_VALUE"""),"https://i.postimg.cc/m2xg81dx/Blue-Defender.png")</f>
        <v>https://i.postimg.cc/m2xg81dx/Blue-Defender.png</v>
      </c>
      <c r="J281" s="267" t="str">
        <f>IFERROR(__xludf.DUMMYFUNCTION("""COMPUTED_VALUE"""),"2019-05-30")</f>
        <v>2019-05-30</v>
      </c>
      <c r="K281" s="263"/>
    </row>
    <row r="282">
      <c r="A282" s="269"/>
      <c r="B282" s="264">
        <f>IFERROR(__xludf.DUMMYFUNCTION("""COMPUTED_VALUE"""),63.0)</f>
        <v>63</v>
      </c>
      <c r="C282" s="265" t="str">
        <f>IFERROR(__xludf.DUMMYFUNCTION("""COMPUTED_VALUE"""),"https://i.postimg.cc/pL9TLP24/063-2-Years-Later-Navigator-Nami.png")</f>
        <v>https://i.postimg.cc/pL9TLP24/063-2-Years-Later-Navigator-Nami.png</v>
      </c>
      <c r="D282" s="266" t="str">
        <f>IFERROR(__xludf.DUMMYFUNCTION("""COMPUTED_VALUE"""),"2 Years Later / Navigator ~ Nami")</f>
        <v>2 Years Later / Navigator ~ Nami</v>
      </c>
      <c r="E282" s="266" t="str">
        <f>IFERROR(__xludf.DUMMYFUNCTION("""COMPUTED_VALUE"""),"4 Stars")</f>
        <v>4 Stars</v>
      </c>
      <c r="F282" s="266" t="str">
        <f>IFERROR(__xludf.DUMMYFUNCTION("""COMPUTED_VALUE"""),"Step Up")</f>
        <v>Step Up</v>
      </c>
      <c r="G282" s="266" t="str">
        <f>IFERROR(__xludf.DUMMYFUNCTION("""COMPUTED_VALUE"""),"Runner(s) ~ Straw Hat Pirates ~ New World")</f>
        <v>Runner(s) ~ Straw Hat Pirates ~ New World</v>
      </c>
      <c r="H282" s="266" t="str">
        <f>IFERROR(__xludf.DUMMYFUNCTION("""COMPUTED_VALUE"""),"Red ~ Runner")</f>
        <v>Red ~ Runner</v>
      </c>
      <c r="I282" s="265" t="str">
        <f>IFERROR(__xludf.DUMMYFUNCTION("""COMPUTED_VALUE"""),"https://i.postimg.cc/Hk6HDrtk/Red-Runner.png")</f>
        <v>https://i.postimg.cc/Hk6HDrtk/Red-Runner.png</v>
      </c>
      <c r="J282" s="267" t="str">
        <f>IFERROR(__xludf.DUMMYFUNCTION("""COMPUTED_VALUE"""),"2019-05-23")</f>
        <v>2019-05-23</v>
      </c>
      <c r="K282" s="263"/>
    </row>
    <row r="283">
      <c r="A283" s="269"/>
      <c r="B283" s="264">
        <f>IFERROR(__xludf.DUMMYFUNCTION("""COMPUTED_VALUE"""),62.0)</f>
        <v>62</v>
      </c>
      <c r="C283" s="265" t="str">
        <f>IFERROR(__xludf.DUMMYFUNCTION("""COMPUTED_VALUE"""),"https://i.postimg.cc/cJwLfTtc/062-2-Years-Later-Combatant-Roronoa-Zoro.png")</f>
        <v>https://i.postimg.cc/cJwLfTtc/062-2-Years-Later-Combatant-Roronoa-Zoro.png</v>
      </c>
      <c r="D283" s="266" t="str">
        <f>IFERROR(__xludf.DUMMYFUNCTION("""COMPUTED_VALUE"""),"2 Years Later / Combatant ~ Roronoa Zoro")</f>
        <v>2 Years Later / Combatant ~ Roronoa Zoro</v>
      </c>
      <c r="E283" s="266" t="str">
        <f>IFERROR(__xludf.DUMMYFUNCTION("""COMPUTED_VALUE"""),"4 Stars")</f>
        <v>4 Stars</v>
      </c>
      <c r="F283" s="266" t="str">
        <f>IFERROR(__xludf.DUMMYFUNCTION("""COMPUTED_VALUE"""),"Step Up")</f>
        <v>Step Up</v>
      </c>
      <c r="G283" s="266" t="str">
        <f>IFERROR(__xludf.DUMMYFUNCTION("""COMPUTED_VALUE"""),"Defender(s) ~ Straw Hat Pirates ~ New World ~ Worst Generation")</f>
        <v>Defender(s) ~ Straw Hat Pirates ~ New World ~ Worst Generation</v>
      </c>
      <c r="H283" s="266" t="str">
        <f>IFERROR(__xludf.DUMMYFUNCTION("""COMPUTED_VALUE"""),"Green ~ Defender")</f>
        <v>Green ~ Defender</v>
      </c>
      <c r="I283" s="265" t="str">
        <f>IFERROR(__xludf.DUMMYFUNCTION("""COMPUTED_VALUE"""),"https://i.postimg.cc/qRhpGpyM/Green-Defender.png")</f>
        <v>https://i.postimg.cc/qRhpGpyM/Green-Defender.png</v>
      </c>
      <c r="J283" s="267" t="str">
        <f>IFERROR(__xludf.DUMMYFUNCTION("""COMPUTED_VALUE"""),"2019-05-18")</f>
        <v>2019-05-18</v>
      </c>
      <c r="K283" s="263"/>
    </row>
    <row r="284">
      <c r="A284" s="269"/>
      <c r="B284" s="264">
        <f>IFERROR(__xludf.DUMMYFUNCTION("""COMPUTED_VALUE"""),61.0)</f>
        <v>61</v>
      </c>
      <c r="C284" s="265" t="str">
        <f>IFERROR(__xludf.DUMMYFUNCTION("""COMPUTED_VALUE"""),"https://i.postimg.cc/rmTFjWS2/061-Alabasta-Princess-Nefeltari-Vivi.png")</f>
        <v>https://i.postimg.cc/rmTFjWS2/061-Alabasta-Princess-Nefeltari-Vivi.png</v>
      </c>
      <c r="D284" s="266" t="str">
        <f>IFERROR(__xludf.DUMMYFUNCTION("""COMPUTED_VALUE"""),"Alabasta / Princess ~ Nefeltari Vivi")</f>
        <v>Alabasta / Princess ~ Nefeltari Vivi</v>
      </c>
      <c r="E284" s="266" t="str">
        <f>IFERROR(__xludf.DUMMYFUNCTION("""COMPUTED_VALUE"""),"3 Stars")</f>
        <v>3 Stars</v>
      </c>
      <c r="F284" s="266" t="str">
        <f>IFERROR(__xludf.DUMMYFUNCTION("""COMPUTED_VALUE"""),"Free ~ 3 Stars")</f>
        <v>Free ~ 3 Stars</v>
      </c>
      <c r="G284" s="266" t="str">
        <f>IFERROR(__xludf.DUMMYFUNCTION("""COMPUTED_VALUE"""),"Runner(s) ~ The Grand Line ~ Alabasta Kingdom ~ Royalty / Former Royalty")</f>
        <v>Runner(s) ~ The Grand Line ~ Alabasta Kingdom ~ Royalty / Former Royalty</v>
      </c>
      <c r="H284" s="266" t="str">
        <f>IFERROR(__xludf.DUMMYFUNCTION("""COMPUTED_VALUE"""),"Red ~ Runner")</f>
        <v>Red ~ Runner</v>
      </c>
      <c r="I284" s="265" t="str">
        <f>IFERROR(__xludf.DUMMYFUNCTION("""COMPUTED_VALUE"""),"https://i.postimg.cc/Hk6HDrtk/Red-Runner.png")</f>
        <v>https://i.postimg.cc/Hk6HDrtk/Red-Runner.png</v>
      </c>
      <c r="J284" s="267" t="str">
        <f>IFERROR(__xludf.DUMMYFUNCTION("""COMPUTED_VALUE"""),"2019-05-17")</f>
        <v>2019-05-17</v>
      </c>
      <c r="K284" s="263"/>
    </row>
    <row r="285">
      <c r="A285" s="269"/>
      <c r="B285" s="264">
        <f>IFERROR(__xludf.DUMMYFUNCTION("""COMPUTED_VALUE"""),60.0)</f>
        <v>60</v>
      </c>
      <c r="C285" s="265" t="str">
        <f>IFERROR(__xludf.DUMMYFUNCTION("""COMPUTED_VALUE"""),"https://i.postimg.cc/zvtzqc4q/060-2-Years-Later-Captain-Monkey-D-Luffy.png")</f>
        <v>https://i.postimg.cc/zvtzqc4q/060-2-Years-Later-Captain-Monkey-D-Luffy.png</v>
      </c>
      <c r="D285" s="266" t="str">
        <f>IFERROR(__xludf.DUMMYFUNCTION("""COMPUTED_VALUE"""),"2 Years Later / Captain ~ Monkey D. Luffy")</f>
        <v>2 Years Later / Captain ~ Monkey D. Luffy</v>
      </c>
      <c r="E285" s="266" t="str">
        <f>IFERROR(__xludf.DUMMYFUNCTION("""COMPUTED_VALUE"""),"4 Stars")</f>
        <v>4 Stars</v>
      </c>
      <c r="F285" s="266" t="str">
        <f>IFERROR(__xludf.DUMMYFUNCTION("""COMPUTED_VALUE"""),"Step Up")</f>
        <v>Step Up</v>
      </c>
      <c r="G285" s="266" t="str">
        <f>IFERROR(__xludf.DUMMYFUNCTION("""COMPUTED_VALUE"""),"Attacker(s) ~ Straw Hat Pirates ~ Paramecia ~ Captain ~ Power users ~ New World ~ Worst Generation")</f>
        <v>Attacker(s) ~ Straw Hat Pirates ~ Paramecia ~ Captain ~ Power users ~ New World ~ Worst Generation</v>
      </c>
      <c r="H285" s="266" t="str">
        <f>IFERROR(__xludf.DUMMYFUNCTION("""COMPUTED_VALUE"""),"Blue ~ Attacker")</f>
        <v>Blue ~ Attacker</v>
      </c>
      <c r="I285" s="265" t="str">
        <f>IFERROR(__xludf.DUMMYFUNCTION("""COMPUTED_VALUE"""),"https://i.postimg.cc/1zRtDxvf/Blue-Attacker.png")</f>
        <v>https://i.postimg.cc/1zRtDxvf/Blue-Attacker.png</v>
      </c>
      <c r="J285" s="267" t="str">
        <f>IFERROR(__xludf.DUMMYFUNCTION("""COMPUTED_VALUE"""),"2019-05-05")</f>
        <v>2019-05-05</v>
      </c>
      <c r="K285" s="263"/>
    </row>
    <row r="286">
      <c r="A286" s="269"/>
      <c r="B286" s="264">
        <f>IFERROR(__xludf.DUMMYFUNCTION("""COMPUTED_VALUE"""),59.0)</f>
        <v>59</v>
      </c>
      <c r="C286" s="265" t="str">
        <f>IFERROR(__xludf.DUMMYFUNCTION("""COMPUTED_VALUE"""),"https://i.postimg.cc/jd2qMRJ2/059-Heart-Pirates-Captain-Trafalger-Law.png")</f>
        <v>https://i.postimg.cc/jd2qMRJ2/059-Heart-Pirates-Captain-Trafalger-Law.png</v>
      </c>
      <c r="D286" s="266" t="str">
        <f>IFERROR(__xludf.DUMMYFUNCTION("""COMPUTED_VALUE"""),"Heart Pirates / Captain ~ Trafalger Law")</f>
        <v>Heart Pirates / Captain ~ Trafalger Law</v>
      </c>
      <c r="E286" s="266" t="str">
        <f>IFERROR(__xludf.DUMMYFUNCTION("""COMPUTED_VALUE"""),"4 Stars")</f>
        <v>4 Stars</v>
      </c>
      <c r="F286" s="266" t="str">
        <f>IFERROR(__xludf.DUMMYFUNCTION("""COMPUTED_VALUE"""),"Bounty Festival")</f>
        <v>Bounty Festival</v>
      </c>
      <c r="G286" s="266" t="str">
        <f>IFERROR(__xludf.DUMMYFUNCTION("""COMPUTED_VALUE"""),"Runner(s) ~ Paramecia ~ Captain ~ Power users ~ The Grand Line ~ Worst Generation")</f>
        <v>Runner(s) ~ Paramecia ~ Captain ~ Power users ~ The Grand Line ~ Worst Generation</v>
      </c>
      <c r="H286" s="266" t="str">
        <f>IFERROR(__xludf.DUMMYFUNCTION("""COMPUTED_VALUE"""),"Green ~ Runner")</f>
        <v>Green ~ Runner</v>
      </c>
      <c r="I286" s="265" t="str">
        <f>IFERROR(__xludf.DUMMYFUNCTION("""COMPUTED_VALUE"""),"https://i.postimg.cc/PxgT30Qb/Green-Runner.png")</f>
        <v>https://i.postimg.cc/PxgT30Qb/Green-Runner.png</v>
      </c>
      <c r="J286" s="267" t="str">
        <f>IFERROR(__xludf.DUMMYFUNCTION("""COMPUTED_VALUE"""),"2019-04-24")</f>
        <v>2019-04-24</v>
      </c>
      <c r="K286" s="263"/>
    </row>
    <row r="287">
      <c r="A287" s="269"/>
      <c r="B287" s="264">
        <f>IFERROR(__xludf.DUMMYFUNCTION("""COMPUTED_VALUE"""),58.0)</f>
        <v>58</v>
      </c>
      <c r="C287" s="265" t="str">
        <f>IFERROR(__xludf.DUMMYFUNCTION("""COMPUTED_VALUE"""),"https://i.postimg.cc/rwtVLgjL/058-Kid-Pirates-Captain-Eustass-Kid.png")</f>
        <v>https://i.postimg.cc/rwtVLgjL/058-Kid-Pirates-Captain-Eustass-Kid.png</v>
      </c>
      <c r="D287" s="266" t="str">
        <f>IFERROR(__xludf.DUMMYFUNCTION("""COMPUTED_VALUE"""),"Kid Pirates / Captain ~ Eustass Kid")</f>
        <v>Kid Pirates / Captain ~ Eustass Kid</v>
      </c>
      <c r="E287" s="266" t="str">
        <f>IFERROR(__xludf.DUMMYFUNCTION("""COMPUTED_VALUE"""),"4 Stars")</f>
        <v>4 Stars</v>
      </c>
      <c r="F287" s="266" t="str">
        <f>IFERROR(__xludf.DUMMYFUNCTION("""COMPUTED_VALUE"""),"Bounty Festival")</f>
        <v>Bounty Festival</v>
      </c>
      <c r="G287" s="266" t="str">
        <f>IFERROR(__xludf.DUMMYFUNCTION("""COMPUTED_VALUE"""),"Attacker(s) ~ Paramecia ~ Captain ~ Power users ~ The Grand Line ~ Worst Generation")</f>
        <v>Attacker(s) ~ Paramecia ~ Captain ~ Power users ~ The Grand Line ~ Worst Generation</v>
      </c>
      <c r="H287" s="266" t="str">
        <f>IFERROR(__xludf.DUMMYFUNCTION("""COMPUTED_VALUE"""),"Blue ~ Attacker")</f>
        <v>Blue ~ Attacker</v>
      </c>
      <c r="I287" s="265" t="str">
        <f>IFERROR(__xludf.DUMMYFUNCTION("""COMPUTED_VALUE"""),"https://i.postimg.cc/1zRtDxvf/Blue-Attacker.png")</f>
        <v>https://i.postimg.cc/1zRtDxvf/Blue-Attacker.png</v>
      </c>
      <c r="J287" s="267" t="str">
        <f>IFERROR(__xludf.DUMMYFUNCTION("""COMPUTED_VALUE"""),"2019-04-24")</f>
        <v>2019-04-24</v>
      </c>
      <c r="K287" s="263"/>
    </row>
    <row r="288">
      <c r="A288" s="269"/>
      <c r="B288" s="264">
        <f>IFERROR(__xludf.DUMMYFUNCTION("""COMPUTED_VALUE"""),57.0)</f>
        <v>57</v>
      </c>
      <c r="C288" s="265" t="str">
        <f>IFERROR(__xludf.DUMMYFUNCTION("""COMPUTED_VALUE"""),"https://i.postimg.cc/gk7z51vD/057-Bellamy-Pirates-Captain-Bellamy.png")</f>
        <v>https://i.postimg.cc/gk7z51vD/057-Bellamy-Pirates-Captain-Bellamy.png</v>
      </c>
      <c r="D288" s="266" t="str">
        <f>IFERROR(__xludf.DUMMYFUNCTION("""COMPUTED_VALUE"""),"Bellamy Pirates / Captain ~ Bellamy")</f>
        <v>Bellamy Pirates / Captain ~ Bellamy</v>
      </c>
      <c r="E288" s="266" t="str">
        <f>IFERROR(__xludf.DUMMYFUNCTION("""COMPUTED_VALUE"""),"3 Stars")</f>
        <v>3 Stars</v>
      </c>
      <c r="F288" s="266" t="str">
        <f>IFERROR(__xludf.DUMMYFUNCTION("""COMPUTED_VALUE"""),"Free ~ 3 Stars")</f>
        <v>Free ~ 3 Stars</v>
      </c>
      <c r="G288" s="266" t="str">
        <f>IFERROR(__xludf.DUMMYFUNCTION("""COMPUTED_VALUE"""),"Defender(s) ~ Paramecia ~ Captain ~ Power users ~ The Grand Line")</f>
        <v>Defender(s) ~ Paramecia ~ Captain ~ Power users ~ The Grand Line</v>
      </c>
      <c r="H288" s="266" t="str">
        <f>IFERROR(__xludf.DUMMYFUNCTION("""COMPUTED_VALUE"""),"Blue ~ Defender")</f>
        <v>Blue ~ Defender</v>
      </c>
      <c r="I288" s="265" t="str">
        <f>IFERROR(__xludf.DUMMYFUNCTION("""COMPUTED_VALUE"""),"https://i.postimg.cc/m2xg81dx/Blue-Defender.png")</f>
        <v>https://i.postimg.cc/m2xg81dx/Blue-Defender.png</v>
      </c>
      <c r="J288" s="267" t="str">
        <f>IFERROR(__xludf.DUMMYFUNCTION("""COMPUTED_VALUE"""),"2019-04-12")</f>
        <v>2019-04-12</v>
      </c>
      <c r="K288" s="263"/>
    </row>
    <row r="289">
      <c r="A289" s="269"/>
      <c r="B289" s="264">
        <f>IFERROR(__xludf.DUMMYFUNCTION("""COMPUTED_VALUE"""),56.0)</f>
        <v>56</v>
      </c>
      <c r="C289" s="265" t="str">
        <f>IFERROR(__xludf.DUMMYFUNCTION("""COMPUTED_VALUE"""),"https://i.postimg.cc/cJys1Ykt/056-Arm-Point-Tony-Tony-Chopper.png")</f>
        <v>https://i.postimg.cc/cJys1Ykt/056-Arm-Point-Tony-Tony-Chopper.png</v>
      </c>
      <c r="D289" s="266" t="str">
        <f>IFERROR(__xludf.DUMMYFUNCTION("""COMPUTED_VALUE"""),"Arm Point ~ Tony Tony Chopper")</f>
        <v>Arm Point ~ Tony Tony Chopper</v>
      </c>
      <c r="E289" s="266" t="str">
        <f>IFERROR(__xludf.DUMMYFUNCTION("""COMPUTED_VALUE"""),"4 Stars")</f>
        <v>4 Stars</v>
      </c>
      <c r="F289" s="266" t="str">
        <f>IFERROR(__xludf.DUMMYFUNCTION("""COMPUTED_VALUE"""),"Step Up")</f>
        <v>Step Up</v>
      </c>
      <c r="G289" s="266" t="str">
        <f>IFERROR(__xludf.DUMMYFUNCTION("""COMPUTED_VALUE"""),"Attacker(s) ~ Straw Hat Pirates ~ Zoan ~ Power users ~ The Grand Line")</f>
        <v>Attacker(s) ~ Straw Hat Pirates ~ Zoan ~ Power users ~ The Grand Line</v>
      </c>
      <c r="H289" s="266" t="str">
        <f>IFERROR(__xludf.DUMMYFUNCTION("""COMPUTED_VALUE"""),"Blue ~ Attacker")</f>
        <v>Blue ~ Attacker</v>
      </c>
      <c r="I289" s="265" t="str">
        <f>IFERROR(__xludf.DUMMYFUNCTION("""COMPUTED_VALUE"""),"https://i.postimg.cc/1zRtDxvf/Blue-Attacker.png")</f>
        <v>https://i.postimg.cc/1zRtDxvf/Blue-Attacker.png</v>
      </c>
      <c r="J289" s="267" t="str">
        <f>IFERROR(__xludf.DUMMYFUNCTION("""COMPUTED_VALUE"""),"2019-04-11")</f>
        <v>2019-04-11</v>
      </c>
      <c r="K289" s="263"/>
    </row>
    <row r="290">
      <c r="A290" s="269"/>
      <c r="B290" s="264">
        <f>IFERROR(__xludf.DUMMYFUNCTION("""COMPUTED_VALUE"""),55.0)</f>
        <v>55</v>
      </c>
      <c r="C290" s="265" t="str">
        <f>IFERROR(__xludf.DUMMYFUNCTION("""COMPUTED_VALUE"""),"https://i.postimg.cc/wv9gLzp6/055-108-Pound-Phoenix-Roronoa-Zoro.png")</f>
        <v>https://i.postimg.cc/wv9gLzp6/055-108-Pound-Phoenix-Roronoa-Zoro.png</v>
      </c>
      <c r="D290" s="266" t="str">
        <f>IFERROR(__xludf.DUMMYFUNCTION("""COMPUTED_VALUE"""),"108 Pound Phoenix ~ Roronoa Zoro")</f>
        <v>108 Pound Phoenix ~ Roronoa Zoro</v>
      </c>
      <c r="E290" s="266" t="str">
        <f>IFERROR(__xludf.DUMMYFUNCTION("""COMPUTED_VALUE"""),"4 Stars")</f>
        <v>4 Stars</v>
      </c>
      <c r="F290" s="266" t="str">
        <f>IFERROR(__xludf.DUMMYFUNCTION("""COMPUTED_VALUE"""),"Step Up")</f>
        <v>Step Up</v>
      </c>
      <c r="G290" s="266" t="str">
        <f>IFERROR(__xludf.DUMMYFUNCTION("""COMPUTED_VALUE"""),"Runner(s) ~ Straw Hat Pirates ~ The Grand Line ~ Long-Range Normal Attacks")</f>
        <v>Runner(s) ~ Straw Hat Pirates ~ The Grand Line ~ Long-Range Normal Attacks</v>
      </c>
      <c r="H290" s="266" t="str">
        <f>IFERROR(__xludf.DUMMYFUNCTION("""COMPUTED_VALUE"""),"Red ~ Runner")</f>
        <v>Red ~ Runner</v>
      </c>
      <c r="I290" s="265" t="str">
        <f>IFERROR(__xludf.DUMMYFUNCTION("""COMPUTED_VALUE"""),"https://i.postimg.cc/Hk6HDrtk/Red-Runner.png")</f>
        <v>https://i.postimg.cc/Hk6HDrtk/Red-Runner.png</v>
      </c>
      <c r="J290" s="267" t="str">
        <f>IFERROR(__xludf.DUMMYFUNCTION("""COMPUTED_VALUE"""),"2019-04-11")</f>
        <v>2019-04-11</v>
      </c>
      <c r="K290" s="263"/>
    </row>
    <row r="291">
      <c r="A291" s="269"/>
      <c r="B291" s="264">
        <f>IFERROR(__xludf.DUMMYFUNCTION("""COMPUTED_VALUE"""),54.0)</f>
        <v>54</v>
      </c>
      <c r="C291" s="265" t="str">
        <f>IFERROR(__xludf.DUMMYFUNCTION("""COMPUTED_VALUE"""),"https://i.postimg.cc/zvBN2kv6/054-The-Seven-Warlords-of-the-Sea-Gecko-Moria.png")</f>
        <v>https://i.postimg.cc/zvBN2kv6/054-The-Seven-Warlords-of-the-Sea-Gecko-Moria.png</v>
      </c>
      <c r="D291" s="266" t="str">
        <f>IFERROR(__xludf.DUMMYFUNCTION("""COMPUTED_VALUE"""),"The Seven Warlords of the Sea ~ Gecko Moria")</f>
        <v>The Seven Warlords of the Sea ~ Gecko Moria</v>
      </c>
      <c r="E291" s="266" t="str">
        <f>IFERROR(__xludf.DUMMYFUNCTION("""COMPUTED_VALUE"""),"4 Stars")</f>
        <v>4 Stars</v>
      </c>
      <c r="F291" s="266" t="str">
        <f>IFERROR(__xludf.DUMMYFUNCTION("""COMPUTED_VALUE"""),"Bounty Festival")</f>
        <v>Bounty Festival</v>
      </c>
      <c r="G291" s="266" t="str">
        <f>IFERROR(__xludf.DUMMYFUNCTION("""COMPUTED_VALUE"""),"Defender(s) ~ The Seven Warlords of the Sea / Former Warlords of the Sea ~ Paramecia ~ Captain ~ Power users ~ The Grand Line")</f>
        <v>Defender(s) ~ The Seven Warlords of the Sea / Former Warlords of the Sea ~ Paramecia ~ Captain ~ Power users ~ The Grand Line</v>
      </c>
      <c r="H291" s="266" t="str">
        <f>IFERROR(__xludf.DUMMYFUNCTION("""COMPUTED_VALUE"""),"Green ~ Defender")</f>
        <v>Green ~ Defender</v>
      </c>
      <c r="I291" s="265" t="str">
        <f>IFERROR(__xludf.DUMMYFUNCTION("""COMPUTED_VALUE"""),"https://i.postimg.cc/qRhpGpyM/Green-Defender.png")</f>
        <v>https://i.postimg.cc/qRhpGpyM/Green-Defender.png</v>
      </c>
      <c r="J291" s="267" t="str">
        <f>IFERROR(__xludf.DUMMYFUNCTION("""COMPUTED_VALUE"""),"2019-03-28")</f>
        <v>2019-03-28</v>
      </c>
      <c r="K291" s="263"/>
    </row>
    <row r="292">
      <c r="A292" s="269"/>
      <c r="B292" s="264">
        <f>IFERROR(__xludf.DUMMYFUNCTION("""COMPUTED_VALUE"""),53.0)</f>
        <v>53</v>
      </c>
      <c r="C292" s="265" t="str">
        <f>IFERROR(__xludf.DUMMYFUNCTION("""COMPUTED_VALUE"""),"https://i.postimg.cc/wMGpCssv/053-The-Seven-Warlords-of-the-Sea-Hancock.png")</f>
        <v>https://i.postimg.cc/wMGpCssv/053-The-Seven-Warlords-of-the-Sea-Hancock.png</v>
      </c>
      <c r="D292" s="266" t="str">
        <f>IFERROR(__xludf.DUMMYFUNCTION("""COMPUTED_VALUE"""),"The Seven Warlords of the Sea ~ Hancock")</f>
        <v>The Seven Warlords of the Sea ~ Hancock</v>
      </c>
      <c r="E292" s="266" t="str">
        <f>IFERROR(__xludf.DUMMYFUNCTION("""COMPUTED_VALUE"""),"4 Stars")</f>
        <v>4 Stars</v>
      </c>
      <c r="F292" s="266" t="str">
        <f>IFERROR(__xludf.DUMMYFUNCTION("""COMPUTED_VALUE"""),"Bounty Festival")</f>
        <v>Bounty Festival</v>
      </c>
      <c r="G292" s="266" t="str">
        <f>IFERROR(__xludf.DUMMYFUNCTION("""COMPUTED_VALUE"""),"Attacker(s) ~ Baroque Works ~ Paramecia ~ Power users ~ The Grand Line")</f>
        <v>Attacker(s) ~ Baroque Works ~ Paramecia ~ Power users ~ The Grand Line</v>
      </c>
      <c r="H292" s="266" t="str">
        <f>IFERROR(__xludf.DUMMYFUNCTION("""COMPUTED_VALUE"""),"Red ~ Runner")</f>
        <v>Red ~ Runner</v>
      </c>
      <c r="I292" s="265" t="str">
        <f>IFERROR(__xludf.DUMMYFUNCTION("""COMPUTED_VALUE"""),"https://i.postimg.cc/Hk6HDrtk/Red-Runner.png")</f>
        <v>https://i.postimg.cc/Hk6HDrtk/Red-Runner.png</v>
      </c>
      <c r="J292" s="267" t="str">
        <f>IFERROR(__xludf.DUMMYFUNCTION("""COMPUTED_VALUE"""),"2019-03-28")</f>
        <v>2019-03-28</v>
      </c>
      <c r="K292" s="263"/>
    </row>
    <row r="293">
      <c r="A293" s="269"/>
      <c r="B293" s="264">
        <f>IFERROR(__xludf.DUMMYFUNCTION("""COMPUTED_VALUE"""),52.0)</f>
        <v>52</v>
      </c>
      <c r="C293" s="265" t="str">
        <f>IFERROR(__xludf.DUMMYFUNCTION("""COMPUTED_VALUE"""),"https://i.postimg.cc/ZY74BXDS/052-Baroque-Works-Vice-President-Ms-All-Sunday.png")</f>
        <v>https://i.postimg.cc/ZY74BXDS/052-Baroque-Works-Vice-President-Ms-All-Sunday.png</v>
      </c>
      <c r="D293" s="266" t="str">
        <f>IFERROR(__xludf.DUMMYFUNCTION("""COMPUTED_VALUE"""),"Baroque Works / Vice President ~ Ms. All Sunday")</f>
        <v>Baroque Works / Vice President ~ Ms. All Sunday</v>
      </c>
      <c r="E293" s="266" t="str">
        <f>IFERROR(__xludf.DUMMYFUNCTION("""COMPUTED_VALUE"""),"4 Stars")</f>
        <v>4 Stars</v>
      </c>
      <c r="F293" s="266" t="str">
        <f>IFERROR(__xludf.DUMMYFUNCTION("""COMPUTED_VALUE"""),"Step Up")</f>
        <v>Step Up</v>
      </c>
      <c r="G293" s="266" t="str">
        <f>IFERROR(__xludf.DUMMYFUNCTION("""COMPUTED_VALUE"""),"Runner(s) ~ Baroque Works ~ Paramecia ~ Power users ~ The Grand Line")</f>
        <v>Runner(s) ~ Baroque Works ~ Paramecia ~ Power users ~ The Grand Line</v>
      </c>
      <c r="H293" s="266" t="str">
        <f>IFERROR(__xludf.DUMMYFUNCTION("""COMPUTED_VALUE"""),"Blue ~ Runner")</f>
        <v>Blue ~ Runner</v>
      </c>
      <c r="I293" s="265" t="str">
        <f>IFERROR(__xludf.DUMMYFUNCTION("""COMPUTED_VALUE"""),"https://i.postimg.cc/4NzNM4MY/Blue-Runner.png")</f>
        <v>https://i.postimg.cc/4NzNM4MY/Blue-Runner.png</v>
      </c>
      <c r="J293" s="267" t="str">
        <f>IFERROR(__xludf.DUMMYFUNCTION("""COMPUTED_VALUE"""),"2019-03-19")</f>
        <v>2019-03-19</v>
      </c>
      <c r="K293" s="263"/>
    </row>
    <row r="294">
      <c r="A294" s="269"/>
      <c r="B294" s="264">
        <f>IFERROR(__xludf.DUMMYFUNCTION("""COMPUTED_VALUE"""),51.0)</f>
        <v>51</v>
      </c>
      <c r="C294" s="265" t="str">
        <f>IFERROR(__xludf.DUMMYFUNCTION("""COMPUTED_VALUE"""),"https://i.postimg.cc/VLJ1j43b/051-Baroque-Works-Officer-Agent-Bon-Clay-aka-Mr-2.png")</f>
        <v>https://i.postimg.cc/VLJ1j43b/051-Baroque-Works-Officer-Agent-Bon-Clay-aka-Mr-2.png</v>
      </c>
      <c r="D294" s="266" t="str">
        <f>IFERROR(__xludf.DUMMYFUNCTION("""COMPUTED_VALUE"""),"Baroque Works / Officer Agent ~ Bon Clay, aka Mr. 2")</f>
        <v>Baroque Works / Officer Agent ~ Bon Clay, aka Mr. 2</v>
      </c>
      <c r="E294" s="266" t="str">
        <f>IFERROR(__xludf.DUMMYFUNCTION("""COMPUTED_VALUE"""),"4 Stars")</f>
        <v>4 Stars</v>
      </c>
      <c r="F294" s="266" t="str">
        <f>IFERROR(__xludf.DUMMYFUNCTION("""COMPUTED_VALUE"""),"Step Up")</f>
        <v>Step Up</v>
      </c>
      <c r="G294" s="266" t="str">
        <f>IFERROR(__xludf.DUMMYFUNCTION("""COMPUTED_VALUE"""),"Attacker(s) ~ Baroque Works ~ Paramecia ~ Power users ~ The Grand Line")</f>
        <v>Attacker(s) ~ Baroque Works ~ Paramecia ~ Power users ~ The Grand Line</v>
      </c>
      <c r="H294" s="266" t="str">
        <f>IFERROR(__xludf.DUMMYFUNCTION("""COMPUTED_VALUE"""),"Green ~ Attacker")</f>
        <v>Green ~ Attacker</v>
      </c>
      <c r="I294" s="265" t="str">
        <f>IFERROR(__xludf.DUMMYFUNCTION("""COMPUTED_VALUE"""),"https://i.postimg.cc/0NH8mz6B/Green-Attacker.png")</f>
        <v>https://i.postimg.cc/0NH8mz6B/Green-Attacker.png</v>
      </c>
      <c r="J294" s="267" t="str">
        <f>IFERROR(__xludf.DUMMYFUNCTION("""COMPUTED_VALUE"""),"2019-03-19")</f>
        <v>2019-03-19</v>
      </c>
      <c r="K294" s="263"/>
    </row>
    <row r="295">
      <c r="A295" s="269"/>
      <c r="B295" s="264">
        <f>IFERROR(__xludf.DUMMYFUNCTION("""COMPUTED_VALUE"""),50.0)</f>
        <v>50</v>
      </c>
      <c r="C295" s="265" t="str">
        <f>IFERROR(__xludf.DUMMYFUNCTION("""COMPUTED_VALUE"""),"https://i.postimg.cc/pX3vkzHc/050-Navy-HQ-Admiral-Aokiji-Kuzan.png")</f>
        <v>https://i.postimg.cc/pX3vkzHc/050-Navy-HQ-Admiral-Aokiji-Kuzan.png</v>
      </c>
      <c r="D295" s="266" t="str">
        <f>IFERROR(__xludf.DUMMYFUNCTION("""COMPUTED_VALUE"""),"Navy HQ / Admiral Aokiji ~ [Kuzan]")</f>
        <v>Navy HQ / Admiral Aokiji ~ [Kuzan]</v>
      </c>
      <c r="E295" s="266" t="str">
        <f>IFERROR(__xludf.DUMMYFUNCTION("""COMPUTED_VALUE"""),"4 Stars")</f>
        <v>4 Stars</v>
      </c>
      <c r="F295" s="266" t="str">
        <f>IFERROR(__xludf.DUMMYFUNCTION("""COMPUTED_VALUE"""),"Bounty Festival")</f>
        <v>Bounty Festival</v>
      </c>
      <c r="G295" s="266" t="str">
        <f>IFERROR(__xludf.DUMMYFUNCTION("""COMPUTED_VALUE"""),"Defender(s) ~ Navy ~ Logia ~ Power users ~ The Grand Line ~ Navy Admiral / Former Navy Admiral")</f>
        <v>Defender(s) ~ Navy ~ Logia ~ Power users ~ The Grand Line ~ Navy Admiral / Former Navy Admiral</v>
      </c>
      <c r="H295" s="266" t="str">
        <f>IFERROR(__xludf.DUMMYFUNCTION("""COMPUTED_VALUE"""),"Blue ~ Defender")</f>
        <v>Blue ~ Defender</v>
      </c>
      <c r="I295" s="265" t="str">
        <f>IFERROR(__xludf.DUMMYFUNCTION("""COMPUTED_VALUE"""),"https://i.postimg.cc/m2xg81dx/Blue-Defender.png")</f>
        <v>https://i.postimg.cc/m2xg81dx/Blue-Defender.png</v>
      </c>
      <c r="J295" s="267" t="str">
        <f>IFERROR(__xludf.DUMMYFUNCTION("""COMPUTED_VALUE"""),"2019-02-27")</f>
        <v>2019-02-27</v>
      </c>
      <c r="K295" s="263"/>
    </row>
    <row r="296">
      <c r="A296" s="269"/>
      <c r="B296" s="264">
        <f>IFERROR(__xludf.DUMMYFUNCTION("""COMPUTED_VALUE"""),49.0)</f>
        <v>49</v>
      </c>
      <c r="C296" s="265" t="str">
        <f>IFERROR(__xludf.DUMMYFUNCTION("""COMPUTED_VALUE"""),"https://i.postimg.cc/y89HGx61/049-Navy-HQ-Admiral-Akainu-Sakazuki.png")</f>
        <v>https://i.postimg.cc/y89HGx61/049-Navy-HQ-Admiral-Akainu-Sakazuki.png</v>
      </c>
      <c r="D296" s="266" t="str">
        <f>IFERROR(__xludf.DUMMYFUNCTION("""COMPUTED_VALUE"""),"Navy HQ / Admiral Akainu ~ [Sakazuki]")</f>
        <v>Navy HQ / Admiral Akainu ~ [Sakazuki]</v>
      </c>
      <c r="E296" s="266" t="str">
        <f>IFERROR(__xludf.DUMMYFUNCTION("""COMPUTED_VALUE"""),"4 Stars")</f>
        <v>4 Stars</v>
      </c>
      <c r="F296" s="266" t="str">
        <f>IFERROR(__xludf.DUMMYFUNCTION("""COMPUTED_VALUE"""),"Bounty Festival")</f>
        <v>Bounty Festival</v>
      </c>
      <c r="G296" s="266" t="str">
        <f>IFERROR(__xludf.DUMMYFUNCTION("""COMPUTED_VALUE"""),"Attacker(s) ~ Navy ~ Logia ~ Power users ~ New World ~ Navy Admiral / Former Navy Admiral")</f>
        <v>Attacker(s) ~ Navy ~ Logia ~ Power users ~ New World ~ Navy Admiral / Former Navy Admiral</v>
      </c>
      <c r="H296" s="266" t="str">
        <f>IFERROR(__xludf.DUMMYFUNCTION("""COMPUTED_VALUE"""),"Red ~ Attacker")</f>
        <v>Red ~ Attacker</v>
      </c>
      <c r="I296" s="265" t="str">
        <f>IFERROR(__xludf.DUMMYFUNCTION("""COMPUTED_VALUE"""),"https://i.postimg.cc/L6B2DCYf/Red-Attacker.png")</f>
        <v>https://i.postimg.cc/L6B2DCYf/Red-Attacker.png</v>
      </c>
      <c r="J296" s="267" t="str">
        <f>IFERROR(__xludf.DUMMYFUNCTION("""COMPUTED_VALUE"""),"2019-02-27")</f>
        <v>2019-02-27</v>
      </c>
      <c r="K296" s="263"/>
    </row>
    <row r="297">
      <c r="A297" s="269"/>
      <c r="B297" s="264">
        <f>IFERROR(__xludf.DUMMYFUNCTION("""COMPUTED_VALUE"""),48.0)</f>
        <v>48</v>
      </c>
      <c r="C297" s="265" t="str">
        <f>IFERROR(__xludf.DUMMYFUNCTION("""COMPUTED_VALUE"""),"https://i.postimg.cc/fbNNQskx/048-Whitebeard-Pirates-2nd-Division-Commander-Portgaz-D-Ace.png")</f>
        <v>https://i.postimg.cc/fbNNQskx/048-Whitebeard-Pirates-2nd-Division-Commander-Portgaz-D-Ace.png</v>
      </c>
      <c r="D297" s="266" t="str">
        <f>IFERROR(__xludf.DUMMYFUNCTION("""COMPUTED_VALUE"""),"Whitebeard Pirates / 2nd Division Commander ~ Portgaz D. Ace")</f>
        <v>Whitebeard Pirates / 2nd Division Commander ~ Portgaz D. Ace</v>
      </c>
      <c r="E297" s="266" t="str">
        <f>IFERROR(__xludf.DUMMYFUNCTION("""COMPUTED_VALUE"""),"4 Stars")</f>
        <v>4 Stars</v>
      </c>
      <c r="F297" s="266" t="str">
        <f>IFERROR(__xludf.DUMMYFUNCTION("""COMPUTED_VALUE"""),"Bounty Festival")</f>
        <v>Bounty Festival</v>
      </c>
      <c r="G297" s="266" t="str">
        <f>IFERROR(__xludf.DUMMYFUNCTION("""COMPUTED_VALUE"""),"Attacker(s) ~ Whitebeard Pirates ~ Logia ~ Power users ~ The Grand Line")</f>
        <v>Attacker(s) ~ Whitebeard Pirates ~ Logia ~ Power users ~ The Grand Line</v>
      </c>
      <c r="H297" s="266" t="str">
        <f>IFERROR(__xludf.DUMMYFUNCTION("""COMPUTED_VALUE"""),"Blue ~ Attacker")</f>
        <v>Blue ~ Attacker</v>
      </c>
      <c r="I297" s="265" t="str">
        <f>IFERROR(__xludf.DUMMYFUNCTION("""COMPUTED_VALUE"""),"https://i.postimg.cc/1zRtDxvf/Blue-Attacker.png")</f>
        <v>https://i.postimg.cc/1zRtDxvf/Blue-Attacker.png</v>
      </c>
      <c r="J297" s="267" t="str">
        <f>IFERROR(__xludf.DUMMYFUNCTION("""COMPUTED_VALUE"""),"2019-02-08")</f>
        <v>2019-02-08</v>
      </c>
      <c r="K297" s="263"/>
    </row>
    <row r="298">
      <c r="A298" s="269"/>
      <c r="B298" s="264">
        <f>IFERROR(__xludf.DUMMYFUNCTION("""COMPUTED_VALUE"""),47.0)</f>
        <v>47</v>
      </c>
      <c r="C298" s="265" t="str">
        <f>IFERROR(__xludf.DUMMYFUNCTION("""COMPUTED_VALUE"""),"https://i.postimg.cc/rmy2z91s/047-Whitebeard-Pirates-Captain-Whitebeard-Edward-Newgate.png")</f>
        <v>https://i.postimg.cc/rmy2z91s/047-Whitebeard-Pirates-Captain-Whitebeard-Edward-Newgate.png</v>
      </c>
      <c r="D298" s="266" t="str">
        <f>IFERROR(__xludf.DUMMYFUNCTION("""COMPUTED_VALUE"""),"Whitebeard Pirates / Captain Whitebeard ~ Edward Newgate")</f>
        <v>Whitebeard Pirates / Captain Whitebeard ~ Edward Newgate</v>
      </c>
      <c r="E298" s="266" t="str">
        <f>IFERROR(__xludf.DUMMYFUNCTION("""COMPUTED_VALUE"""),"4 Stars")</f>
        <v>4 Stars</v>
      </c>
      <c r="F298" s="266" t="str">
        <f>IFERROR(__xludf.DUMMYFUNCTION("""COMPUTED_VALUE"""),"Bounty Festival")</f>
        <v>Bounty Festival</v>
      </c>
      <c r="G298" s="266" t="str">
        <f>IFERROR(__xludf.DUMMYFUNCTION("""COMPUTED_VALUE"""),"Defender(s) ~ Whitebeard Pirates ~ Paramecia ~ Captain ~ Power users ~ The Grand Line")</f>
        <v>Defender(s) ~ Whitebeard Pirates ~ Paramecia ~ Captain ~ Power users ~ The Grand Line</v>
      </c>
      <c r="H298" s="266" t="str">
        <f>IFERROR(__xludf.DUMMYFUNCTION("""COMPUTED_VALUE"""),"Red ~ Defender")</f>
        <v>Red ~ Defender</v>
      </c>
      <c r="I298" s="265" t="str">
        <f>IFERROR(__xludf.DUMMYFUNCTION("""COMPUTED_VALUE"""),"https://i.postimg.cc/P5XhRWY7/Red-Defender.png")</f>
        <v>https://i.postimg.cc/P5XhRWY7/Red-Defender.png</v>
      </c>
      <c r="J298" s="267" t="str">
        <f>IFERROR(__xludf.DUMMYFUNCTION("""COMPUTED_VALUE"""),"2019-02-08")</f>
        <v>2019-02-08</v>
      </c>
      <c r="K298" s="263"/>
    </row>
    <row r="299">
      <c r="A299" s="269"/>
      <c r="B299" s="264">
        <f>IFERROR(__xludf.DUMMYFUNCTION("""COMPUTED_VALUE"""),46.0)</f>
        <v>46</v>
      </c>
      <c r="C299" s="265" t="str">
        <f>IFERROR(__xludf.DUMMYFUNCTION("""COMPUTED_VALUE"""),"https://i.postimg.cc/gJMFh6sD/046-Kami-Eneru.png")</f>
        <v>https://i.postimg.cc/gJMFh6sD/046-Kami-Eneru.png</v>
      </c>
      <c r="D299" s="266" t="str">
        <f>IFERROR(__xludf.DUMMYFUNCTION("""COMPUTED_VALUE"""),"Kami ~ Eneru")</f>
        <v>Kami ~ Eneru</v>
      </c>
      <c r="E299" s="266" t="str">
        <f>IFERROR(__xludf.DUMMYFUNCTION("""COMPUTED_VALUE"""),"4 Stars")</f>
        <v>4 Stars</v>
      </c>
      <c r="F299" s="266" t="str">
        <f>IFERROR(__xludf.DUMMYFUNCTION("""COMPUTED_VALUE"""),"Step Up")</f>
        <v>Step Up</v>
      </c>
      <c r="G299" s="266" t="str">
        <f>IFERROR(__xludf.DUMMYFUNCTION("""COMPUTED_VALUE"""),"Attacker(s) ~ Logia ~ Power users ~ The Grand Line")</f>
        <v>Attacker(s) ~ Logia ~ Power users ~ The Grand Line</v>
      </c>
      <c r="H299" s="266" t="str">
        <f>IFERROR(__xludf.DUMMYFUNCTION("""COMPUTED_VALUE"""),"Green ~ Attacker")</f>
        <v>Green ~ Attacker</v>
      </c>
      <c r="I299" s="265" t="str">
        <f>IFERROR(__xludf.DUMMYFUNCTION("""COMPUTED_VALUE"""),"https://i.postimg.cc/0NH8mz6B/Green-Attacker.png")</f>
        <v>https://i.postimg.cc/0NH8mz6B/Green-Attacker.png</v>
      </c>
      <c r="J299" s="267" t="str">
        <f>IFERROR(__xludf.DUMMYFUNCTION("""COMPUTED_VALUE"""),"Beginning of the Game")</f>
        <v>Beginning of the Game</v>
      </c>
      <c r="K299" s="263"/>
    </row>
    <row r="300">
      <c r="A300" s="269"/>
      <c r="B300" s="264">
        <f>IFERROR(__xludf.DUMMYFUNCTION("""COMPUTED_VALUE"""),45.0)</f>
        <v>45</v>
      </c>
      <c r="C300" s="265" t="str">
        <f>IFERROR(__xludf.DUMMYFUNCTION("""COMPUTED_VALUE"""),"https://i.postimg.cc/x8cr3TFS/045-The-Seven-Warlords-of-the-Sea-Crocodile.png")</f>
        <v>https://i.postimg.cc/x8cr3TFS/045-The-Seven-Warlords-of-the-Sea-Crocodile.png</v>
      </c>
      <c r="D300" s="266" t="str">
        <f>IFERROR(__xludf.DUMMYFUNCTION("""COMPUTED_VALUE"""),"The Seven Warlords of the Sea ~ Crocodile")</f>
        <v>The Seven Warlords of the Sea ~ Crocodile</v>
      </c>
      <c r="E300" s="266" t="str">
        <f>IFERROR(__xludf.DUMMYFUNCTION("""COMPUTED_VALUE"""),"4 Stars")</f>
        <v>4 Stars</v>
      </c>
      <c r="F300" s="266" t="str">
        <f>IFERROR(__xludf.DUMMYFUNCTION("""COMPUTED_VALUE"""),"Step Up")</f>
        <v>Step Up</v>
      </c>
      <c r="G300" s="266" t="str">
        <f>IFERROR(__xludf.DUMMYFUNCTION("""COMPUTED_VALUE"""),"Defender(s) ~ The Seven Warlords of the Sea / Former Warlords of the Sea ~ Baroque Works ~ Logia ~ Power users ~ The Grand Line")</f>
        <v>Defender(s) ~ The Seven Warlords of the Sea / Former Warlords of the Sea ~ Baroque Works ~ Logia ~ Power users ~ The Grand Line</v>
      </c>
      <c r="H300" s="266" t="str">
        <f>IFERROR(__xludf.DUMMYFUNCTION("""COMPUTED_VALUE"""),"Blue ~ Defender")</f>
        <v>Blue ~ Defender</v>
      </c>
      <c r="I300" s="265" t="str">
        <f>IFERROR(__xludf.DUMMYFUNCTION("""COMPUTED_VALUE"""),"https://i.postimg.cc/m2xg81dx/Blue-Defender.png")</f>
        <v>https://i.postimg.cc/m2xg81dx/Blue-Defender.png</v>
      </c>
      <c r="J300" s="267" t="str">
        <f>IFERROR(__xludf.DUMMYFUNCTION("""COMPUTED_VALUE"""),"Beginning of the Game")</f>
        <v>Beginning of the Game</v>
      </c>
      <c r="K300" s="263"/>
    </row>
    <row r="301">
      <c r="A301" s="269"/>
      <c r="B301" s="264">
        <f>IFERROR(__xludf.DUMMYFUNCTION("""COMPUTED_VALUE"""),44.0)</f>
        <v>44</v>
      </c>
      <c r="C301" s="265" t="str">
        <f>IFERROR(__xludf.DUMMYFUNCTION("""COMPUTED_VALUE"""),"https://i.postimg.cc/8k0gPMjk/044-Peacock-Slasher-Nefeltari-Vivi.png")</f>
        <v>https://i.postimg.cc/8k0gPMjk/044-Peacock-Slasher-Nefeltari-Vivi.png</v>
      </c>
      <c r="D301" s="266" t="str">
        <f>IFERROR(__xludf.DUMMYFUNCTION("""COMPUTED_VALUE"""),"Peacock Slasher ~ Nefeltari Vivi")</f>
        <v>Peacock Slasher ~ Nefeltari Vivi</v>
      </c>
      <c r="E301" s="266" t="str">
        <f>IFERROR(__xludf.DUMMYFUNCTION("""COMPUTED_VALUE"""),"4 Stars")</f>
        <v>4 Stars</v>
      </c>
      <c r="F301" s="266" t="str">
        <f>IFERROR(__xludf.DUMMYFUNCTION("""COMPUTED_VALUE"""),"Step Up")</f>
        <v>Step Up</v>
      </c>
      <c r="G301" s="266" t="str">
        <f>IFERROR(__xludf.DUMMYFUNCTION("""COMPUTED_VALUE"""),"Runner(s) ~ Straw Hat Pirates ~ The Grand Line ~ Alabasta Kingdom ~ Royalty / Former Royalty")</f>
        <v>Runner(s) ~ Straw Hat Pirates ~ The Grand Line ~ Alabasta Kingdom ~ Royalty / Former Royalty</v>
      </c>
      <c r="H301" s="266" t="str">
        <f>IFERROR(__xludf.DUMMYFUNCTION("""COMPUTED_VALUE"""),"Green ~ Runner")</f>
        <v>Green ~ Runner</v>
      </c>
      <c r="I301" s="265" t="str">
        <f>IFERROR(__xludf.DUMMYFUNCTION("""COMPUTED_VALUE"""),"https://i.postimg.cc/PxgT30Qb/Green-Runner.png")</f>
        <v>https://i.postimg.cc/PxgT30Qb/Green-Runner.png</v>
      </c>
      <c r="J301" s="267" t="str">
        <f>IFERROR(__xludf.DUMMYFUNCTION("""COMPUTED_VALUE"""),"Beginning of the Game")</f>
        <v>Beginning of the Game</v>
      </c>
      <c r="K301" s="263"/>
    </row>
    <row r="302">
      <c r="A302" s="269"/>
      <c r="B302" s="264">
        <f>IFERROR(__xludf.DUMMYFUNCTION("""COMPUTED_VALUE"""),43.0)</f>
        <v>43</v>
      </c>
      <c r="C302" s="265" t="str">
        <f>IFERROR(__xludf.DUMMYFUNCTION("""COMPUTED_VALUE"""),"https://i.postimg.cc/X7BSZqCf/043-Gum-Gum-Storm-Monkey-D-Luffy.png")</f>
        <v>https://i.postimg.cc/X7BSZqCf/043-Gum-Gum-Storm-Monkey-D-Luffy.png</v>
      </c>
      <c r="D302" s="266" t="str">
        <f>IFERROR(__xludf.DUMMYFUNCTION("""COMPUTED_VALUE"""),"Gum-Gum Storm ~ Monkey D. Luffy")</f>
        <v>Gum-Gum Storm ~ Monkey D. Luffy</v>
      </c>
      <c r="E302" s="266" t="str">
        <f>IFERROR(__xludf.DUMMYFUNCTION("""COMPUTED_VALUE"""),"4 Stars")</f>
        <v>4 Stars</v>
      </c>
      <c r="F302" s="266" t="str">
        <f>IFERROR(__xludf.DUMMYFUNCTION("""COMPUTED_VALUE"""),"Step Up")</f>
        <v>Step Up</v>
      </c>
      <c r="G302" s="266" t="str">
        <f>IFERROR(__xludf.DUMMYFUNCTION("""COMPUTED_VALUE"""),"Defender(s) ~ Straw Hat Pirates ~ Paramecia ~ Captain ~ Power users ~ The Grand Line")</f>
        <v>Defender(s) ~ Straw Hat Pirates ~ Paramecia ~ Captain ~ Power users ~ The Grand Line</v>
      </c>
      <c r="H302" s="266" t="str">
        <f>IFERROR(__xludf.DUMMYFUNCTION("""COMPUTED_VALUE"""),"Red ~ Defender")</f>
        <v>Red ~ Defender</v>
      </c>
      <c r="I302" s="265" t="str">
        <f>IFERROR(__xludf.DUMMYFUNCTION("""COMPUTED_VALUE"""),"https://i.postimg.cc/P5XhRWY7/Red-Defender.png")</f>
        <v>https://i.postimg.cc/P5XhRWY7/Red-Defender.png</v>
      </c>
      <c r="J302" s="267" t="str">
        <f>IFERROR(__xludf.DUMMYFUNCTION("""COMPUTED_VALUE"""),"Beginning of the Game")</f>
        <v>Beginning of the Game</v>
      </c>
      <c r="K302" s="263"/>
    </row>
    <row r="303">
      <c r="A303" s="269"/>
      <c r="B303" s="264">
        <f>IFERROR(__xludf.DUMMYFUNCTION("""COMPUTED_VALUE"""),42.0)</f>
        <v>42</v>
      </c>
      <c r="C303" s="265" t="str">
        <f>IFERROR(__xludf.DUMMYFUNCTION("""COMPUTED_VALUE"""),"https://i.postimg.cc/7ZSFVRXb/042-Drum-Kingdom-Former-Ruler-Wapol.png")</f>
        <v>https://i.postimg.cc/7ZSFVRXb/042-Drum-Kingdom-Former-Ruler-Wapol.png</v>
      </c>
      <c r="D303" s="266" t="str">
        <f>IFERROR(__xludf.DUMMYFUNCTION("""COMPUTED_VALUE"""),"Drum Kingdom / Former Ruler ~ Wapol")</f>
        <v>Drum Kingdom / Former Ruler ~ Wapol</v>
      </c>
      <c r="E303" s="266" t="str">
        <f>IFERROR(__xludf.DUMMYFUNCTION("""COMPUTED_VALUE"""),"4 Stars")</f>
        <v>4 Stars</v>
      </c>
      <c r="F303" s="266" t="str">
        <f>IFERROR(__xludf.DUMMYFUNCTION("""COMPUTED_VALUE"""),"Step Up")</f>
        <v>Step Up</v>
      </c>
      <c r="G303" s="266" t="str">
        <f>IFERROR(__xludf.DUMMYFUNCTION("""COMPUTED_VALUE"""),"Defender(s) ~ Paramecia ~ Captain ~ Power users ~ The Grand Line ~ Royalty / Former Royalty")</f>
        <v>Defender(s) ~ Paramecia ~ Captain ~ Power users ~ The Grand Line ~ Royalty / Former Royalty</v>
      </c>
      <c r="H303" s="266" t="str">
        <f>IFERROR(__xludf.DUMMYFUNCTION("""COMPUTED_VALUE"""),"Green ~ Defender")</f>
        <v>Green ~ Defender</v>
      </c>
      <c r="I303" s="265" t="str">
        <f>IFERROR(__xludf.DUMMYFUNCTION("""COMPUTED_VALUE"""),"https://i.postimg.cc/qRhpGpyM/Green-Defender.png")</f>
        <v>https://i.postimg.cc/qRhpGpyM/Green-Defender.png</v>
      </c>
      <c r="J303" s="267" t="str">
        <f>IFERROR(__xludf.DUMMYFUNCTION("""COMPUTED_VALUE"""),"Beginning of the Game")</f>
        <v>Beginning of the Game</v>
      </c>
      <c r="K303" s="263"/>
    </row>
    <row r="304">
      <c r="A304" s="269"/>
      <c r="B304" s="264">
        <f>IFERROR(__xludf.DUMMYFUNCTION("""COMPUTED_VALUE"""),41.0)</f>
        <v>41</v>
      </c>
      <c r="C304" s="265" t="str">
        <f>IFERROR(__xludf.DUMMYFUNCTION("""COMPUTED_VALUE"""),"https://i.postimg.cc/cLqqfWRV/041-Navy-HQ-Captain-Smoker.png")</f>
        <v>https://i.postimg.cc/cLqqfWRV/041-Navy-HQ-Captain-Smoker.png</v>
      </c>
      <c r="D304" s="266" t="str">
        <f>IFERROR(__xludf.DUMMYFUNCTION("""COMPUTED_VALUE"""),"Navy HQ / Captain ~ Smoker")</f>
        <v>Navy HQ / Captain ~ Smoker</v>
      </c>
      <c r="E304" s="266" t="str">
        <f>IFERROR(__xludf.DUMMYFUNCTION("""COMPUTED_VALUE"""),"4 Stars")</f>
        <v>4 Stars</v>
      </c>
      <c r="F304" s="266" t="str">
        <f>IFERROR(__xludf.DUMMYFUNCTION("""COMPUTED_VALUE"""),"Step Up")</f>
        <v>Step Up</v>
      </c>
      <c r="G304" s="266" t="str">
        <f>IFERROR(__xludf.DUMMYFUNCTION("""COMPUTED_VALUE"""),"Defender(s) ~ Navy ~ Logia ~ Power users ~ The Grand Line")</f>
        <v>Defender(s) ~ Navy ~ Logia ~ Power users ~ The Grand Line</v>
      </c>
      <c r="H304" s="266" t="str">
        <f>IFERROR(__xludf.DUMMYFUNCTION("""COMPUTED_VALUE"""),"Green ~ Defender")</f>
        <v>Green ~ Defender</v>
      </c>
      <c r="I304" s="265" t="str">
        <f>IFERROR(__xludf.DUMMYFUNCTION("""COMPUTED_VALUE"""),"https://i.postimg.cc/qRhpGpyM/Green-Defender.png")</f>
        <v>https://i.postimg.cc/qRhpGpyM/Green-Defender.png</v>
      </c>
      <c r="J304" s="267" t="str">
        <f>IFERROR(__xludf.DUMMYFUNCTION("""COMPUTED_VALUE"""),"Beginning of the Game")</f>
        <v>Beginning of the Game</v>
      </c>
      <c r="K304" s="263"/>
    </row>
    <row r="305">
      <c r="A305" s="269"/>
      <c r="B305" s="264">
        <f>IFERROR(__xludf.DUMMYFUNCTION("""COMPUTED_VALUE"""),40.0)</f>
        <v>40</v>
      </c>
      <c r="C305" s="265" t="str">
        <f>IFERROR(__xludf.DUMMYFUNCTION("""COMPUTED_VALUE"""),"https://i.postimg.cc/mDgKTg4F/040-30-Million-Berry-Bounty-Monkey-D-Luffy.png")</f>
        <v>https://i.postimg.cc/mDgKTg4F/040-30-Million-Berry-Bounty-Monkey-D-Luffy.png</v>
      </c>
      <c r="D305" s="266" t="str">
        <f>IFERROR(__xludf.DUMMYFUNCTION("""COMPUTED_VALUE"""),"30 Million Berry Bounty ~ Monkey D. Luffy")</f>
        <v>30 Million Berry Bounty ~ Monkey D. Luffy</v>
      </c>
      <c r="E305" s="266" t="str">
        <f>IFERROR(__xludf.DUMMYFUNCTION("""COMPUTED_VALUE"""),"4 Stars")</f>
        <v>4 Stars</v>
      </c>
      <c r="F305" s="266" t="str">
        <f>IFERROR(__xludf.DUMMYFUNCTION("""COMPUTED_VALUE"""),"Step Up")</f>
        <v>Step Up</v>
      </c>
      <c r="G305" s="266" t="str">
        <f>IFERROR(__xludf.DUMMYFUNCTION("""COMPUTED_VALUE"""),"Attacker(s) ~ Straw Hat Pirates ~ Paramecia ~ Captain ~ Power users ~ The Grand Line")</f>
        <v>Attacker(s) ~ Straw Hat Pirates ~ Paramecia ~ Captain ~ Power users ~ The Grand Line</v>
      </c>
      <c r="H305" s="266" t="str">
        <f>IFERROR(__xludf.DUMMYFUNCTION("""COMPUTED_VALUE"""),"Red ~ Attacker")</f>
        <v>Red ~ Attacker</v>
      </c>
      <c r="I305" s="265" t="str">
        <f>IFERROR(__xludf.DUMMYFUNCTION("""COMPUTED_VALUE"""),"https://i.postimg.cc/L6B2DCYf/Red-Attacker.png")</f>
        <v>https://i.postimg.cc/L6B2DCYf/Red-Attacker.png</v>
      </c>
      <c r="J305" s="267" t="str">
        <f>IFERROR(__xludf.DUMMYFUNCTION("""COMPUTED_VALUE"""),"Beginning of the Game")</f>
        <v>Beginning of the Game</v>
      </c>
      <c r="K305" s="263"/>
    </row>
    <row r="306">
      <c r="A306" s="269"/>
      <c r="B306" s="264">
        <f>IFERROR(__xludf.DUMMYFUNCTION("""COMPUTED_VALUE"""),39.0)</f>
        <v>39</v>
      </c>
      <c r="C306" s="265" t="str">
        <f>IFERROR(__xludf.DUMMYFUNCTION("""COMPUTED_VALUE"""),"https://i.postimg.cc/0NfLgJTs/039-Arlong-Pirates-Captain-Arlong.png")</f>
        <v>https://i.postimg.cc/0NfLgJTs/039-Arlong-Pirates-Captain-Arlong.png</v>
      </c>
      <c r="D306" s="266" t="str">
        <f>IFERROR(__xludf.DUMMYFUNCTION("""COMPUTED_VALUE"""),"Arlong Pirates / Captain ~ Arlong")</f>
        <v>Arlong Pirates / Captain ~ Arlong</v>
      </c>
      <c r="E306" s="266" t="str">
        <f>IFERROR(__xludf.DUMMYFUNCTION("""COMPUTED_VALUE"""),"4 Stars")</f>
        <v>4 Stars</v>
      </c>
      <c r="F306" s="266" t="str">
        <f>IFERROR(__xludf.DUMMYFUNCTION("""COMPUTED_VALUE"""),"Step Up")</f>
        <v>Step Up</v>
      </c>
      <c r="G306" s="266" t="str">
        <f>IFERROR(__xludf.DUMMYFUNCTION("""COMPUTED_VALUE"""),"Attacker(s) ~ East Blue ~ Captain ~ Fish-Man")</f>
        <v>Attacker(s) ~ East Blue ~ Captain ~ Fish-Man</v>
      </c>
      <c r="H306" s="266" t="str">
        <f>IFERROR(__xludf.DUMMYFUNCTION("""COMPUTED_VALUE"""),"Blue ~ Attacker")</f>
        <v>Blue ~ Attacker</v>
      </c>
      <c r="I306" s="265" t="str">
        <f>IFERROR(__xludf.DUMMYFUNCTION("""COMPUTED_VALUE"""),"https://i.postimg.cc/1zRtDxvf/Blue-Attacker.png")</f>
        <v>https://i.postimg.cc/1zRtDxvf/Blue-Attacker.png</v>
      </c>
      <c r="J306" s="267" t="str">
        <f>IFERROR(__xludf.DUMMYFUNCTION("""COMPUTED_VALUE"""),"Beginning of the Game")</f>
        <v>Beginning of the Game</v>
      </c>
      <c r="K306" s="263"/>
    </row>
    <row r="307">
      <c r="A307" s="269"/>
      <c r="B307" s="264">
        <f>IFERROR(__xludf.DUMMYFUNCTION("""COMPUTED_VALUE"""),38.0)</f>
        <v>38</v>
      </c>
      <c r="C307" s="265" t="str">
        <f>IFERROR(__xludf.DUMMYFUNCTION("""COMPUTED_VALUE"""),"https://i.postimg.cc/269MyNj9/038-The-Seven-Warlords-of-the-Sea-Dracule-Mihawk.png")</f>
        <v>https://i.postimg.cc/269MyNj9/038-The-Seven-Warlords-of-the-Sea-Dracule-Mihawk.png</v>
      </c>
      <c r="D307" s="266" t="str">
        <f>IFERROR(__xludf.DUMMYFUNCTION("""COMPUTED_VALUE"""),"The Seven Warlords of the Sea ~ Dracule Mihawk")</f>
        <v>The Seven Warlords of the Sea ~ Dracule Mihawk</v>
      </c>
      <c r="E307" s="266" t="str">
        <f>IFERROR(__xludf.DUMMYFUNCTION("""COMPUTED_VALUE"""),"4 Stars")</f>
        <v>4 Stars</v>
      </c>
      <c r="F307" s="266" t="str">
        <f>IFERROR(__xludf.DUMMYFUNCTION("""COMPUTED_VALUE"""),"Step Up")</f>
        <v>Step Up</v>
      </c>
      <c r="G307" s="266" t="str">
        <f>IFERROR(__xludf.DUMMYFUNCTION("""COMPUTED_VALUE"""),"Attacker(s) ~ East Blue ~ The Seven Warlords of the Sea / Former Warlords of the Sea")</f>
        <v>Attacker(s) ~ East Blue ~ The Seven Warlords of the Sea / Former Warlords of the Sea</v>
      </c>
      <c r="H307" s="266" t="str">
        <f>IFERROR(__xludf.DUMMYFUNCTION("""COMPUTED_VALUE"""),"Red ~ Attacker")</f>
        <v>Red ~ Attacker</v>
      </c>
      <c r="I307" s="265" t="str">
        <f>IFERROR(__xludf.DUMMYFUNCTION("""COMPUTED_VALUE"""),"https://i.postimg.cc/L6B2DCYf/Red-Attacker.png")</f>
        <v>https://i.postimg.cc/L6B2DCYf/Red-Attacker.png</v>
      </c>
      <c r="J307" s="267" t="str">
        <f>IFERROR(__xludf.DUMMYFUNCTION("""COMPUTED_VALUE"""),"Beginning of the Game")</f>
        <v>Beginning of the Game</v>
      </c>
      <c r="K307" s="263"/>
    </row>
    <row r="308">
      <c r="A308" s="269"/>
      <c r="B308" s="264">
        <f>IFERROR(__xludf.DUMMYFUNCTION("""COMPUTED_VALUE"""),37.0)</f>
        <v>37</v>
      </c>
      <c r="C308" s="265" t="str">
        <f>IFERROR(__xludf.DUMMYFUNCTION("""COMPUTED_VALUE"""),"https://i.postimg.cc/vT1j62cY/037-Girl-from-Syrub-Village-Kaya.png")</f>
        <v>https://i.postimg.cc/vT1j62cY/037-Girl-from-Syrub-Village-Kaya.png</v>
      </c>
      <c r="D308" s="266" t="str">
        <f>IFERROR(__xludf.DUMMYFUNCTION("""COMPUTED_VALUE"""),"Girl from Syrub Village ~ Kaya")</f>
        <v>Girl from Syrub Village ~ Kaya</v>
      </c>
      <c r="E308" s="266" t="str">
        <f>IFERROR(__xludf.DUMMYFUNCTION("""COMPUTED_VALUE"""),"4 Stars")</f>
        <v>4 Stars</v>
      </c>
      <c r="F308" s="266" t="str">
        <f>IFERROR(__xludf.DUMMYFUNCTION("""COMPUTED_VALUE"""),"Step Up")</f>
        <v>Step Up</v>
      </c>
      <c r="G308" s="266" t="str">
        <f>IFERROR(__xludf.DUMMYFUNCTION("""COMPUTED_VALUE"""),"Defender(s) ~ East Blue")</f>
        <v>Defender(s) ~ East Blue</v>
      </c>
      <c r="H308" s="266" t="str">
        <f>IFERROR(__xludf.DUMMYFUNCTION("""COMPUTED_VALUE"""),"Blue ~ Defender")</f>
        <v>Blue ~ Defender</v>
      </c>
      <c r="I308" s="265" t="str">
        <f>IFERROR(__xludf.DUMMYFUNCTION("""COMPUTED_VALUE"""),"https://i.postimg.cc/m2xg81dx/Blue-Defender.png")</f>
        <v>https://i.postimg.cc/m2xg81dx/Blue-Defender.png</v>
      </c>
      <c r="J308" s="267" t="str">
        <f>IFERROR(__xludf.DUMMYFUNCTION("""COMPUTED_VALUE"""),"Beginning of the Game")</f>
        <v>Beginning of the Game</v>
      </c>
      <c r="K308" s="263"/>
    </row>
    <row r="309">
      <c r="A309" s="269"/>
      <c r="B309" s="264">
        <f>IFERROR(__xludf.DUMMYFUNCTION("""COMPUTED_VALUE"""),36.0)</f>
        <v>36</v>
      </c>
      <c r="C309" s="265" t="str">
        <f>IFERROR(__xludf.DUMMYFUNCTION("""COMPUTED_VALUE"""),"https://i.postimg.cc/NFWn88H1/036-Red-Haired-Pirates-Sharp-Shooter-Yasopp.png")</f>
        <v>https://i.postimg.cc/NFWn88H1/036-Red-Haired-Pirates-Sharp-Shooter-Yasopp.png</v>
      </c>
      <c r="D309" s="266" t="str">
        <f>IFERROR(__xludf.DUMMYFUNCTION("""COMPUTED_VALUE"""),"Red-Haired Pirates / Sharp Shooter ~ Yasopp")</f>
        <v>Red-Haired Pirates / Sharp Shooter ~ Yasopp</v>
      </c>
      <c r="E309" s="266" t="str">
        <f>IFERROR(__xludf.DUMMYFUNCTION("""COMPUTED_VALUE"""),"4 Stars")</f>
        <v>4 Stars</v>
      </c>
      <c r="F309" s="266" t="str">
        <f>IFERROR(__xludf.DUMMYFUNCTION("""COMPUTED_VALUE"""),"Step Up")</f>
        <v>Step Up</v>
      </c>
      <c r="G309" s="266" t="str">
        <f>IFERROR(__xludf.DUMMYFUNCTION("""COMPUTED_VALUE"""),"Runner(s) ~ East Blue ~ Red-Haired Pirates ~ Long-Range Normal Attacks")</f>
        <v>Runner(s) ~ East Blue ~ Red-Haired Pirates ~ Long-Range Normal Attacks</v>
      </c>
      <c r="H309" s="266" t="str">
        <f>IFERROR(__xludf.DUMMYFUNCTION("""COMPUTED_VALUE"""),"Green ~ Runner")</f>
        <v>Green ~ Runner</v>
      </c>
      <c r="I309" s="265" t="str">
        <f>IFERROR(__xludf.DUMMYFUNCTION("""COMPUTED_VALUE"""),"https://i.postimg.cc/PxgT30Qb/Green-Runner.png")</f>
        <v>https://i.postimg.cc/PxgT30Qb/Green-Runner.png</v>
      </c>
      <c r="J309" s="267" t="str">
        <f>IFERROR(__xludf.DUMMYFUNCTION("""COMPUTED_VALUE"""),"Beginning of the Game")</f>
        <v>Beginning of the Game</v>
      </c>
      <c r="K309" s="263"/>
    </row>
    <row r="310">
      <c r="A310" s="269"/>
      <c r="B310" s="264">
        <f>IFERROR(__xludf.DUMMYFUNCTION("""COMPUTED_VALUE"""),35.0)</f>
        <v>35</v>
      </c>
      <c r="C310" s="265" t="str">
        <f>IFERROR(__xludf.DUMMYFUNCTION("""COMPUTED_VALUE"""),"https://i.postimg.cc/9F7Kmk61/035-Red-Haired-Pirates-Captain-Shanks.png")</f>
        <v>https://i.postimg.cc/9F7Kmk61/035-Red-Haired-Pirates-Captain-Shanks.png</v>
      </c>
      <c r="D310" s="266" t="str">
        <f>IFERROR(__xludf.DUMMYFUNCTION("""COMPUTED_VALUE"""),"Red-Haired Pirates / Captain ~ Shanks")</f>
        <v>Red-Haired Pirates / Captain ~ Shanks</v>
      </c>
      <c r="E310" s="266" t="str">
        <f>IFERROR(__xludf.DUMMYFUNCTION("""COMPUTED_VALUE"""),"4 Stars")</f>
        <v>4 Stars</v>
      </c>
      <c r="F310" s="266" t="str">
        <f>IFERROR(__xludf.DUMMYFUNCTION("""COMPUTED_VALUE"""),"Free ~ 4 Stars")</f>
        <v>Free ~ 4 Stars</v>
      </c>
      <c r="G310" s="266" t="str">
        <f>IFERROR(__xludf.DUMMYFUNCTION("""COMPUTED_VALUE"""),"Defender(s) ~ East Blue ~ Red-Haired Pirates ~ Captain ~ Roger Pirates / Ex-Roger Pirates")</f>
        <v>Defender(s) ~ East Blue ~ Red-Haired Pirates ~ Captain ~ Roger Pirates / Ex-Roger Pirates</v>
      </c>
      <c r="H310" s="266" t="str">
        <f>IFERROR(__xludf.DUMMYFUNCTION("""COMPUTED_VALUE"""),"Red ~ Defender")</f>
        <v>Red ~ Defender</v>
      </c>
      <c r="I310" s="265" t="str">
        <f>IFERROR(__xludf.DUMMYFUNCTION("""COMPUTED_VALUE"""),"https://i.postimg.cc/P5XhRWY7/Red-Defender.png")</f>
        <v>https://i.postimg.cc/P5XhRWY7/Red-Defender.png</v>
      </c>
      <c r="J310" s="267" t="str">
        <f>IFERROR(__xludf.DUMMYFUNCTION("""COMPUTED_VALUE"""),"Beginning of the Game")</f>
        <v>Beginning of the Game</v>
      </c>
      <c r="K310" s="263"/>
    </row>
    <row r="311">
      <c r="A311" s="269"/>
      <c r="B311" s="264">
        <f>IFERROR(__xludf.DUMMYFUNCTION("""COMPUTED_VALUE"""),34.0)</f>
        <v>34</v>
      </c>
      <c r="C311" s="265" t="str">
        <f>IFERROR(__xludf.DUMMYFUNCTION("""COMPUTED_VALUE"""),"https://i.postimg.cc/jq9BrTFL/034-Obe-Sword-Style-Iai-Lion-Song-Roronoa-Zoro.png")</f>
        <v>https://i.postimg.cc/jq9BrTFL/034-Obe-Sword-Style-Iai-Lion-Song-Roronoa-Zoro.png</v>
      </c>
      <c r="D311" s="266" t="str">
        <f>IFERROR(__xludf.DUMMYFUNCTION("""COMPUTED_VALUE"""),"Obe-Sword Style Iai Lion Song ~ Roronoa Zoro")</f>
        <v>Obe-Sword Style Iai Lion Song ~ Roronoa Zoro</v>
      </c>
      <c r="E311" s="266" t="str">
        <f>IFERROR(__xludf.DUMMYFUNCTION("""COMPUTED_VALUE"""),"3 Stars")</f>
        <v>3 Stars</v>
      </c>
      <c r="F311" s="266" t="str">
        <f>IFERROR(__xludf.DUMMYFUNCTION("""COMPUTED_VALUE"""),"Free ~ 3 Stars")</f>
        <v>Free ~ 3 Stars</v>
      </c>
      <c r="G311" s="266" t="str">
        <f>IFERROR(__xludf.DUMMYFUNCTION("""COMPUTED_VALUE"""),"Attacker(s) ~ Straw Hat Pirates ~ The Grand Line")</f>
        <v>Attacker(s) ~ Straw Hat Pirates ~ The Grand Line</v>
      </c>
      <c r="H311" s="266" t="str">
        <f>IFERROR(__xludf.DUMMYFUNCTION("""COMPUTED_VALUE"""),"Green ~ Attacker")</f>
        <v>Green ~ Attacker</v>
      </c>
      <c r="I311" s="265" t="str">
        <f>IFERROR(__xludf.DUMMYFUNCTION("""COMPUTED_VALUE"""),"https://i.postimg.cc/0NH8mz6B/Green-Attacker.png")</f>
        <v>https://i.postimg.cc/0NH8mz6B/Green-Attacker.png</v>
      </c>
      <c r="J311" s="267" t="str">
        <f>IFERROR(__xludf.DUMMYFUNCTION("""COMPUTED_VALUE"""),"Beginning of the Game")</f>
        <v>Beginning of the Game</v>
      </c>
      <c r="K311" s="263"/>
    </row>
    <row r="312">
      <c r="A312" s="269"/>
      <c r="B312" s="264">
        <f>IFERROR(__xludf.DUMMYFUNCTION("""COMPUTED_VALUE"""),33.0)</f>
        <v>33</v>
      </c>
      <c r="C312" s="265" t="str">
        <f>IFERROR(__xludf.DUMMYFUNCTION("""COMPUTED_VALUE"""),"https://i.postimg.cc/y8C5kPBK/033-Veau-Vengeance-Sanji.png")</f>
        <v>https://i.postimg.cc/y8C5kPBK/033-Veau-Vengeance-Sanji.png</v>
      </c>
      <c r="D312" s="266" t="str">
        <f>IFERROR(__xludf.DUMMYFUNCTION("""COMPUTED_VALUE"""),"Veau Vengeance ~ Sanji")</f>
        <v>Veau Vengeance ~ Sanji</v>
      </c>
      <c r="E312" s="266" t="str">
        <f>IFERROR(__xludf.DUMMYFUNCTION("""COMPUTED_VALUE"""),"3 Stars")</f>
        <v>3 Stars</v>
      </c>
      <c r="F312" s="266" t="str">
        <f>IFERROR(__xludf.DUMMYFUNCTION("""COMPUTED_VALUE"""),"3 Stars")</f>
        <v>3 Stars</v>
      </c>
      <c r="G312" s="266" t="str">
        <f>IFERROR(__xludf.DUMMYFUNCTION("""COMPUTED_VALUE"""),"Defender(s) ~ Straw Hat Pirates ~ The Grand Line")</f>
        <v>Defender(s) ~ Straw Hat Pirates ~ The Grand Line</v>
      </c>
      <c r="H312" s="266" t="str">
        <f>IFERROR(__xludf.DUMMYFUNCTION("""COMPUTED_VALUE"""),"Blue ~ Defender")</f>
        <v>Blue ~ Defender</v>
      </c>
      <c r="I312" s="265" t="str">
        <f>IFERROR(__xludf.DUMMYFUNCTION("""COMPUTED_VALUE"""),"https://i.postimg.cc/m2xg81dx/Blue-Defender.png")</f>
        <v>https://i.postimg.cc/m2xg81dx/Blue-Defender.png</v>
      </c>
      <c r="J312" s="267" t="str">
        <f>IFERROR(__xludf.DUMMYFUNCTION("""COMPUTED_VALUE"""),"Beginning of the Game")</f>
        <v>Beginning of the Game</v>
      </c>
      <c r="K312" s="263"/>
    </row>
    <row r="313">
      <c r="A313" s="269"/>
      <c r="B313" s="264">
        <f>IFERROR(__xludf.DUMMYFUNCTION("""COMPUTED_VALUE"""),32.0)</f>
        <v>32</v>
      </c>
      <c r="C313" s="265" t="str">
        <f>IFERROR(__xludf.DUMMYFUNCTION("""COMPUTED_VALUE"""),"https://i.postimg.cc/zfJckGVP/032-5t-Hammer-Usopp.png")</f>
        <v>https://i.postimg.cc/zfJckGVP/032-5t-Hammer-Usopp.png</v>
      </c>
      <c r="D313" s="266" t="str">
        <f>IFERROR(__xludf.DUMMYFUNCTION("""COMPUTED_VALUE"""),"5t Hammer ~ Usopp")</f>
        <v>5t Hammer ~ Usopp</v>
      </c>
      <c r="E313" s="266" t="str">
        <f>IFERROR(__xludf.DUMMYFUNCTION("""COMPUTED_VALUE"""),"3 Stars")</f>
        <v>3 Stars</v>
      </c>
      <c r="F313" s="266" t="str">
        <f>IFERROR(__xludf.DUMMYFUNCTION("""COMPUTED_VALUE"""),"3 Stars")</f>
        <v>3 Stars</v>
      </c>
      <c r="G313" s="266" t="str">
        <f>IFERROR(__xludf.DUMMYFUNCTION("""COMPUTED_VALUE"""),"Attacker(s) ~ Straw Hat Pirates ~ The Grand Line")</f>
        <v>Attacker(s) ~ Straw Hat Pirates ~ The Grand Line</v>
      </c>
      <c r="H313" s="266" t="str">
        <f>IFERROR(__xludf.DUMMYFUNCTION("""COMPUTED_VALUE"""),"Blue ~ Attacker")</f>
        <v>Blue ~ Attacker</v>
      </c>
      <c r="I313" s="265" t="str">
        <f>IFERROR(__xludf.DUMMYFUNCTION("""COMPUTED_VALUE"""),"https://i.postimg.cc/1zRtDxvf/Blue-Attacker.png")</f>
        <v>https://i.postimg.cc/1zRtDxvf/Blue-Attacker.png</v>
      </c>
      <c r="J313" s="267" t="str">
        <f>IFERROR(__xludf.DUMMYFUNCTION("""COMPUTED_VALUE"""),"Beginning of the Game")</f>
        <v>Beginning of the Game</v>
      </c>
      <c r="K313" s="263"/>
    </row>
    <row r="314">
      <c r="A314" s="269"/>
      <c r="B314" s="264">
        <f>IFERROR(__xludf.DUMMYFUNCTION("""COMPUTED_VALUE"""),31.0)</f>
        <v>31</v>
      </c>
      <c r="C314" s="265" t="str">
        <f>IFERROR(__xludf.DUMMYFUNCTION("""COMPUTED_VALUE"""),"https://i.postimg.cc/XJq1T1Kf/031-Climate-Baton-Nami.png")</f>
        <v>https://i.postimg.cc/XJq1T1Kf/031-Climate-Baton-Nami.png</v>
      </c>
      <c r="D314" s="266" t="str">
        <f>IFERROR(__xludf.DUMMYFUNCTION("""COMPUTED_VALUE"""),"Climate Baton ~ Nami")</f>
        <v>Climate Baton ~ Nami</v>
      </c>
      <c r="E314" s="266" t="str">
        <f>IFERROR(__xludf.DUMMYFUNCTION("""COMPUTED_VALUE"""),"3 Stars")</f>
        <v>3 Stars</v>
      </c>
      <c r="F314" s="266" t="str">
        <f>IFERROR(__xludf.DUMMYFUNCTION("""COMPUTED_VALUE"""),"3 Stars")</f>
        <v>3 Stars</v>
      </c>
      <c r="G314" s="266" t="str">
        <f>IFERROR(__xludf.DUMMYFUNCTION("""COMPUTED_VALUE"""),"Attacker(s) ~ Straw Hat Pirates ~ The Grand Line ~ Long-Range Normal Attacks")</f>
        <v>Attacker(s) ~ Straw Hat Pirates ~ The Grand Line ~ Long-Range Normal Attacks</v>
      </c>
      <c r="H314" s="266" t="str">
        <f>IFERROR(__xludf.DUMMYFUNCTION("""COMPUTED_VALUE"""),"Green ~ Attacker")</f>
        <v>Green ~ Attacker</v>
      </c>
      <c r="I314" s="265" t="str">
        <f>IFERROR(__xludf.DUMMYFUNCTION("""COMPUTED_VALUE"""),"https://i.postimg.cc/0NH8mz6B/Green-Attacker.png")</f>
        <v>https://i.postimg.cc/0NH8mz6B/Green-Attacker.png</v>
      </c>
      <c r="J314" s="267" t="str">
        <f>IFERROR(__xludf.DUMMYFUNCTION("""COMPUTED_VALUE"""),"Beginning of the Game")</f>
        <v>Beginning of the Game</v>
      </c>
      <c r="K314" s="263"/>
    </row>
    <row r="315">
      <c r="A315" s="269"/>
      <c r="B315" s="264">
        <f>IFERROR(__xludf.DUMMYFUNCTION("""COMPUTED_VALUE"""),30.0)</f>
        <v>30</v>
      </c>
      <c r="C315" s="265" t="str">
        <f>IFERROR(__xludf.DUMMYFUNCTION("""COMPUTED_VALUE"""),"https://i.postimg.cc/hGp3ZRm4/030-Baroque-Works-Frontier-Agents-Ms-Wednesday.png")</f>
        <v>https://i.postimg.cc/hGp3ZRm4/030-Baroque-Works-Frontier-Agents-Ms-Wednesday.png</v>
      </c>
      <c r="D315" s="266" t="str">
        <f>IFERROR(__xludf.DUMMYFUNCTION("""COMPUTED_VALUE"""),"Baroque Works / Frontier Agents ~ Ms. Wednesday")</f>
        <v>Baroque Works / Frontier Agents ~ Ms. Wednesday</v>
      </c>
      <c r="E315" s="266" t="str">
        <f>IFERROR(__xludf.DUMMYFUNCTION("""COMPUTED_VALUE"""),"3 Stars")</f>
        <v>3 Stars</v>
      </c>
      <c r="F315" s="266" t="str">
        <f>IFERROR(__xludf.DUMMYFUNCTION("""COMPUTED_VALUE"""),"3 Stars")</f>
        <v>3 Stars</v>
      </c>
      <c r="G315" s="266" t="str">
        <f>IFERROR(__xludf.DUMMYFUNCTION("""COMPUTED_VALUE"""),"Runner(s) ~ Baroque Works ~ The Grand Line")</f>
        <v>Runner(s) ~ Baroque Works ~ The Grand Line</v>
      </c>
      <c r="H315" s="266" t="str">
        <f>IFERROR(__xludf.DUMMYFUNCTION("""COMPUTED_VALUE"""),"Blue ~ Runner")</f>
        <v>Blue ~ Runner</v>
      </c>
      <c r="I315" s="265" t="str">
        <f>IFERROR(__xludf.DUMMYFUNCTION("""COMPUTED_VALUE"""),"https://i.postimg.cc/4NzNM4MY/Blue-Runner.png")</f>
        <v>https://i.postimg.cc/4NzNM4MY/Blue-Runner.png</v>
      </c>
      <c r="J315" s="267" t="str">
        <f>IFERROR(__xludf.DUMMYFUNCTION("""COMPUTED_VALUE"""),"Beginning of the Game")</f>
        <v>Beginning of the Game</v>
      </c>
      <c r="K315" s="263"/>
    </row>
    <row r="316">
      <c r="A316" s="269"/>
      <c r="B316" s="264">
        <f>IFERROR(__xludf.DUMMYFUNCTION("""COMPUTED_VALUE"""),29.0)</f>
        <v>29</v>
      </c>
      <c r="C316" s="265" t="str">
        <f>IFERROR(__xludf.DUMMYFUNCTION("""COMPUTED_VALUE"""),"https://i.postimg.cc/5yF7tHRj/029-Slip-Slip-Fruit-Alvida.png")</f>
        <v>https://i.postimg.cc/5yF7tHRj/029-Slip-Slip-Fruit-Alvida.png</v>
      </c>
      <c r="D316" s="266" t="str">
        <f>IFERROR(__xludf.DUMMYFUNCTION("""COMPUTED_VALUE"""),"Slip-Slip Fruit ~ Alvida")</f>
        <v>Slip-Slip Fruit ~ Alvida</v>
      </c>
      <c r="E316" s="266" t="str">
        <f>IFERROR(__xludf.DUMMYFUNCTION("""COMPUTED_VALUE"""),"3 Stars")</f>
        <v>3 Stars</v>
      </c>
      <c r="F316" s="266" t="str">
        <f>IFERROR(__xludf.DUMMYFUNCTION("""COMPUTED_VALUE"""),"3 Stars")</f>
        <v>3 Stars</v>
      </c>
      <c r="G316" s="266" t="str">
        <f>IFERROR(__xludf.DUMMYFUNCTION("""COMPUTED_VALUE"""),"Runner(s) ~ Paramecia ~ Captain ~ Power users ~ The Grand Line")</f>
        <v>Runner(s) ~ Paramecia ~ Captain ~ Power users ~ The Grand Line</v>
      </c>
      <c r="H316" s="266" t="str">
        <f>IFERROR(__xludf.DUMMYFUNCTION("""COMPUTED_VALUE"""),"Green ~ Runner")</f>
        <v>Green ~ Runner</v>
      </c>
      <c r="I316" s="265" t="str">
        <f>IFERROR(__xludf.DUMMYFUNCTION("""COMPUTED_VALUE"""),"https://i.postimg.cc/PxgT30Qb/Green-Runner.png")</f>
        <v>https://i.postimg.cc/PxgT30Qb/Green-Runner.png</v>
      </c>
      <c r="J316" s="267" t="str">
        <f>IFERROR(__xludf.DUMMYFUNCTION("""COMPUTED_VALUE"""),"Beginning of the Game")</f>
        <v>Beginning of the Game</v>
      </c>
      <c r="K316" s="263"/>
    </row>
    <row r="317">
      <c r="A317" s="269"/>
      <c r="B317" s="264">
        <f>IFERROR(__xludf.DUMMYFUNCTION("""COMPUTED_VALUE"""),28.0)</f>
        <v>28</v>
      </c>
      <c r="C317" s="265" t="str">
        <f>IFERROR(__xludf.DUMMYFUNCTION("""COMPUTED_VALUE"""),"https://i.postimg.cc/zBQ25wp9/028-Navy-HQ-Master-Chief-Petty-Officer-Tashigi.png")</f>
        <v>https://i.postimg.cc/zBQ25wp9/028-Navy-HQ-Master-Chief-Petty-Officer-Tashigi.png</v>
      </c>
      <c r="D317" s="266" t="str">
        <f>IFERROR(__xludf.DUMMYFUNCTION("""COMPUTED_VALUE"""),"Navy HQ / Master Chief Petty Officer ~ Tashigi")</f>
        <v>Navy HQ / Master Chief Petty Officer ~ Tashigi</v>
      </c>
      <c r="E317" s="266" t="str">
        <f>IFERROR(__xludf.DUMMYFUNCTION("""COMPUTED_VALUE"""),"3 Stars")</f>
        <v>3 Stars</v>
      </c>
      <c r="F317" s="266" t="str">
        <f>IFERROR(__xludf.DUMMYFUNCTION("""COMPUTED_VALUE"""),"3 Stars")</f>
        <v>3 Stars</v>
      </c>
      <c r="G317" s="266" t="str">
        <f>IFERROR(__xludf.DUMMYFUNCTION("""COMPUTED_VALUE"""),"Runner(s) ~ Navy ~ The Grand Line")</f>
        <v>Runner(s) ~ Navy ~ The Grand Line</v>
      </c>
      <c r="H317" s="266" t="str">
        <f>IFERROR(__xludf.DUMMYFUNCTION("""COMPUTED_VALUE"""),"Blue ~ Runner")</f>
        <v>Blue ~ Runner</v>
      </c>
      <c r="I317" s="265" t="str">
        <f>IFERROR(__xludf.DUMMYFUNCTION("""COMPUTED_VALUE"""),"https://i.postimg.cc/4NzNM4MY/Blue-Runner.png")</f>
        <v>https://i.postimg.cc/4NzNM4MY/Blue-Runner.png</v>
      </c>
      <c r="J317" s="267" t="str">
        <f>IFERROR(__xludf.DUMMYFUNCTION("""COMPUTED_VALUE"""),"Beginning of the Game")</f>
        <v>Beginning of the Game</v>
      </c>
      <c r="K317" s="263"/>
    </row>
    <row r="318">
      <c r="A318" s="269"/>
      <c r="B318" s="264">
        <f>IFERROR(__xludf.DUMMYFUNCTION("""COMPUTED_VALUE"""),27.0)</f>
        <v>27</v>
      </c>
      <c r="C318" s="265" t="str">
        <f>IFERROR(__xludf.DUMMYFUNCTION("""COMPUTED_VALUE"""),"https://i.postimg.cc/jqwtfMVn/027-Arlong-Pirates-Officer-Choo.png")</f>
        <v>https://i.postimg.cc/jqwtfMVn/027-Arlong-Pirates-Officer-Choo.png</v>
      </c>
      <c r="D318" s="266" t="str">
        <f>IFERROR(__xludf.DUMMYFUNCTION("""COMPUTED_VALUE"""),"Arlong Pirates / Officer ~ Choo")</f>
        <v>Arlong Pirates / Officer ~ Choo</v>
      </c>
      <c r="E318" s="266" t="str">
        <f>IFERROR(__xludf.DUMMYFUNCTION("""COMPUTED_VALUE"""),"3 Stars")</f>
        <v>3 Stars</v>
      </c>
      <c r="F318" s="266" t="str">
        <f>IFERROR(__xludf.DUMMYFUNCTION("""COMPUTED_VALUE"""),"3 Stars")</f>
        <v>3 Stars</v>
      </c>
      <c r="G318" s="266" t="str">
        <f>IFERROR(__xludf.DUMMYFUNCTION("""COMPUTED_VALUE"""),"Attacker(s) ~ East Blue ~ Fish-Man ~ Long-Range Normal Attacks")</f>
        <v>Attacker(s) ~ East Blue ~ Fish-Man ~ Long-Range Normal Attacks</v>
      </c>
      <c r="H318" s="266" t="str">
        <f>IFERROR(__xludf.DUMMYFUNCTION("""COMPUTED_VALUE"""),"Green ~ Attacker")</f>
        <v>Green ~ Attacker</v>
      </c>
      <c r="I318" s="265" t="str">
        <f>IFERROR(__xludf.DUMMYFUNCTION("""COMPUTED_VALUE"""),"https://i.postimg.cc/0NH8mz6B/Green-Attacker.png")</f>
        <v>https://i.postimg.cc/0NH8mz6B/Green-Attacker.png</v>
      </c>
      <c r="J318" s="267" t="str">
        <f>IFERROR(__xludf.DUMMYFUNCTION("""COMPUTED_VALUE"""),"Beginning of the Game")</f>
        <v>Beginning of the Game</v>
      </c>
      <c r="K318" s="263"/>
    </row>
    <row r="319">
      <c r="A319" s="269"/>
      <c r="B319" s="264">
        <f>IFERROR(__xludf.DUMMYFUNCTION("""COMPUTED_VALUE"""),26.0)</f>
        <v>26</v>
      </c>
      <c r="C319" s="265" t="str">
        <f>IFERROR(__xludf.DUMMYFUNCTION("""COMPUTED_VALUE"""),"https://i.postimg.cc/SjFZYyBd/026-Arlong-Pirates-Officer-Kuroobi.png")</f>
        <v>https://i.postimg.cc/SjFZYyBd/026-Arlong-Pirates-Officer-Kuroobi.png</v>
      </c>
      <c r="D319" s="266" t="str">
        <f>IFERROR(__xludf.DUMMYFUNCTION("""COMPUTED_VALUE"""),"Arlong Pirates / Officer ~ Kuroobi")</f>
        <v>Arlong Pirates / Officer ~ Kuroobi</v>
      </c>
      <c r="E319" s="266" t="str">
        <f>IFERROR(__xludf.DUMMYFUNCTION("""COMPUTED_VALUE"""),"3 Stars")</f>
        <v>3 Stars</v>
      </c>
      <c r="F319" s="266" t="str">
        <f>IFERROR(__xludf.DUMMYFUNCTION("""COMPUTED_VALUE"""),"3 Stars")</f>
        <v>3 Stars</v>
      </c>
      <c r="G319" s="266" t="str">
        <f>IFERROR(__xludf.DUMMYFUNCTION("""COMPUTED_VALUE"""),"Defender(s) ~ East Blue ~ Fish-Man")</f>
        <v>Defender(s) ~ East Blue ~ Fish-Man</v>
      </c>
      <c r="H319" s="266" t="str">
        <f>IFERROR(__xludf.DUMMYFUNCTION("""COMPUTED_VALUE"""),"Blue ~ Defender")</f>
        <v>Blue ~ Defender</v>
      </c>
      <c r="I319" s="265" t="str">
        <f>IFERROR(__xludf.DUMMYFUNCTION("""COMPUTED_VALUE"""),"https://i.postimg.cc/m2xg81dx/Blue-Defender.png")</f>
        <v>https://i.postimg.cc/m2xg81dx/Blue-Defender.png</v>
      </c>
      <c r="J319" s="267" t="str">
        <f>IFERROR(__xludf.DUMMYFUNCTION("""COMPUTED_VALUE"""),"Beginning of the Game")</f>
        <v>Beginning of the Game</v>
      </c>
      <c r="K319" s="263"/>
    </row>
    <row r="320">
      <c r="A320" s="269"/>
      <c r="B320" s="264">
        <f>IFERROR(__xludf.DUMMYFUNCTION("""COMPUTED_VALUE"""),25.0)</f>
        <v>25</v>
      </c>
      <c r="C320" s="265" t="str">
        <f>IFERROR(__xludf.DUMMYFUNCTION("""COMPUTED_VALUE"""),"https://i.postimg.cc/PfghQ1h3/025-Arlong-Pirates-Officer-Hatchan.png")</f>
        <v>https://i.postimg.cc/PfghQ1h3/025-Arlong-Pirates-Officer-Hatchan.png</v>
      </c>
      <c r="D320" s="266" t="str">
        <f>IFERROR(__xludf.DUMMYFUNCTION("""COMPUTED_VALUE"""),"Arlong Pirates / Officer ~ Hatchan")</f>
        <v>Arlong Pirates / Officer ~ Hatchan</v>
      </c>
      <c r="E320" s="266" t="str">
        <f>IFERROR(__xludf.DUMMYFUNCTION("""COMPUTED_VALUE"""),"3 Stars")</f>
        <v>3 Stars</v>
      </c>
      <c r="F320" s="266" t="str">
        <f>IFERROR(__xludf.DUMMYFUNCTION("""COMPUTED_VALUE"""),"3 Stars")</f>
        <v>3 Stars</v>
      </c>
      <c r="G320" s="266" t="str">
        <f>IFERROR(__xludf.DUMMYFUNCTION("""COMPUTED_VALUE"""),"Attacker(s) ~ East Blue ~ Fish-Man")</f>
        <v>Attacker(s) ~ East Blue ~ Fish-Man</v>
      </c>
      <c r="H320" s="266" t="str">
        <f>IFERROR(__xludf.DUMMYFUNCTION("""COMPUTED_VALUE"""),"Red ~ Attacker")</f>
        <v>Red ~ Attacker</v>
      </c>
      <c r="I320" s="265" t="str">
        <f>IFERROR(__xludf.DUMMYFUNCTION("""COMPUTED_VALUE"""),"https://i.postimg.cc/L6B2DCYf/Red-Attacker.png")</f>
        <v>https://i.postimg.cc/L6B2DCYf/Red-Attacker.png</v>
      </c>
      <c r="J320" s="267" t="str">
        <f>IFERROR(__xludf.DUMMYFUNCTION("""COMPUTED_VALUE"""),"Beginning of the Game")</f>
        <v>Beginning of the Game</v>
      </c>
      <c r="K320" s="263"/>
    </row>
    <row r="321">
      <c r="A321" s="269"/>
      <c r="B321" s="264">
        <f>IFERROR(__xludf.DUMMYFUNCTION("""COMPUTED_VALUE"""),24.0)</f>
        <v>24</v>
      </c>
      <c r="C321" s="265" t="str">
        <f>IFERROR(__xludf.DUMMYFUNCTION("""COMPUTED_VALUE"""),"https://i.postimg.cc/c4fW96Ls/024-Krieg-s-Pirate-Armada-Admiral-Don-Krieg.png")</f>
        <v>https://i.postimg.cc/c4fW96Ls/024-Krieg-s-Pirate-Armada-Admiral-Don-Krieg.png</v>
      </c>
      <c r="D321" s="266" t="str">
        <f>IFERROR(__xludf.DUMMYFUNCTION("""COMPUTED_VALUE"""),"Krieg`s Pirate Armada / Admiral ~ Don Krieg")</f>
        <v>Krieg`s Pirate Armada / Admiral ~ Don Krieg</v>
      </c>
      <c r="E321" s="266" t="str">
        <f>IFERROR(__xludf.DUMMYFUNCTION("""COMPUTED_VALUE"""),"3 Stars")</f>
        <v>3 Stars</v>
      </c>
      <c r="F321" s="266" t="str">
        <f>IFERROR(__xludf.DUMMYFUNCTION("""COMPUTED_VALUE"""),"3 Stars")</f>
        <v>3 Stars</v>
      </c>
      <c r="G321" s="266" t="str">
        <f>IFERROR(__xludf.DUMMYFUNCTION("""COMPUTED_VALUE"""),"Defender(s) ~ East Blue ~ Captain")</f>
        <v>Defender(s) ~ East Blue ~ Captain</v>
      </c>
      <c r="H321" s="266" t="str">
        <f>IFERROR(__xludf.DUMMYFUNCTION("""COMPUTED_VALUE"""),"Green ~ Defender")</f>
        <v>Green ~ Defender</v>
      </c>
      <c r="I321" s="265" t="str">
        <f>IFERROR(__xludf.DUMMYFUNCTION("""COMPUTED_VALUE"""),"https://i.postimg.cc/qRhpGpyM/Green-Defender.png")</f>
        <v>https://i.postimg.cc/qRhpGpyM/Green-Defender.png</v>
      </c>
      <c r="J321" s="267" t="str">
        <f>IFERROR(__xludf.DUMMYFUNCTION("""COMPUTED_VALUE"""),"Beginning of the Game")</f>
        <v>Beginning of the Game</v>
      </c>
      <c r="K321" s="263"/>
    </row>
    <row r="322">
      <c r="A322" s="269"/>
      <c r="B322" s="264">
        <f>IFERROR(__xludf.DUMMYFUNCTION("""COMPUTED_VALUE"""),23.0)</f>
        <v>23</v>
      </c>
      <c r="C322" s="265" t="str">
        <f>IFERROR(__xludf.DUMMYFUNCTION("""COMPUTED_VALUE"""),"https://i.postimg.cc/0yxsLxz7/023-Krieg-s-Pirate-Armada-Battle-Commander-Gin.png")</f>
        <v>https://i.postimg.cc/0yxsLxz7/023-Krieg-s-Pirate-Armada-Battle-Commander-Gin.png</v>
      </c>
      <c r="D322" s="266" t="str">
        <f>IFERROR(__xludf.DUMMYFUNCTION("""COMPUTED_VALUE"""),"Krieg`s Pirate Armada / Battle Commander ~ Gin")</f>
        <v>Krieg`s Pirate Armada / Battle Commander ~ Gin</v>
      </c>
      <c r="E322" s="266" t="str">
        <f>IFERROR(__xludf.DUMMYFUNCTION("""COMPUTED_VALUE"""),"3 Stars")</f>
        <v>3 Stars</v>
      </c>
      <c r="F322" s="266" t="str">
        <f>IFERROR(__xludf.DUMMYFUNCTION("""COMPUTED_VALUE"""),"3 Stars")</f>
        <v>3 Stars</v>
      </c>
      <c r="G322" s="266" t="str">
        <f>IFERROR(__xludf.DUMMYFUNCTION("""COMPUTED_VALUE"""),"Attacker(s) ~ East Blue")</f>
        <v>Attacker(s) ~ East Blue</v>
      </c>
      <c r="H322" s="266" t="str">
        <f>IFERROR(__xludf.DUMMYFUNCTION("""COMPUTED_VALUE"""),"Red ~ Attacker")</f>
        <v>Red ~ Attacker</v>
      </c>
      <c r="I322" s="265" t="str">
        <f>IFERROR(__xludf.DUMMYFUNCTION("""COMPUTED_VALUE"""),"https://i.postimg.cc/L6B2DCYf/Red-Attacker.png")</f>
        <v>https://i.postimg.cc/L6B2DCYf/Red-Attacker.png</v>
      </c>
      <c r="J322" s="267" t="str">
        <f>IFERROR(__xludf.DUMMYFUNCTION("""COMPUTED_VALUE"""),"Beginning of the Game")</f>
        <v>Beginning of the Game</v>
      </c>
      <c r="K322" s="263"/>
    </row>
    <row r="323">
      <c r="A323" s="269"/>
      <c r="B323" s="264">
        <f>IFERROR(__xludf.DUMMYFUNCTION("""COMPUTED_VALUE"""),22.0)</f>
        <v>22</v>
      </c>
      <c r="C323" s="265" t="str">
        <f>IFERROR(__xludf.DUMMYFUNCTION("""COMPUTED_VALUE"""),"https://i.postimg.cc/xd1S1RyC/022-Baratie-Head-Chef-Zeff.png")</f>
        <v>https://i.postimg.cc/xd1S1RyC/022-Baratie-Head-Chef-Zeff.png</v>
      </c>
      <c r="D323" s="266" t="str">
        <f>IFERROR(__xludf.DUMMYFUNCTION("""COMPUTED_VALUE"""),"Baratie / Head Chef ~ Zeff")</f>
        <v>Baratie / Head Chef ~ Zeff</v>
      </c>
      <c r="E323" s="266" t="str">
        <f>IFERROR(__xludf.DUMMYFUNCTION("""COMPUTED_VALUE"""),"3 Stars")</f>
        <v>3 Stars</v>
      </c>
      <c r="F323" s="266" t="str">
        <f>IFERROR(__xludf.DUMMYFUNCTION("""COMPUTED_VALUE"""),"3 Stars")</f>
        <v>3 Stars</v>
      </c>
      <c r="G323" s="266" t="str">
        <f>IFERROR(__xludf.DUMMYFUNCTION("""COMPUTED_VALUE"""),"Defender(s) ~ East Blue")</f>
        <v>Defender(s) ~ East Blue</v>
      </c>
      <c r="H323" s="266" t="str">
        <f>IFERROR(__xludf.DUMMYFUNCTION("""COMPUTED_VALUE"""),"Red ~ Defender")</f>
        <v>Red ~ Defender</v>
      </c>
      <c r="I323" s="265" t="str">
        <f>IFERROR(__xludf.DUMMYFUNCTION("""COMPUTED_VALUE"""),"https://i.postimg.cc/P5XhRWY7/Red-Defender.png")</f>
        <v>https://i.postimg.cc/P5XhRWY7/Red-Defender.png</v>
      </c>
      <c r="J323" s="267" t="str">
        <f>IFERROR(__xludf.DUMMYFUNCTION("""COMPUTED_VALUE"""),"Beginning of the Game")</f>
        <v>Beginning of the Game</v>
      </c>
      <c r="K323" s="263"/>
    </row>
    <row r="324">
      <c r="A324" s="269"/>
      <c r="B324" s="264">
        <f>IFERROR(__xludf.DUMMYFUNCTION("""COMPUTED_VALUE"""),21.0)</f>
        <v>21</v>
      </c>
      <c r="C324" s="265" t="str">
        <f>IFERROR(__xludf.DUMMYFUNCTION("""COMPUTED_VALUE"""),"https://i.postimg.cc/FKCXdLDx/021-Black-Cat-Pirates-Former-Captain-Captain-Kuro.png")</f>
        <v>https://i.postimg.cc/FKCXdLDx/021-Black-Cat-Pirates-Former-Captain-Captain-Kuro.png</v>
      </c>
      <c r="D324" s="266" t="str">
        <f>IFERROR(__xludf.DUMMYFUNCTION("""COMPUTED_VALUE"""),"Black Cat Pirates / Former Captain ~ Captain Kuro")</f>
        <v>Black Cat Pirates / Former Captain ~ Captain Kuro</v>
      </c>
      <c r="E324" s="266" t="str">
        <f>IFERROR(__xludf.DUMMYFUNCTION("""COMPUTED_VALUE"""),"3 Stars")</f>
        <v>3 Stars</v>
      </c>
      <c r="F324" s="266" t="str">
        <f>IFERROR(__xludf.DUMMYFUNCTION("""COMPUTED_VALUE"""),"3 Stars")</f>
        <v>3 Stars</v>
      </c>
      <c r="G324" s="266" t="str">
        <f>IFERROR(__xludf.DUMMYFUNCTION("""COMPUTED_VALUE"""),"Attacker(s) ~ East Blue ~ Captain")</f>
        <v>Attacker(s) ~ East Blue ~ Captain</v>
      </c>
      <c r="H324" s="266" t="str">
        <f>IFERROR(__xludf.DUMMYFUNCTION("""COMPUTED_VALUE"""),"Green ~ Attacker")</f>
        <v>Green ~ Attacker</v>
      </c>
      <c r="I324" s="265" t="str">
        <f>IFERROR(__xludf.DUMMYFUNCTION("""COMPUTED_VALUE"""),"https://i.postimg.cc/0NH8mz6B/Green-Attacker.png")</f>
        <v>https://i.postimg.cc/0NH8mz6B/Green-Attacker.png</v>
      </c>
      <c r="J324" s="267" t="str">
        <f>IFERROR(__xludf.DUMMYFUNCTION("""COMPUTED_VALUE"""),"Beginning of the Game")</f>
        <v>Beginning of the Game</v>
      </c>
      <c r="K324" s="263"/>
    </row>
    <row r="325">
      <c r="A325" s="269"/>
      <c r="B325" s="264">
        <f>IFERROR(__xludf.DUMMYFUNCTION("""COMPUTED_VALUE"""),20.0)</f>
        <v>20</v>
      </c>
      <c r="C325" s="265" t="str">
        <f>IFERROR(__xludf.DUMMYFUNCTION("""COMPUTED_VALUE"""),"https://i.postimg.cc/k4V3xgHP/020-Buggy-Pirates-Captain-Buggy.png")</f>
        <v>https://i.postimg.cc/k4V3xgHP/020-Buggy-Pirates-Captain-Buggy.png</v>
      </c>
      <c r="D325" s="266" t="str">
        <f>IFERROR(__xludf.DUMMYFUNCTION("""COMPUTED_VALUE"""),"Buggy Pirates / Captain ~ Buggy")</f>
        <v>Buggy Pirates / Captain ~ Buggy</v>
      </c>
      <c r="E325" s="266" t="str">
        <f>IFERROR(__xludf.DUMMYFUNCTION("""COMPUTED_VALUE"""),"3 Stars")</f>
        <v>3 Stars</v>
      </c>
      <c r="F325" s="266" t="str">
        <f>IFERROR(__xludf.DUMMYFUNCTION("""COMPUTED_VALUE"""),"3 Stars")</f>
        <v>3 Stars</v>
      </c>
      <c r="G325" s="266" t="str">
        <f>IFERROR(__xludf.DUMMYFUNCTION("""COMPUTED_VALUE"""),"Runner(s) ~ East Blue ~ Paramecia ~ Captain ~ Power users ~ Roger Pirates / Ex-Roger Pirates")</f>
        <v>Runner(s) ~ East Blue ~ Paramecia ~ Captain ~ Power users ~ Roger Pirates / Ex-Roger Pirates</v>
      </c>
      <c r="H325" s="266" t="str">
        <f>IFERROR(__xludf.DUMMYFUNCTION("""COMPUTED_VALUE"""),"Red ~ Runner")</f>
        <v>Red ~ Runner</v>
      </c>
      <c r="I325" s="265" t="str">
        <f>IFERROR(__xludf.DUMMYFUNCTION("""COMPUTED_VALUE"""),"https://i.postimg.cc/Hk6HDrtk/Red-Runner.png")</f>
        <v>https://i.postimg.cc/Hk6HDrtk/Red-Runner.png</v>
      </c>
      <c r="J325" s="267" t="str">
        <f>IFERROR(__xludf.DUMMYFUNCTION("""COMPUTED_VALUE"""),"Beginning of the Game")</f>
        <v>Beginning of the Game</v>
      </c>
      <c r="K325" s="263"/>
    </row>
    <row r="326">
      <c r="A326" s="269"/>
      <c r="B326" s="264">
        <f>IFERROR(__xludf.DUMMYFUNCTION("""COMPUTED_VALUE"""),19.0)</f>
        <v>19</v>
      </c>
      <c r="C326" s="265" t="str">
        <f>IFERROR(__xludf.DUMMYFUNCTION("""COMPUTED_VALUE"""),"https://i.postimg.cc/brb7BF86/019-Bounty-Hunter-Johnny.png")</f>
        <v>https://i.postimg.cc/brb7BF86/019-Bounty-Hunter-Johnny.png</v>
      </c>
      <c r="D326" s="266" t="str">
        <f>IFERROR(__xludf.DUMMYFUNCTION("""COMPUTED_VALUE"""),"Bounty Hunter ~ Johnny")</f>
        <v>Bounty Hunter ~ Johnny</v>
      </c>
      <c r="E326" s="266" t="str">
        <f>IFERROR(__xludf.DUMMYFUNCTION("""COMPUTED_VALUE"""),"2 Stars")</f>
        <v>2 Stars</v>
      </c>
      <c r="F326" s="266" t="str">
        <f>IFERROR(__xludf.DUMMYFUNCTION("""COMPUTED_VALUE"""),"2 Stars")</f>
        <v>2 Stars</v>
      </c>
      <c r="G326" s="266" t="str">
        <f>IFERROR(__xludf.DUMMYFUNCTION("""COMPUTED_VALUE"""),"Runner(s) ~ East Blue")</f>
        <v>Runner(s) ~ East Blue</v>
      </c>
      <c r="H326" s="266" t="str">
        <f>IFERROR(__xludf.DUMMYFUNCTION("""COMPUTED_VALUE"""),"Blue ~ Runner")</f>
        <v>Blue ~ Runner</v>
      </c>
      <c r="I326" s="265" t="str">
        <f>IFERROR(__xludf.DUMMYFUNCTION("""COMPUTED_VALUE"""),"https://i.postimg.cc/4NzNM4MY/Blue-Runner.png")</f>
        <v>https://i.postimg.cc/4NzNM4MY/Blue-Runner.png</v>
      </c>
      <c r="J326" s="267" t="str">
        <f>IFERROR(__xludf.DUMMYFUNCTION("""COMPUTED_VALUE"""),"Beginning of the Game")</f>
        <v>Beginning of the Game</v>
      </c>
      <c r="K326" s="263"/>
    </row>
    <row r="327">
      <c r="A327" s="269"/>
      <c r="B327" s="264">
        <f>IFERROR(__xludf.DUMMYFUNCTION("""COMPUTED_VALUE"""),18.0)</f>
        <v>18</v>
      </c>
      <c r="C327" s="265" t="str">
        <f>IFERROR(__xludf.DUMMYFUNCTION("""COMPUTED_VALUE"""),"https://i.postimg.cc/J7kC0tJb/018-Bounty-Hunter-Yosaku.png")</f>
        <v>https://i.postimg.cc/J7kC0tJb/018-Bounty-Hunter-Yosaku.png</v>
      </c>
      <c r="D327" s="266" t="str">
        <f>IFERROR(__xludf.DUMMYFUNCTION("""COMPUTED_VALUE"""),"Bounty Hunter ~ Yosaku")</f>
        <v>Bounty Hunter ~ Yosaku</v>
      </c>
      <c r="E327" s="266" t="str">
        <f>IFERROR(__xludf.DUMMYFUNCTION("""COMPUTED_VALUE"""),"2 Stars")</f>
        <v>2 Stars</v>
      </c>
      <c r="F327" s="266" t="str">
        <f>IFERROR(__xludf.DUMMYFUNCTION("""COMPUTED_VALUE"""),"2 Stars")</f>
        <v>2 Stars</v>
      </c>
      <c r="G327" s="266" t="str">
        <f>IFERROR(__xludf.DUMMYFUNCTION("""COMPUTED_VALUE"""),"Runner(s) ~ East Blue")</f>
        <v>Runner(s) ~ East Blue</v>
      </c>
      <c r="H327" s="266" t="str">
        <f>IFERROR(__xludf.DUMMYFUNCTION("""COMPUTED_VALUE"""),"Red ~ Runner")</f>
        <v>Red ~ Runner</v>
      </c>
      <c r="I327" s="265" t="str">
        <f>IFERROR(__xludf.DUMMYFUNCTION("""COMPUTED_VALUE"""),"https://i.postimg.cc/Hk6HDrtk/Red-Runner.png")</f>
        <v>https://i.postimg.cc/Hk6HDrtk/Red-Runner.png</v>
      </c>
      <c r="J327" s="267" t="str">
        <f>IFERROR(__xludf.DUMMYFUNCTION("""COMPUTED_VALUE"""),"Beginning of the Game")</f>
        <v>Beginning of the Game</v>
      </c>
      <c r="K327" s="263"/>
    </row>
    <row r="328">
      <c r="A328" s="269"/>
      <c r="B328" s="264">
        <f>IFERROR(__xludf.DUMMYFUNCTION("""COMPUTED_VALUE"""),17.0)</f>
        <v>17</v>
      </c>
      <c r="C328" s="265" t="str">
        <f>IFERROR(__xludf.DUMMYFUNCTION("""COMPUTED_VALUE"""),"https://i.postimg.cc/dtRMRX53/017-Black-Cat-Pirates-Guard-Butchie.png")</f>
        <v>https://i.postimg.cc/dtRMRX53/017-Black-Cat-Pirates-Guard-Butchie.png</v>
      </c>
      <c r="D328" s="266" t="str">
        <f>IFERROR(__xludf.DUMMYFUNCTION("""COMPUTED_VALUE"""),"Black Cat Pirates / Guard ~ Butchie")</f>
        <v>Black Cat Pirates / Guard ~ Butchie</v>
      </c>
      <c r="E328" s="266" t="str">
        <f>IFERROR(__xludf.DUMMYFUNCTION("""COMPUTED_VALUE"""),"2 Stars")</f>
        <v>2 Stars</v>
      </c>
      <c r="F328" s="266" t="str">
        <f>IFERROR(__xludf.DUMMYFUNCTION("""COMPUTED_VALUE"""),"2 Stars")</f>
        <v>2 Stars</v>
      </c>
      <c r="G328" s="266" t="str">
        <f>IFERROR(__xludf.DUMMYFUNCTION("""COMPUTED_VALUE"""),"Defender(s) ~ East Blue")</f>
        <v>Defender(s) ~ East Blue</v>
      </c>
      <c r="H328" s="266" t="str">
        <f>IFERROR(__xludf.DUMMYFUNCTION("""COMPUTED_VALUE"""),"Blue ~ Defender")</f>
        <v>Blue ~ Defender</v>
      </c>
      <c r="I328" s="265" t="str">
        <f>IFERROR(__xludf.DUMMYFUNCTION("""COMPUTED_VALUE"""),"https://i.postimg.cc/m2xg81dx/Blue-Defender.png")</f>
        <v>https://i.postimg.cc/m2xg81dx/Blue-Defender.png</v>
      </c>
      <c r="J328" s="267" t="str">
        <f>IFERROR(__xludf.DUMMYFUNCTION("""COMPUTED_VALUE"""),"Beginning of the Game")</f>
        <v>Beginning of the Game</v>
      </c>
      <c r="K328" s="263"/>
    </row>
    <row r="329">
      <c r="A329" s="269"/>
      <c r="B329" s="264">
        <f>IFERROR(__xludf.DUMMYFUNCTION("""COMPUTED_VALUE"""),16.0)</f>
        <v>16</v>
      </c>
      <c r="C329" s="265" t="str">
        <f>IFERROR(__xludf.DUMMYFUNCTION("""COMPUTED_VALUE"""),"https://i.postimg.cc/J4CVkmcS/016-Black-Cat-Pirates-Captain-Django.png")</f>
        <v>https://i.postimg.cc/J4CVkmcS/016-Black-Cat-Pirates-Captain-Django.png</v>
      </c>
      <c r="D329" s="266" t="str">
        <f>IFERROR(__xludf.DUMMYFUNCTION("""COMPUTED_VALUE"""),"Black Cat Pirates / Captain ~ Django")</f>
        <v>Black Cat Pirates / Captain ~ Django</v>
      </c>
      <c r="E329" s="266" t="str">
        <f>IFERROR(__xludf.DUMMYFUNCTION("""COMPUTED_VALUE"""),"2 Stars")</f>
        <v>2 Stars</v>
      </c>
      <c r="F329" s="266" t="str">
        <f>IFERROR(__xludf.DUMMYFUNCTION("""COMPUTED_VALUE"""),"2 Stars")</f>
        <v>2 Stars</v>
      </c>
      <c r="G329" s="266" t="str">
        <f>IFERROR(__xludf.DUMMYFUNCTION("""COMPUTED_VALUE"""),"Attacker(s) ~ East Blue ~ Captain")</f>
        <v>Attacker(s) ~ East Blue ~ Captain</v>
      </c>
      <c r="H329" s="266" t="str">
        <f>IFERROR(__xludf.DUMMYFUNCTION("""COMPUTED_VALUE"""),"Red ~ Defender")</f>
        <v>Red ~ Defender</v>
      </c>
      <c r="I329" s="265" t="str">
        <f>IFERROR(__xludf.DUMMYFUNCTION("""COMPUTED_VALUE"""),"https://i.postimg.cc/P5XhRWY7/Red-Defender.png")</f>
        <v>https://i.postimg.cc/P5XhRWY7/Red-Defender.png</v>
      </c>
      <c r="J329" s="267" t="str">
        <f>IFERROR(__xludf.DUMMYFUNCTION("""COMPUTED_VALUE"""),"Beginning of the Game")</f>
        <v>Beginning of the Game</v>
      </c>
      <c r="K329" s="263"/>
    </row>
    <row r="330">
      <c r="A330" s="269"/>
      <c r="B330" s="264">
        <f>IFERROR(__xludf.DUMMYFUNCTION("""COMPUTED_VALUE"""),15.0)</f>
        <v>15</v>
      </c>
      <c r="C330" s="265" t="str">
        <f>IFERROR(__xludf.DUMMYFUNCTION("""COMPUTED_VALUE"""),"https://i.postimg.cc/3RPM9HM4/015-Buggy-Pirates-Chief-of-Staff-Cabaji.png")</f>
        <v>https://i.postimg.cc/3RPM9HM4/015-Buggy-Pirates-Chief-of-Staff-Cabaji.png</v>
      </c>
      <c r="D330" s="266" t="str">
        <f>IFERROR(__xludf.DUMMYFUNCTION("""COMPUTED_VALUE"""),"Buggy Pirates / Chief of Staff ~ Cabaji")</f>
        <v>Buggy Pirates / Chief of Staff ~ Cabaji</v>
      </c>
      <c r="E330" s="266" t="str">
        <f>IFERROR(__xludf.DUMMYFUNCTION("""COMPUTED_VALUE"""),"2 Stars")</f>
        <v>2 Stars</v>
      </c>
      <c r="F330" s="266" t="str">
        <f>IFERROR(__xludf.DUMMYFUNCTION("""COMPUTED_VALUE"""),"2 Stars")</f>
        <v>2 Stars</v>
      </c>
      <c r="G330" s="266" t="str">
        <f>IFERROR(__xludf.DUMMYFUNCTION("""COMPUTED_VALUE"""),"Runner(s) ~ East Blue")</f>
        <v>Runner(s) ~ East Blue</v>
      </c>
      <c r="H330" s="266" t="str">
        <f>IFERROR(__xludf.DUMMYFUNCTION("""COMPUTED_VALUE"""),"Green ~ Runner")</f>
        <v>Green ~ Runner</v>
      </c>
      <c r="I330" s="265" t="str">
        <f>IFERROR(__xludf.DUMMYFUNCTION("""COMPUTED_VALUE"""),"https://i.postimg.cc/PxgT30Qb/Green-Runner.png")</f>
        <v>https://i.postimg.cc/PxgT30Qb/Green-Runner.png</v>
      </c>
      <c r="J330" s="267" t="str">
        <f>IFERROR(__xludf.DUMMYFUNCTION("""COMPUTED_VALUE"""),"Beginning of the Game")</f>
        <v>Beginning of the Game</v>
      </c>
      <c r="K330" s="263"/>
    </row>
    <row r="331">
      <c r="A331" s="269"/>
      <c r="B331" s="264">
        <f>IFERROR(__xludf.DUMMYFUNCTION("""COMPUTED_VALUE"""),14.0)</f>
        <v>14</v>
      </c>
      <c r="C331" s="265" t="str">
        <f>IFERROR(__xludf.DUMMYFUNCTION("""COMPUTED_VALUE"""),"https://i.postimg.cc/Qdj2fbzb/014-Navy-Captain-Morgan.png")</f>
        <v>https://i.postimg.cc/Qdj2fbzb/014-Navy-Captain-Morgan.png</v>
      </c>
      <c r="D331" s="266" t="str">
        <f>IFERROR(__xludf.DUMMYFUNCTION("""COMPUTED_VALUE"""),"Navy Captain ~ Morgan")</f>
        <v>Navy Captain ~ Morgan</v>
      </c>
      <c r="E331" s="266" t="str">
        <f>IFERROR(__xludf.DUMMYFUNCTION("""COMPUTED_VALUE"""),"2 Stars")</f>
        <v>2 Stars</v>
      </c>
      <c r="F331" s="266" t="str">
        <f>IFERROR(__xludf.DUMMYFUNCTION("""COMPUTED_VALUE"""),"2 Stars")</f>
        <v>2 Stars</v>
      </c>
      <c r="G331" s="266" t="str">
        <f>IFERROR(__xludf.DUMMYFUNCTION("""COMPUTED_VALUE"""),"Defender(s) ~ East Blue ~ Navy")</f>
        <v>Defender(s) ~ East Blue ~ Navy</v>
      </c>
      <c r="H331" s="266" t="str">
        <f>IFERROR(__xludf.DUMMYFUNCTION("""COMPUTED_VALUE"""),"Blue ~ Defender")</f>
        <v>Blue ~ Defender</v>
      </c>
      <c r="I331" s="265" t="str">
        <f>IFERROR(__xludf.DUMMYFUNCTION("""COMPUTED_VALUE"""),"https://i.postimg.cc/m2xg81dx/Blue-Defender.png")</f>
        <v>https://i.postimg.cc/m2xg81dx/Blue-Defender.png</v>
      </c>
      <c r="J331" s="267" t="str">
        <f>IFERROR(__xludf.DUMMYFUNCTION("""COMPUTED_VALUE"""),"Beginning of the Game")</f>
        <v>Beginning of the Game</v>
      </c>
      <c r="K331" s="263"/>
    </row>
    <row r="332">
      <c r="A332" s="269"/>
      <c r="B332" s="264">
        <f>IFERROR(__xludf.DUMMYFUNCTION("""COMPUTED_VALUE"""),13.0)</f>
        <v>13</v>
      </c>
      <c r="C332" s="265" t="str">
        <f>IFERROR(__xludf.DUMMYFUNCTION("""COMPUTED_VALUE"""),"https://i.postimg.cc/BnNdkF9G/013-The-Idiot-Son-Helmeppo.png")</f>
        <v>https://i.postimg.cc/BnNdkF9G/013-The-Idiot-Son-Helmeppo.png</v>
      </c>
      <c r="D332" s="266" t="str">
        <f>IFERROR(__xludf.DUMMYFUNCTION("""COMPUTED_VALUE"""),"The Idiot Son ~ Helmeppo")</f>
        <v>The Idiot Son ~ Helmeppo</v>
      </c>
      <c r="E332" s="266" t="str">
        <f>IFERROR(__xludf.DUMMYFUNCTION("""COMPUTED_VALUE"""),"2 Stars")</f>
        <v>2 Stars</v>
      </c>
      <c r="F332" s="266" t="str">
        <f>IFERROR(__xludf.DUMMYFUNCTION("""COMPUTED_VALUE"""),"2 Stars")</f>
        <v>2 Stars</v>
      </c>
      <c r="G332" s="266" t="str">
        <f>IFERROR(__xludf.DUMMYFUNCTION("""COMPUTED_VALUE"""),"Runner(s) ~ East Blue ~ Long-Range Normal Attacks")</f>
        <v>Runner(s) ~ East Blue ~ Long-Range Normal Attacks</v>
      </c>
      <c r="H332" s="266" t="str">
        <f>IFERROR(__xludf.DUMMYFUNCTION("""COMPUTED_VALUE"""),"Green ~ Runner")</f>
        <v>Green ~ Runner</v>
      </c>
      <c r="I332" s="265" t="str">
        <f>IFERROR(__xludf.DUMMYFUNCTION("""COMPUTED_VALUE"""),"https://i.postimg.cc/PxgT30Qb/Green-Runner.png")</f>
        <v>https://i.postimg.cc/PxgT30Qb/Green-Runner.png</v>
      </c>
      <c r="J332" s="267" t="str">
        <f>IFERROR(__xludf.DUMMYFUNCTION("""COMPUTED_VALUE"""),"Beginning of the Game")</f>
        <v>Beginning of the Game</v>
      </c>
      <c r="K332" s="263"/>
    </row>
    <row r="333">
      <c r="A333" s="269"/>
      <c r="B333" s="264">
        <f>IFERROR(__xludf.DUMMYFUNCTION("""COMPUTED_VALUE"""),12.0)</f>
        <v>12</v>
      </c>
      <c r="C333" s="265" t="str">
        <f>IFERROR(__xludf.DUMMYFUNCTION("""COMPUTED_VALUE"""),"https://i.postimg.cc/wMKPLcJD/012-Alvida-Pirates-Captain-Alvida.png")</f>
        <v>https://i.postimg.cc/wMKPLcJD/012-Alvida-Pirates-Captain-Alvida.png</v>
      </c>
      <c r="D333" s="266" t="str">
        <f>IFERROR(__xludf.DUMMYFUNCTION("""COMPUTED_VALUE"""),"Alvida Pirates / Captain ~ Alvida")</f>
        <v>Alvida Pirates / Captain ~ Alvida</v>
      </c>
      <c r="E333" s="266" t="str">
        <f>IFERROR(__xludf.DUMMYFUNCTION("""COMPUTED_VALUE"""),"2 Stars")</f>
        <v>2 Stars</v>
      </c>
      <c r="F333" s="266" t="str">
        <f>IFERROR(__xludf.DUMMYFUNCTION("""COMPUTED_VALUE"""),"2 Stars")</f>
        <v>2 Stars</v>
      </c>
      <c r="G333" s="266" t="str">
        <f>IFERROR(__xludf.DUMMYFUNCTION("""COMPUTED_VALUE"""),"Defender(s) ~ East Blue ~ Captain")</f>
        <v>Defender(s) ~ East Blue ~ Captain</v>
      </c>
      <c r="H333" s="266" t="str">
        <f>IFERROR(__xludf.DUMMYFUNCTION("""COMPUTED_VALUE"""),"Green ~ Defender")</f>
        <v>Green ~ Defender</v>
      </c>
      <c r="I333" s="265" t="str">
        <f>IFERROR(__xludf.DUMMYFUNCTION("""COMPUTED_VALUE"""),"https://i.postimg.cc/qRhpGpyM/Green-Defender.png")</f>
        <v>https://i.postimg.cc/qRhpGpyM/Green-Defender.png</v>
      </c>
      <c r="J333" s="267" t="str">
        <f>IFERROR(__xludf.DUMMYFUNCTION("""COMPUTED_VALUE"""),"Beginning of the Game")</f>
        <v>Beginning of the Game</v>
      </c>
      <c r="K333" s="263"/>
    </row>
    <row r="334">
      <c r="A334" s="269"/>
      <c r="B334" s="264">
        <f>IFERROR(__xludf.DUMMYFUNCTION("""COMPUTED_VALUE"""),11.0)</f>
        <v>11</v>
      </c>
      <c r="C334" s="265" t="str">
        <f>IFERROR(__xludf.DUMMYFUNCTION("""COMPUTED_VALUE"""),"https://i.postimg.cc/SsY3ntXy/011-Chore-Boy-Koby.png")</f>
        <v>https://i.postimg.cc/SsY3ntXy/011-Chore-Boy-Koby.png</v>
      </c>
      <c r="D334" s="266" t="str">
        <f>IFERROR(__xludf.DUMMYFUNCTION("""COMPUTED_VALUE"""),"Chore Boy ~ Koby")</f>
        <v>Chore Boy ~ Koby</v>
      </c>
      <c r="E334" s="266" t="str">
        <f>IFERROR(__xludf.DUMMYFUNCTION("""COMPUTED_VALUE"""),"2 Stars")</f>
        <v>2 Stars</v>
      </c>
      <c r="F334" s="266" t="str">
        <f>IFERROR(__xludf.DUMMYFUNCTION("""COMPUTED_VALUE"""),"2 Stars")</f>
        <v>2 Stars</v>
      </c>
      <c r="G334" s="266" t="str">
        <f>IFERROR(__xludf.DUMMYFUNCTION("""COMPUTED_VALUE"""),"Defender(s) ~ East Blue")</f>
        <v>Defender(s) ~ East Blue</v>
      </c>
      <c r="H334" s="266" t="str">
        <f>IFERROR(__xludf.DUMMYFUNCTION("""COMPUTED_VALUE"""),"Red ~ Defender")</f>
        <v>Red ~ Defender</v>
      </c>
      <c r="I334" s="265" t="str">
        <f>IFERROR(__xludf.DUMMYFUNCTION("""COMPUTED_VALUE"""),"https://i.postimg.cc/P5XhRWY7/Red-Defender.png")</f>
        <v>https://i.postimg.cc/P5XhRWY7/Red-Defender.png</v>
      </c>
      <c r="J334" s="267" t="str">
        <f>IFERROR(__xludf.DUMMYFUNCTION("""COMPUTED_VALUE"""),"Beginning of the Game")</f>
        <v>Beginning of the Game</v>
      </c>
      <c r="K334" s="263"/>
    </row>
    <row r="335">
      <c r="A335" s="269"/>
      <c r="B335" s="264">
        <f>IFERROR(__xludf.DUMMYFUNCTION("""COMPUTED_VALUE"""),10.0)</f>
        <v>10</v>
      </c>
      <c r="C335" s="265" t="str">
        <f>IFERROR(__xludf.DUMMYFUNCTION("""COMPUTED_VALUE"""),"https://i.postimg.cc/KjnWNkrw/010-Mountain-Bandits-Leader-Higuma-the-Bear.png")</f>
        <v>https://i.postimg.cc/KjnWNkrw/010-Mountain-Bandits-Leader-Higuma-the-Bear.png</v>
      </c>
      <c r="D335" s="266" t="str">
        <f>IFERROR(__xludf.DUMMYFUNCTION("""COMPUTED_VALUE"""),"Mountain Bandits / Leader ~ Higuma the Bear")</f>
        <v>Mountain Bandits / Leader ~ Higuma the Bear</v>
      </c>
      <c r="E335" s="266" t="str">
        <f>IFERROR(__xludf.DUMMYFUNCTION("""COMPUTED_VALUE"""),"2 Stars")</f>
        <v>2 Stars</v>
      </c>
      <c r="F335" s="266" t="str">
        <f>IFERROR(__xludf.DUMMYFUNCTION("""COMPUTED_VALUE"""),"2 Stars")</f>
        <v>2 Stars</v>
      </c>
      <c r="G335" s="266" t="str">
        <f>IFERROR(__xludf.DUMMYFUNCTION("""COMPUTED_VALUE"""),"Attacker(s) ~ East Blue")</f>
        <v>Attacker(s) ~ East Blue</v>
      </c>
      <c r="H335" s="266" t="str">
        <f>IFERROR(__xludf.DUMMYFUNCTION("""COMPUTED_VALUE"""),"Red ~ Attacker")</f>
        <v>Red ~ Attacker</v>
      </c>
      <c r="I335" s="265" t="str">
        <f>IFERROR(__xludf.DUMMYFUNCTION("""COMPUTED_VALUE"""),"https://i.postimg.cc/L6B2DCYf/Red-Attacker.png")</f>
        <v>https://i.postimg.cc/L6B2DCYf/Red-Attacker.png</v>
      </c>
      <c r="J335" s="267" t="str">
        <f>IFERROR(__xludf.DUMMYFUNCTION("""COMPUTED_VALUE"""),"Beginning of the Game")</f>
        <v>Beginning of the Game</v>
      </c>
      <c r="K335" s="263"/>
    </row>
    <row r="336">
      <c r="A336" s="269"/>
      <c r="B336" s="264">
        <f>IFERROR(__xludf.DUMMYFUNCTION("""COMPUTED_VALUE"""),9.0)</f>
        <v>9</v>
      </c>
      <c r="C336" s="265" t="str">
        <f>IFERROR(__xludf.DUMMYFUNCTION("""COMPUTED_VALUE"""),"https://i.postimg.cc/J7JSmvVx/009-Straw-Hat-Pirates-Musician-Brook.png")</f>
        <v>https://i.postimg.cc/J7JSmvVx/009-Straw-Hat-Pirates-Musician-Brook.png</v>
      </c>
      <c r="D336" s="266" t="str">
        <f>IFERROR(__xludf.DUMMYFUNCTION("""COMPUTED_VALUE"""),"Straw Hat Pirates / Musician ~ Brook")</f>
        <v>Straw Hat Pirates / Musician ~ Brook</v>
      </c>
      <c r="E336" s="266" t="str">
        <f>IFERROR(__xludf.DUMMYFUNCTION("""COMPUTED_VALUE"""),"2 Stars")</f>
        <v>2 Stars</v>
      </c>
      <c r="F336" s="266" t="str">
        <f>IFERROR(__xludf.DUMMYFUNCTION("""COMPUTED_VALUE"""),"2 Stars")</f>
        <v>2 Stars</v>
      </c>
      <c r="G336" s="266" t="str">
        <f>IFERROR(__xludf.DUMMYFUNCTION("""COMPUTED_VALUE"""),"Runner(s) ~ Straw Hat Pirates ~ Paramecia ~ Power users ~ The Grand Line")</f>
        <v>Runner(s) ~ Straw Hat Pirates ~ Paramecia ~ Power users ~ The Grand Line</v>
      </c>
      <c r="H336" s="266" t="str">
        <f>IFERROR(__xludf.DUMMYFUNCTION("""COMPUTED_VALUE"""),"Green ~ Runner")</f>
        <v>Green ~ Runner</v>
      </c>
      <c r="I336" s="265" t="str">
        <f>IFERROR(__xludf.DUMMYFUNCTION("""COMPUTED_VALUE"""),"https://i.postimg.cc/PxgT30Qb/Green-Runner.png")</f>
        <v>https://i.postimg.cc/PxgT30Qb/Green-Runner.png</v>
      </c>
      <c r="J336" s="267" t="str">
        <f>IFERROR(__xludf.DUMMYFUNCTION("""COMPUTED_VALUE"""),"Beginning of the Game")</f>
        <v>Beginning of the Game</v>
      </c>
      <c r="K336" s="263"/>
    </row>
    <row r="337">
      <c r="A337" s="269"/>
      <c r="B337" s="264">
        <f>IFERROR(__xludf.DUMMYFUNCTION("""COMPUTED_VALUE"""),8.0)</f>
        <v>8</v>
      </c>
      <c r="C337" s="265" t="str">
        <f>IFERROR(__xludf.DUMMYFUNCTION("""COMPUTED_VALUE"""),"https://i.postimg.cc/3JTVw13T/008-Straw-Hat-Pirates-Ship-Carpenter-Franky.png")</f>
        <v>https://i.postimg.cc/3JTVw13T/008-Straw-Hat-Pirates-Ship-Carpenter-Franky.png</v>
      </c>
      <c r="D337" s="266" t="str">
        <f>IFERROR(__xludf.DUMMYFUNCTION("""COMPUTED_VALUE"""),"Straw Hat Pirates / Ship Carpenter ~ Franky")</f>
        <v>Straw Hat Pirates / Ship Carpenter ~ Franky</v>
      </c>
      <c r="E337" s="266" t="str">
        <f>IFERROR(__xludf.DUMMYFUNCTION("""COMPUTED_VALUE"""),"2 Stars")</f>
        <v>2 Stars</v>
      </c>
      <c r="F337" s="266" t="str">
        <f>IFERROR(__xludf.DUMMYFUNCTION("""COMPUTED_VALUE"""),"2 Stars")</f>
        <v>2 Stars</v>
      </c>
      <c r="G337" s="266" t="str">
        <f>IFERROR(__xludf.DUMMYFUNCTION("""COMPUTED_VALUE"""),"Defender(s) ~ Straw Hat Pirates ~ The Grand Line")</f>
        <v>Defender(s) ~ Straw Hat Pirates ~ The Grand Line</v>
      </c>
      <c r="H337" s="266" t="str">
        <f>IFERROR(__xludf.DUMMYFUNCTION("""COMPUTED_VALUE"""),"Red ~ Defender")</f>
        <v>Red ~ Defender</v>
      </c>
      <c r="I337" s="265" t="str">
        <f>IFERROR(__xludf.DUMMYFUNCTION("""COMPUTED_VALUE"""),"https://i.postimg.cc/P5XhRWY7/Red-Defender.png")</f>
        <v>https://i.postimg.cc/P5XhRWY7/Red-Defender.png</v>
      </c>
      <c r="J337" s="267" t="str">
        <f>IFERROR(__xludf.DUMMYFUNCTION("""COMPUTED_VALUE"""),"Beginning of the Game")</f>
        <v>Beginning of the Game</v>
      </c>
      <c r="K337" s="263"/>
    </row>
    <row r="338">
      <c r="A338" s="269"/>
      <c r="B338" s="264">
        <f>IFERROR(__xludf.DUMMYFUNCTION("""COMPUTED_VALUE"""),7.0)</f>
        <v>7</v>
      </c>
      <c r="C338" s="265" t="str">
        <f>IFERROR(__xludf.DUMMYFUNCTION("""COMPUTED_VALUE"""),"https://i.postimg.cc/bN9MSnv2/007-Straw-Hat-Pirates-Archaeologist-Nico-Robin.png")</f>
        <v>https://i.postimg.cc/bN9MSnv2/007-Straw-Hat-Pirates-Archaeologist-Nico-Robin.png</v>
      </c>
      <c r="D338" s="266" t="str">
        <f>IFERROR(__xludf.DUMMYFUNCTION("""COMPUTED_VALUE"""),"Straw Hat Pirates / Archaeologist ~ Nico Robin")</f>
        <v>Straw Hat Pirates / Archaeologist ~ Nico Robin</v>
      </c>
      <c r="E338" s="266" t="str">
        <f>IFERROR(__xludf.DUMMYFUNCTION("""COMPUTED_VALUE"""),"2 Stars")</f>
        <v>2 Stars</v>
      </c>
      <c r="F338" s="266" t="str">
        <f>IFERROR(__xludf.DUMMYFUNCTION("""COMPUTED_VALUE"""),"2 Stars")</f>
        <v>2 Stars</v>
      </c>
      <c r="G338" s="266" t="str">
        <f>IFERROR(__xludf.DUMMYFUNCTION("""COMPUTED_VALUE"""),"Attacker(s) ~ Straw Hat Pirates ~ Paramecia ~ Power users ~ The Grand Line")</f>
        <v>Attacker(s) ~ Straw Hat Pirates ~ Paramecia ~ Power users ~ The Grand Line</v>
      </c>
      <c r="H338" s="266" t="str">
        <f>IFERROR(__xludf.DUMMYFUNCTION("""COMPUTED_VALUE"""),"Green ~ Attacker")</f>
        <v>Green ~ Attacker</v>
      </c>
      <c r="I338" s="265" t="str">
        <f>IFERROR(__xludf.DUMMYFUNCTION("""COMPUTED_VALUE"""),"https://i.postimg.cc/0NH8mz6B/Green-Attacker.png")</f>
        <v>https://i.postimg.cc/0NH8mz6B/Green-Attacker.png</v>
      </c>
      <c r="J338" s="267" t="str">
        <f>IFERROR(__xludf.DUMMYFUNCTION("""COMPUTED_VALUE"""),"Beginning of the Game")</f>
        <v>Beginning of the Game</v>
      </c>
      <c r="K338" s="263"/>
    </row>
    <row r="339">
      <c r="A339" s="269"/>
      <c r="B339" s="264">
        <f>IFERROR(__xludf.DUMMYFUNCTION("""COMPUTED_VALUE"""),6.0)</f>
        <v>6</v>
      </c>
      <c r="C339" s="265" t="str">
        <f>IFERROR(__xludf.DUMMYFUNCTION("""COMPUTED_VALUE"""),"https://i.postimg.cc/kgMHQ5VY/006-Straw-Hat-Pirates-Doctor-Tony-Tony-Chopper.png")</f>
        <v>https://i.postimg.cc/kgMHQ5VY/006-Straw-Hat-Pirates-Doctor-Tony-Tony-Chopper.png</v>
      </c>
      <c r="D339" s="266" t="str">
        <f>IFERROR(__xludf.DUMMYFUNCTION("""COMPUTED_VALUE"""),"Straw Hat Pirates / Doctor ~ Tony Tony Chopper")</f>
        <v>Straw Hat Pirates / Doctor ~ Tony Tony Chopper</v>
      </c>
      <c r="E339" s="266" t="str">
        <f>IFERROR(__xludf.DUMMYFUNCTION("""COMPUTED_VALUE"""),"2 Stars")</f>
        <v>2 Stars</v>
      </c>
      <c r="F339" s="266" t="str">
        <f>IFERROR(__xludf.DUMMYFUNCTION("""COMPUTED_VALUE"""),"2 Stars")</f>
        <v>2 Stars</v>
      </c>
      <c r="G339" s="266" t="str">
        <f>IFERROR(__xludf.DUMMYFUNCTION("""COMPUTED_VALUE"""),"Runner(s) ~ Straw Hat Pirates ~ Zoan ~ Power users ~ The Grand Line")</f>
        <v>Runner(s) ~ Straw Hat Pirates ~ Zoan ~ Power users ~ The Grand Line</v>
      </c>
      <c r="H339" s="266" t="str">
        <f>IFERROR(__xludf.DUMMYFUNCTION("""COMPUTED_VALUE"""),"Red ~ Runner")</f>
        <v>Red ~ Runner</v>
      </c>
      <c r="I339" s="265" t="str">
        <f>IFERROR(__xludf.DUMMYFUNCTION("""COMPUTED_VALUE"""),"https://i.postimg.cc/Hk6HDrtk/Red-Runner.png")</f>
        <v>https://i.postimg.cc/Hk6HDrtk/Red-Runner.png</v>
      </c>
      <c r="J339" s="267" t="str">
        <f>IFERROR(__xludf.DUMMYFUNCTION("""COMPUTED_VALUE"""),"Beginning of the Game")</f>
        <v>Beginning of the Game</v>
      </c>
      <c r="K339" s="263"/>
    </row>
    <row r="340">
      <c r="A340" s="269"/>
      <c r="B340" s="264">
        <f>IFERROR(__xludf.DUMMYFUNCTION("""COMPUTED_VALUE"""),5.0)</f>
        <v>5</v>
      </c>
      <c r="C340" s="265" t="str">
        <f>IFERROR(__xludf.DUMMYFUNCTION("""COMPUTED_VALUE"""),"https://i.postimg.cc/P56R2kYX/005-Straw-Hat-Pirates-Cook-Sanji.png")</f>
        <v>https://i.postimg.cc/P56R2kYX/005-Straw-Hat-Pirates-Cook-Sanji.png</v>
      </c>
      <c r="D340" s="266" t="str">
        <f>IFERROR(__xludf.DUMMYFUNCTION("""COMPUTED_VALUE"""),"Straw Hat Pirates / Cook ~ Sanji")</f>
        <v>Straw Hat Pirates / Cook ~ Sanji</v>
      </c>
      <c r="E340" s="266" t="str">
        <f>IFERROR(__xludf.DUMMYFUNCTION("""COMPUTED_VALUE"""),"2 Stars")</f>
        <v>2 Stars</v>
      </c>
      <c r="F340" s="266" t="str">
        <f>IFERROR(__xludf.DUMMYFUNCTION("""COMPUTED_VALUE"""),"2 Stars")</f>
        <v>2 Stars</v>
      </c>
      <c r="G340" s="266" t="str">
        <f>IFERROR(__xludf.DUMMYFUNCTION("""COMPUTED_VALUE"""),"Defender(s) ~ East Blue ~ Straw Hat Pirates")</f>
        <v>Defender(s) ~ East Blue ~ Straw Hat Pirates</v>
      </c>
      <c r="H340" s="266" t="str">
        <f>IFERROR(__xludf.DUMMYFUNCTION("""COMPUTED_VALUE"""),"Blue ~ Attacker")</f>
        <v>Blue ~ Attacker</v>
      </c>
      <c r="I340" s="265" t="str">
        <f>IFERROR(__xludf.DUMMYFUNCTION("""COMPUTED_VALUE"""),"https://i.postimg.cc/1zRtDxvf/Blue-Attacker.png")</f>
        <v>https://i.postimg.cc/1zRtDxvf/Blue-Attacker.png</v>
      </c>
      <c r="J340" s="267" t="str">
        <f>IFERROR(__xludf.DUMMYFUNCTION("""COMPUTED_VALUE"""),"Beginning of the Game")</f>
        <v>Beginning of the Game</v>
      </c>
      <c r="K340" s="263"/>
    </row>
    <row r="341">
      <c r="A341" s="269"/>
      <c r="B341" s="264">
        <f>IFERROR(__xludf.DUMMYFUNCTION("""COMPUTED_VALUE"""),4.0)</f>
        <v>4</v>
      </c>
      <c r="C341" s="265" t="str">
        <f>IFERROR(__xludf.DUMMYFUNCTION("""COMPUTED_VALUE"""),"https://i.postimg.cc/SRpTJQFr/004-Straw-Hat-Pirates-Sharp-Shooter-Usopp.png")</f>
        <v>https://i.postimg.cc/SRpTJQFr/004-Straw-Hat-Pirates-Sharp-Shooter-Usopp.png</v>
      </c>
      <c r="D341" s="266" t="str">
        <f>IFERROR(__xludf.DUMMYFUNCTION("""COMPUTED_VALUE"""),"Straw Hat Pirates / Sharp Shooter ~ Usopp")</f>
        <v>Straw Hat Pirates / Sharp Shooter ~ Usopp</v>
      </c>
      <c r="E341" s="266" t="str">
        <f>IFERROR(__xludf.DUMMYFUNCTION("""COMPUTED_VALUE"""),"2 Stars")</f>
        <v>2 Stars</v>
      </c>
      <c r="F341" s="266" t="str">
        <f>IFERROR(__xludf.DUMMYFUNCTION("""COMPUTED_VALUE"""),"2 Stars")</f>
        <v>2 Stars</v>
      </c>
      <c r="G341" s="266" t="str">
        <f>IFERROR(__xludf.DUMMYFUNCTION("""COMPUTED_VALUE"""),"Runner(s) ~ East Blue ~ Straw Hat Pirates ~ Long-Range Normal Attacks")</f>
        <v>Runner(s) ~ East Blue ~ Straw Hat Pirates ~ Long-Range Normal Attacks</v>
      </c>
      <c r="H341" s="266" t="str">
        <f>IFERROR(__xludf.DUMMYFUNCTION("""COMPUTED_VALUE"""),"Blue ~ Runner")</f>
        <v>Blue ~ Runner</v>
      </c>
      <c r="I341" s="265" t="str">
        <f>IFERROR(__xludf.DUMMYFUNCTION("""COMPUTED_VALUE"""),"https://i.postimg.cc/4NzNM4MY/Blue-Runner.png")</f>
        <v>https://i.postimg.cc/4NzNM4MY/Blue-Runner.png</v>
      </c>
      <c r="J341" s="267" t="str">
        <f>IFERROR(__xludf.DUMMYFUNCTION("""COMPUTED_VALUE"""),"Beginning of the Game")</f>
        <v>Beginning of the Game</v>
      </c>
      <c r="K341" s="263"/>
    </row>
    <row r="342">
      <c r="A342" s="269"/>
      <c r="B342" s="264">
        <f>IFERROR(__xludf.DUMMYFUNCTION("""COMPUTED_VALUE"""),3.0)</f>
        <v>3</v>
      </c>
      <c r="C342" s="265" t="str">
        <f>IFERROR(__xludf.DUMMYFUNCTION("""COMPUTED_VALUE"""),"https://i.postimg.cc/tRhv86Wm/003-Straw-Hat-Pirates-Navigator-Nami.png")</f>
        <v>https://i.postimg.cc/tRhv86Wm/003-Straw-Hat-Pirates-Navigator-Nami.png</v>
      </c>
      <c r="D342" s="266" t="str">
        <f>IFERROR(__xludf.DUMMYFUNCTION("""COMPUTED_VALUE"""),"Straw Hat Pirates / Navigator ~ Nami")</f>
        <v>Straw Hat Pirates / Navigator ~ Nami</v>
      </c>
      <c r="E342" s="266" t="str">
        <f>IFERROR(__xludf.DUMMYFUNCTION("""COMPUTED_VALUE"""),"2 Stars")</f>
        <v>2 Stars</v>
      </c>
      <c r="F342" s="266" t="str">
        <f>IFERROR(__xludf.DUMMYFUNCTION("""COMPUTED_VALUE"""),"2 Stars")</f>
        <v>2 Stars</v>
      </c>
      <c r="G342" s="266" t="str">
        <f>IFERROR(__xludf.DUMMYFUNCTION("""COMPUTED_VALUE"""),"Runner(s) ~ East Blue ~ Straw Hat Pirates")</f>
        <v>Runner(s) ~ East Blue ~ Straw Hat Pirates</v>
      </c>
      <c r="H342" s="266" t="str">
        <f>IFERROR(__xludf.DUMMYFUNCTION("""COMPUTED_VALUE"""),"Green ~ Runner")</f>
        <v>Green ~ Runner</v>
      </c>
      <c r="I342" s="265" t="str">
        <f>IFERROR(__xludf.DUMMYFUNCTION("""COMPUTED_VALUE"""),"https://i.postimg.cc/PxgT30Qb/Green-Runner.png")</f>
        <v>https://i.postimg.cc/PxgT30Qb/Green-Runner.png</v>
      </c>
      <c r="J342" s="267" t="str">
        <f>IFERROR(__xludf.DUMMYFUNCTION("""COMPUTED_VALUE"""),"Beginning of the Game")</f>
        <v>Beginning of the Game</v>
      </c>
      <c r="K342" s="263"/>
    </row>
    <row r="343">
      <c r="A343" s="269"/>
      <c r="B343" s="264">
        <f>IFERROR(__xludf.DUMMYFUNCTION("""COMPUTED_VALUE"""),2.0)</f>
        <v>2</v>
      </c>
      <c r="C343" s="265" t="str">
        <f>IFERROR(__xludf.DUMMYFUNCTION("""COMPUTED_VALUE"""),"https://i.postimg.cc/L8syq07r/002-Straw-Hat-Pirates-Combatant-Roronoa-Zoro.png")</f>
        <v>https://i.postimg.cc/L8syq07r/002-Straw-Hat-Pirates-Combatant-Roronoa-Zoro.png</v>
      </c>
      <c r="D343" s="266" t="str">
        <f>IFERROR(__xludf.DUMMYFUNCTION("""COMPUTED_VALUE"""),"Straw Hat Pirates / Combatant ~ Roronoa Zoro")</f>
        <v>Straw Hat Pirates / Combatant ~ Roronoa Zoro</v>
      </c>
      <c r="E343" s="270" t="str">
        <f>IFERROR(__xludf.DUMMYFUNCTION("""COMPUTED_VALUE"""),"2 Stars")</f>
        <v>2 Stars</v>
      </c>
      <c r="F343" s="270" t="str">
        <f>IFERROR(__xludf.DUMMYFUNCTION("""COMPUTED_VALUE"""),"2 Stars")</f>
        <v>2 Stars</v>
      </c>
      <c r="G343" s="270" t="str">
        <f>IFERROR(__xludf.DUMMYFUNCTION("""COMPUTED_VALUE"""),"Defender(s) ~ East Blue ~ Straw Hat Pirates")</f>
        <v>Defender(s) ~ East Blue ~ Straw Hat Pirates</v>
      </c>
      <c r="H343" s="266" t="str">
        <f>IFERROR(__xludf.DUMMYFUNCTION("""COMPUTED_VALUE"""),"Green ~ Defender")</f>
        <v>Green ~ Defender</v>
      </c>
      <c r="I343" s="271" t="str">
        <f>IFERROR(__xludf.DUMMYFUNCTION("""COMPUTED_VALUE"""),"https://i.postimg.cc/qRhpGpyM/Green-Defender.png")</f>
        <v>https://i.postimg.cc/qRhpGpyM/Green-Defender.png</v>
      </c>
      <c r="J343" s="270" t="str">
        <f>IFERROR(__xludf.DUMMYFUNCTION("""COMPUTED_VALUE"""),"Beginning of the Game")</f>
        <v>Beginning of the Game</v>
      </c>
      <c r="K343" s="263"/>
    </row>
    <row r="344">
      <c r="A344" s="269"/>
      <c r="B344" s="264">
        <f>IFERROR(__xludf.DUMMYFUNCTION("""COMPUTED_VALUE"""),1.0)</f>
        <v>1</v>
      </c>
      <c r="C344" s="265" t="str">
        <f>IFERROR(__xludf.DUMMYFUNCTION("""COMPUTED_VALUE"""),"https://i.postimg.cc/jdt3Tjhq/001-Straw-Hat-Pirates-Captain-Monkey-D-Luffy.png")</f>
        <v>https://i.postimg.cc/jdt3Tjhq/001-Straw-Hat-Pirates-Captain-Monkey-D-Luffy.png</v>
      </c>
      <c r="D344" s="266" t="str">
        <f>IFERROR(__xludf.DUMMYFUNCTION("""COMPUTED_VALUE"""),"Straw Hat Pirates / Captain ~ Monkey D. Luffy")</f>
        <v>Straw Hat Pirates / Captain ~ Monkey D. Luffy</v>
      </c>
      <c r="E344" s="270" t="str">
        <f>IFERROR(__xludf.DUMMYFUNCTION("""COMPUTED_VALUE"""),"2 Stars")</f>
        <v>2 Stars</v>
      </c>
      <c r="F344" s="270" t="str">
        <f>IFERROR(__xludf.DUMMYFUNCTION("""COMPUTED_VALUE"""),"2 Stars")</f>
        <v>2 Stars</v>
      </c>
      <c r="G344" s="270" t="str">
        <f>IFERROR(__xludf.DUMMYFUNCTION("""COMPUTED_VALUE"""),"Attacker(s) ~ East Blue ~ Straw Hat Pirates ~ Paramecia ~ Captain ~ Power users")</f>
        <v>Attacker(s) ~ East Blue ~ Straw Hat Pirates ~ Paramecia ~ Captain ~ Power users</v>
      </c>
      <c r="H344" s="266" t="str">
        <f>IFERROR(__xludf.DUMMYFUNCTION("""COMPUTED_VALUE"""),"Red ~ Attacker")</f>
        <v>Red ~ Attacker</v>
      </c>
      <c r="I344" s="271" t="str">
        <f>IFERROR(__xludf.DUMMYFUNCTION("""COMPUTED_VALUE"""),"https://i.postimg.cc/L6B2DCYf/Red-Attacker.png")</f>
        <v>https://i.postimg.cc/L6B2DCYf/Red-Attacker.png</v>
      </c>
      <c r="J344" s="270" t="str">
        <f>IFERROR(__xludf.DUMMYFUNCTION("""COMPUTED_VALUE"""),"Beginning of the Game")</f>
        <v>Beginning of the Game</v>
      </c>
      <c r="K344" s="263"/>
    </row>
    <row r="345">
      <c r="A345" s="269"/>
      <c r="B345" s="264"/>
      <c r="C345" s="266"/>
      <c r="D345" s="266"/>
      <c r="E345" s="270"/>
      <c r="F345" s="270"/>
      <c r="G345" s="270"/>
      <c r="H345" s="266"/>
      <c r="I345" s="270"/>
      <c r="J345" s="270"/>
      <c r="K345" s="263"/>
    </row>
    <row r="346">
      <c r="A346" s="269"/>
      <c r="B346" s="264"/>
      <c r="C346" s="266"/>
      <c r="D346" s="266"/>
      <c r="E346" s="270"/>
      <c r="F346" s="270"/>
      <c r="G346" s="270"/>
      <c r="H346" s="266"/>
      <c r="I346" s="270"/>
      <c r="J346" s="270"/>
      <c r="K346" s="263"/>
    </row>
    <row r="347">
      <c r="A347" s="269"/>
      <c r="B347" s="264"/>
      <c r="C347" s="266"/>
      <c r="D347" s="266"/>
      <c r="E347" s="270"/>
      <c r="F347" s="270"/>
      <c r="G347" s="270"/>
      <c r="H347" s="266"/>
      <c r="I347" s="270"/>
      <c r="J347" s="270"/>
      <c r="K347" s="263"/>
    </row>
    <row r="348">
      <c r="A348" s="269"/>
      <c r="B348" s="264"/>
      <c r="C348" s="266"/>
      <c r="D348" s="266"/>
      <c r="E348" s="270"/>
      <c r="F348" s="270"/>
      <c r="G348" s="270"/>
      <c r="H348" s="266"/>
      <c r="I348" s="270"/>
      <c r="J348" s="270"/>
      <c r="K348" s="263"/>
    </row>
    <row r="349">
      <c r="A349" s="269"/>
      <c r="B349" s="264"/>
      <c r="C349" s="266"/>
      <c r="D349" s="266"/>
      <c r="E349" s="270"/>
      <c r="F349" s="270"/>
      <c r="G349" s="270"/>
      <c r="H349" s="266"/>
      <c r="I349" s="270"/>
      <c r="J349" s="270"/>
      <c r="K349" s="263"/>
    </row>
    <row r="350">
      <c r="A350" s="269"/>
      <c r="B350" s="264"/>
      <c r="C350" s="266"/>
      <c r="D350" s="266"/>
      <c r="E350" s="270"/>
      <c r="F350" s="270"/>
      <c r="G350" s="270"/>
      <c r="H350" s="266"/>
      <c r="I350" s="270"/>
      <c r="J350" s="270"/>
      <c r="K350" s="263"/>
    </row>
    <row r="351">
      <c r="A351" s="269"/>
      <c r="B351" s="264"/>
      <c r="C351" s="266"/>
      <c r="D351" s="266"/>
      <c r="E351" s="270"/>
      <c r="F351" s="270"/>
      <c r="G351" s="270"/>
      <c r="H351" s="266"/>
      <c r="I351" s="270"/>
      <c r="J351" s="270"/>
      <c r="K351" s="263"/>
    </row>
    <row r="352">
      <c r="A352" s="269"/>
      <c r="B352" s="264"/>
      <c r="C352" s="266"/>
      <c r="D352" s="266"/>
      <c r="E352" s="270"/>
      <c r="F352" s="270"/>
      <c r="G352" s="270"/>
      <c r="H352" s="266"/>
      <c r="I352" s="270"/>
      <c r="J352" s="270"/>
      <c r="K352" s="263"/>
    </row>
    <row r="353">
      <c r="A353" s="269"/>
      <c r="B353" s="264"/>
      <c r="C353" s="266"/>
      <c r="D353" s="266"/>
      <c r="E353" s="270"/>
      <c r="F353" s="270"/>
      <c r="G353" s="270"/>
      <c r="H353" s="266"/>
      <c r="I353" s="270"/>
      <c r="J353" s="270"/>
      <c r="K353" s="263"/>
    </row>
    <row r="354">
      <c r="A354" s="269"/>
      <c r="B354" s="264"/>
      <c r="C354" s="266"/>
      <c r="D354" s="266"/>
      <c r="E354" s="270"/>
      <c r="F354" s="270"/>
      <c r="G354" s="270"/>
      <c r="H354" s="266"/>
      <c r="I354" s="270"/>
      <c r="J354" s="270"/>
      <c r="K354" s="263"/>
    </row>
    <row r="355">
      <c r="A355" s="269"/>
      <c r="B355" s="264"/>
      <c r="C355" s="266"/>
      <c r="D355" s="266"/>
      <c r="E355" s="270"/>
      <c r="F355" s="270"/>
      <c r="G355" s="270"/>
      <c r="H355" s="266"/>
      <c r="I355" s="270"/>
      <c r="J355" s="270"/>
      <c r="K355" s="263"/>
    </row>
    <row r="356">
      <c r="A356" s="269"/>
      <c r="B356" s="264"/>
      <c r="C356" s="266"/>
      <c r="D356" s="266"/>
      <c r="E356" s="270"/>
      <c r="F356" s="270"/>
      <c r="G356" s="270"/>
      <c r="H356" s="266"/>
      <c r="I356" s="270"/>
      <c r="J356" s="270"/>
      <c r="K356" s="263"/>
    </row>
    <row r="357">
      <c r="A357" s="269"/>
      <c r="B357" s="264"/>
      <c r="C357" s="266"/>
      <c r="D357" s="266"/>
      <c r="E357" s="270"/>
      <c r="F357" s="270"/>
      <c r="G357" s="270"/>
      <c r="H357" s="266"/>
      <c r="I357" s="270"/>
      <c r="J357" s="270"/>
      <c r="K357" s="263"/>
    </row>
    <row r="358">
      <c r="A358" s="269"/>
      <c r="B358" s="264"/>
      <c r="C358" s="266"/>
      <c r="D358" s="266"/>
      <c r="E358" s="270"/>
      <c r="F358" s="270"/>
      <c r="G358" s="270"/>
      <c r="H358" s="266"/>
      <c r="I358" s="270"/>
      <c r="J358" s="270"/>
      <c r="K358" s="263"/>
    </row>
    <row r="359">
      <c r="A359" s="269"/>
      <c r="B359" s="264"/>
      <c r="C359" s="266"/>
      <c r="D359" s="266"/>
      <c r="E359" s="270"/>
      <c r="F359" s="270"/>
      <c r="G359" s="270"/>
      <c r="H359" s="266"/>
      <c r="I359" s="270"/>
      <c r="J359" s="270"/>
      <c r="K359" s="263"/>
    </row>
    <row r="360">
      <c r="A360" s="269"/>
      <c r="B360" s="264"/>
      <c r="C360" s="266"/>
      <c r="D360" s="266"/>
      <c r="E360" s="270"/>
      <c r="F360" s="270"/>
      <c r="G360" s="270"/>
      <c r="H360" s="266"/>
      <c r="I360" s="270"/>
      <c r="J360" s="270"/>
      <c r="K360" s="263"/>
    </row>
    <row r="361">
      <c r="A361" s="269"/>
      <c r="B361" s="264"/>
      <c r="C361" s="266"/>
      <c r="D361" s="266"/>
      <c r="E361" s="270"/>
      <c r="F361" s="270"/>
      <c r="G361" s="270"/>
      <c r="H361" s="266"/>
      <c r="I361" s="270"/>
      <c r="J361" s="270"/>
      <c r="K361" s="263"/>
    </row>
    <row r="362">
      <c r="A362" s="269"/>
      <c r="B362" s="264"/>
      <c r="C362" s="266"/>
      <c r="D362" s="266"/>
      <c r="E362" s="270"/>
      <c r="F362" s="270"/>
      <c r="G362" s="270"/>
      <c r="H362" s="266"/>
      <c r="I362" s="270"/>
      <c r="J362" s="270"/>
      <c r="K362" s="263"/>
    </row>
    <row r="363">
      <c r="A363" s="269"/>
      <c r="B363" s="264"/>
      <c r="C363" s="266"/>
      <c r="D363" s="266"/>
      <c r="E363" s="270"/>
      <c r="F363" s="270"/>
      <c r="G363" s="270"/>
      <c r="H363" s="266"/>
      <c r="I363" s="270"/>
      <c r="J363" s="270"/>
      <c r="K363" s="263"/>
    </row>
    <row r="364">
      <c r="A364" s="269"/>
      <c r="B364" s="264"/>
      <c r="C364" s="266"/>
      <c r="D364" s="266"/>
      <c r="E364" s="270"/>
      <c r="F364" s="270"/>
      <c r="G364" s="270"/>
      <c r="H364" s="266"/>
      <c r="I364" s="270"/>
      <c r="J364" s="270"/>
      <c r="K364" s="263"/>
    </row>
    <row r="365">
      <c r="A365" s="269"/>
      <c r="B365" s="264"/>
      <c r="C365" s="266"/>
      <c r="D365" s="266"/>
      <c r="E365" s="270"/>
      <c r="F365" s="270"/>
      <c r="G365" s="270"/>
      <c r="H365" s="266"/>
      <c r="I365" s="270"/>
      <c r="J365" s="270"/>
      <c r="K365" s="263"/>
    </row>
    <row r="366">
      <c r="A366" s="269"/>
      <c r="B366" s="264"/>
      <c r="C366" s="266"/>
      <c r="D366" s="266"/>
      <c r="E366" s="270"/>
      <c r="F366" s="270"/>
      <c r="G366" s="270"/>
      <c r="H366" s="266"/>
      <c r="I366" s="270"/>
      <c r="J366" s="270"/>
      <c r="K366" s="263"/>
    </row>
    <row r="367">
      <c r="A367" s="269"/>
      <c r="B367" s="264"/>
      <c r="C367" s="266"/>
      <c r="D367" s="266"/>
      <c r="E367" s="270"/>
      <c r="F367" s="270"/>
      <c r="G367" s="270"/>
      <c r="H367" s="266"/>
      <c r="I367" s="270"/>
      <c r="J367" s="270"/>
      <c r="K367" s="263"/>
    </row>
    <row r="368">
      <c r="A368" s="269"/>
      <c r="B368" s="264"/>
      <c r="C368" s="266"/>
      <c r="D368" s="266"/>
      <c r="E368" s="270"/>
      <c r="F368" s="270"/>
      <c r="G368" s="270"/>
      <c r="H368" s="266"/>
      <c r="I368" s="270"/>
      <c r="J368" s="270"/>
      <c r="K368" s="263"/>
    </row>
    <row r="369">
      <c r="A369" s="269"/>
      <c r="B369" s="264"/>
      <c r="C369" s="266"/>
      <c r="D369" s="266"/>
      <c r="E369" s="270"/>
      <c r="F369" s="270"/>
      <c r="G369" s="270"/>
      <c r="H369" s="266"/>
      <c r="I369" s="270"/>
      <c r="J369" s="270"/>
      <c r="K369" s="263"/>
    </row>
    <row r="370">
      <c r="A370" s="269"/>
      <c r="B370" s="264"/>
      <c r="C370" s="266"/>
      <c r="D370" s="266"/>
      <c r="E370" s="270"/>
      <c r="F370" s="270"/>
      <c r="G370" s="270"/>
      <c r="H370" s="266"/>
      <c r="I370" s="270"/>
      <c r="J370" s="270"/>
      <c r="K370" s="263"/>
    </row>
    <row r="371">
      <c r="A371" s="269"/>
      <c r="B371" s="264"/>
      <c r="C371" s="266"/>
      <c r="D371" s="266"/>
      <c r="E371" s="270"/>
      <c r="F371" s="270"/>
      <c r="G371" s="270"/>
      <c r="H371" s="266"/>
      <c r="I371" s="270"/>
      <c r="J371" s="270"/>
      <c r="K371" s="263"/>
    </row>
    <row r="372">
      <c r="A372" s="269"/>
      <c r="B372" s="264"/>
      <c r="C372" s="266"/>
      <c r="D372" s="266"/>
      <c r="E372" s="270"/>
      <c r="F372" s="270"/>
      <c r="G372" s="270"/>
      <c r="H372" s="266"/>
      <c r="I372" s="270"/>
      <c r="J372" s="270"/>
      <c r="K372" s="263"/>
    </row>
    <row r="373">
      <c r="A373" s="269"/>
      <c r="B373" s="264"/>
      <c r="C373" s="266"/>
      <c r="D373" s="266"/>
      <c r="E373" s="270"/>
      <c r="F373" s="270"/>
      <c r="G373" s="270"/>
      <c r="H373" s="266"/>
      <c r="I373" s="270"/>
      <c r="J373" s="270"/>
      <c r="K373" s="263"/>
    </row>
    <row r="374">
      <c r="A374" s="269"/>
      <c r="B374" s="264"/>
      <c r="C374" s="266"/>
      <c r="D374" s="266"/>
      <c r="E374" s="270"/>
      <c r="F374" s="270"/>
      <c r="G374" s="270"/>
      <c r="H374" s="266"/>
      <c r="I374" s="270"/>
      <c r="J374" s="270"/>
      <c r="K374" s="263"/>
    </row>
    <row r="375">
      <c r="A375" s="269"/>
      <c r="B375" s="264"/>
      <c r="C375" s="266"/>
      <c r="D375" s="266"/>
      <c r="E375" s="270"/>
      <c r="F375" s="270"/>
      <c r="G375" s="270"/>
      <c r="H375" s="266"/>
      <c r="I375" s="270"/>
      <c r="J375" s="270"/>
      <c r="K375" s="263"/>
    </row>
    <row r="376">
      <c r="A376" s="269"/>
      <c r="B376" s="264"/>
      <c r="C376" s="266"/>
      <c r="D376" s="266"/>
      <c r="E376" s="270"/>
      <c r="F376" s="270"/>
      <c r="G376" s="270"/>
      <c r="H376" s="266"/>
      <c r="I376" s="270"/>
      <c r="J376" s="270"/>
      <c r="K376" s="263"/>
    </row>
    <row r="377">
      <c r="A377" s="269"/>
      <c r="B377" s="264"/>
      <c r="C377" s="266"/>
      <c r="D377" s="266"/>
      <c r="E377" s="270"/>
      <c r="F377" s="270"/>
      <c r="G377" s="270"/>
      <c r="H377" s="266"/>
      <c r="I377" s="270"/>
      <c r="J377" s="270"/>
      <c r="K377" s="263"/>
    </row>
    <row r="378">
      <c r="A378" s="269"/>
      <c r="B378" s="264"/>
      <c r="C378" s="266"/>
      <c r="D378" s="266"/>
      <c r="E378" s="270"/>
      <c r="F378" s="270"/>
      <c r="G378" s="270"/>
      <c r="H378" s="266"/>
      <c r="I378" s="270"/>
      <c r="J378" s="270"/>
      <c r="K378" s="263"/>
    </row>
    <row r="379">
      <c r="A379" s="269"/>
      <c r="B379" s="264"/>
      <c r="C379" s="266"/>
      <c r="D379" s="266"/>
      <c r="E379" s="270"/>
      <c r="F379" s="270"/>
      <c r="G379" s="270"/>
      <c r="H379" s="266"/>
      <c r="I379" s="270"/>
      <c r="J379" s="270"/>
      <c r="K379" s="263"/>
    </row>
    <row r="380">
      <c r="A380" s="269"/>
      <c r="B380" s="264"/>
      <c r="C380" s="266"/>
      <c r="D380" s="266"/>
      <c r="E380" s="270"/>
      <c r="F380" s="270"/>
      <c r="G380" s="270"/>
      <c r="H380" s="266"/>
      <c r="I380" s="270"/>
      <c r="J380" s="270"/>
      <c r="K380" s="263"/>
    </row>
    <row r="381">
      <c r="A381" s="269"/>
      <c r="B381" s="264"/>
      <c r="C381" s="266"/>
      <c r="D381" s="266"/>
      <c r="E381" s="270"/>
      <c r="F381" s="270"/>
      <c r="G381" s="270"/>
      <c r="H381" s="266"/>
      <c r="I381" s="270"/>
      <c r="J381" s="270"/>
      <c r="K381" s="263"/>
    </row>
    <row r="382">
      <c r="A382" s="269"/>
      <c r="B382" s="264"/>
      <c r="C382" s="266"/>
      <c r="D382" s="266"/>
      <c r="E382" s="270"/>
      <c r="F382" s="270"/>
      <c r="G382" s="270"/>
      <c r="H382" s="266"/>
      <c r="I382" s="270"/>
      <c r="J382" s="270"/>
      <c r="K382" s="263"/>
    </row>
    <row r="383">
      <c r="A383" s="269"/>
      <c r="B383" s="264"/>
      <c r="C383" s="266"/>
      <c r="D383" s="266"/>
      <c r="E383" s="270"/>
      <c r="F383" s="270"/>
      <c r="G383" s="270"/>
      <c r="H383" s="266"/>
      <c r="I383" s="270"/>
      <c r="J383" s="270"/>
      <c r="K383" s="263"/>
    </row>
    <row r="384">
      <c r="A384" s="269"/>
      <c r="B384" s="264"/>
      <c r="C384" s="266"/>
      <c r="D384" s="266"/>
      <c r="E384" s="270"/>
      <c r="F384" s="270"/>
      <c r="G384" s="270"/>
      <c r="H384" s="266"/>
      <c r="I384" s="270"/>
      <c r="J384" s="270"/>
      <c r="K384" s="263"/>
    </row>
    <row r="385">
      <c r="A385" s="269"/>
      <c r="B385" s="264"/>
      <c r="C385" s="266"/>
      <c r="D385" s="266"/>
      <c r="E385" s="270"/>
      <c r="F385" s="270"/>
      <c r="G385" s="270"/>
      <c r="H385" s="266"/>
      <c r="I385" s="270"/>
      <c r="J385" s="270"/>
      <c r="K385" s="263"/>
    </row>
    <row r="386">
      <c r="A386" s="269"/>
      <c r="B386" s="264"/>
      <c r="C386" s="266"/>
      <c r="D386" s="266"/>
      <c r="E386" s="270"/>
      <c r="F386" s="270"/>
      <c r="G386" s="270"/>
      <c r="H386" s="266"/>
      <c r="I386" s="270"/>
      <c r="J386" s="270"/>
      <c r="K386" s="263"/>
    </row>
    <row r="387">
      <c r="A387" s="269"/>
      <c r="B387" s="264"/>
      <c r="C387" s="266"/>
      <c r="D387" s="266"/>
      <c r="E387" s="270"/>
      <c r="F387" s="270"/>
      <c r="G387" s="270"/>
      <c r="H387" s="266"/>
      <c r="I387" s="270"/>
      <c r="J387" s="270"/>
      <c r="K387" s="263"/>
    </row>
    <row r="388">
      <c r="A388" s="269"/>
      <c r="B388" s="264"/>
      <c r="C388" s="266"/>
      <c r="D388" s="266"/>
      <c r="E388" s="270"/>
      <c r="F388" s="270"/>
      <c r="G388" s="270"/>
      <c r="H388" s="266"/>
      <c r="I388" s="270"/>
      <c r="J388" s="270"/>
      <c r="K388" s="263"/>
    </row>
    <row r="389">
      <c r="A389" s="269"/>
      <c r="B389" s="264"/>
      <c r="C389" s="266"/>
      <c r="D389" s="266"/>
      <c r="E389" s="270"/>
      <c r="F389" s="270"/>
      <c r="G389" s="270"/>
      <c r="H389" s="266"/>
      <c r="I389" s="270"/>
      <c r="J389" s="270"/>
      <c r="K389" s="263"/>
    </row>
    <row r="390">
      <c r="A390" s="269"/>
      <c r="B390" s="264"/>
      <c r="C390" s="266"/>
      <c r="D390" s="266"/>
      <c r="E390" s="270"/>
      <c r="F390" s="270"/>
      <c r="G390" s="270"/>
      <c r="H390" s="266"/>
      <c r="I390" s="270"/>
      <c r="J390" s="270"/>
      <c r="K390" s="263"/>
    </row>
    <row r="391">
      <c r="A391" s="269"/>
      <c r="B391" s="264"/>
      <c r="C391" s="266"/>
      <c r="D391" s="266"/>
      <c r="E391" s="270"/>
      <c r="F391" s="270"/>
      <c r="G391" s="270"/>
      <c r="H391" s="266"/>
      <c r="I391" s="270"/>
      <c r="J391" s="270"/>
      <c r="K391" s="263"/>
    </row>
    <row r="392">
      <c r="A392" s="269"/>
      <c r="B392" s="264"/>
      <c r="C392" s="266"/>
      <c r="D392" s="266"/>
      <c r="E392" s="270"/>
      <c r="F392" s="270"/>
      <c r="G392" s="270"/>
      <c r="H392" s="266"/>
      <c r="I392" s="270"/>
      <c r="J392" s="270"/>
      <c r="K392" s="263"/>
    </row>
    <row r="393">
      <c r="A393" s="269"/>
      <c r="B393" s="264"/>
      <c r="C393" s="266"/>
      <c r="D393" s="266"/>
      <c r="E393" s="270"/>
      <c r="F393" s="270"/>
      <c r="G393" s="270"/>
      <c r="H393" s="266"/>
      <c r="I393" s="270"/>
      <c r="J393" s="270"/>
      <c r="K393" s="263"/>
    </row>
    <row r="394">
      <c r="A394" s="269"/>
      <c r="B394" s="264"/>
      <c r="C394" s="266"/>
      <c r="D394" s="266"/>
      <c r="E394" s="270"/>
      <c r="F394" s="270"/>
      <c r="G394" s="270"/>
      <c r="H394" s="266"/>
      <c r="I394" s="270"/>
      <c r="J394" s="270"/>
      <c r="K394" s="263"/>
    </row>
    <row r="395">
      <c r="A395" s="269"/>
      <c r="B395" s="264"/>
      <c r="C395" s="266"/>
      <c r="D395" s="266"/>
      <c r="E395" s="270"/>
      <c r="F395" s="270"/>
      <c r="G395" s="270"/>
      <c r="H395" s="266"/>
      <c r="I395" s="270"/>
      <c r="J395" s="270"/>
      <c r="K395" s="263"/>
    </row>
    <row r="396">
      <c r="A396" s="269"/>
      <c r="B396" s="264"/>
      <c r="C396" s="266"/>
      <c r="D396" s="266"/>
      <c r="E396" s="270"/>
      <c r="F396" s="270"/>
      <c r="G396" s="270"/>
      <c r="H396" s="266"/>
      <c r="I396" s="270"/>
      <c r="J396" s="270"/>
      <c r="K396" s="263"/>
    </row>
    <row r="397">
      <c r="A397" s="269"/>
      <c r="B397" s="264"/>
      <c r="C397" s="266"/>
      <c r="D397" s="266"/>
      <c r="E397" s="270"/>
      <c r="F397" s="270"/>
      <c r="G397" s="270"/>
      <c r="H397" s="266"/>
      <c r="I397" s="270"/>
      <c r="J397" s="270"/>
      <c r="K397" s="263"/>
    </row>
    <row r="398">
      <c r="A398" s="269"/>
      <c r="B398" s="264"/>
      <c r="C398" s="266"/>
      <c r="D398" s="266"/>
      <c r="E398" s="270"/>
      <c r="F398" s="270"/>
      <c r="G398" s="270"/>
      <c r="H398" s="266"/>
      <c r="I398" s="270"/>
      <c r="J398" s="270"/>
      <c r="K398" s="263"/>
    </row>
    <row r="399">
      <c r="A399" s="269"/>
      <c r="B399" s="264"/>
      <c r="C399" s="266"/>
      <c r="D399" s="266"/>
      <c r="E399" s="270"/>
      <c r="F399" s="270"/>
      <c r="G399" s="270"/>
      <c r="H399" s="266"/>
      <c r="I399" s="270"/>
      <c r="J399" s="270"/>
      <c r="K399" s="263"/>
    </row>
    <row r="400">
      <c r="A400" s="269"/>
      <c r="B400" s="264"/>
      <c r="C400" s="266"/>
      <c r="D400" s="266"/>
      <c r="E400" s="270"/>
      <c r="F400" s="270"/>
      <c r="G400" s="270"/>
      <c r="H400" s="266"/>
      <c r="I400" s="270"/>
      <c r="J400" s="270"/>
      <c r="K400" s="263"/>
    </row>
    <row r="401">
      <c r="A401" s="269"/>
      <c r="B401" s="264"/>
      <c r="C401" s="266"/>
      <c r="D401" s="266"/>
      <c r="E401" s="270"/>
      <c r="F401" s="270"/>
      <c r="G401" s="270"/>
      <c r="H401" s="266"/>
      <c r="I401" s="270"/>
      <c r="J401" s="270"/>
      <c r="K401" s="263"/>
    </row>
    <row r="402">
      <c r="A402" s="269"/>
      <c r="B402" s="264"/>
      <c r="C402" s="266"/>
      <c r="D402" s="266"/>
      <c r="E402" s="270"/>
      <c r="F402" s="270"/>
      <c r="G402" s="270"/>
      <c r="H402" s="266"/>
      <c r="I402" s="270"/>
      <c r="J402" s="270"/>
      <c r="K402" s="263"/>
    </row>
    <row r="403">
      <c r="A403" s="269"/>
      <c r="B403" s="264"/>
      <c r="C403" s="266"/>
      <c r="D403" s="266"/>
      <c r="E403" s="270"/>
      <c r="F403" s="270"/>
      <c r="G403" s="270"/>
      <c r="H403" s="266"/>
      <c r="I403" s="270"/>
      <c r="J403" s="270"/>
      <c r="K403" s="263"/>
    </row>
    <row r="404">
      <c r="A404" s="269"/>
      <c r="B404" s="264"/>
      <c r="C404" s="266"/>
      <c r="D404" s="266"/>
      <c r="E404" s="270"/>
      <c r="F404" s="270"/>
      <c r="G404" s="270"/>
      <c r="H404" s="266"/>
      <c r="I404" s="270"/>
      <c r="J404" s="270"/>
      <c r="K404" s="263"/>
    </row>
    <row r="405">
      <c r="A405" s="269"/>
      <c r="B405" s="264"/>
      <c r="C405" s="266"/>
      <c r="D405" s="266"/>
      <c r="E405" s="270"/>
      <c r="F405" s="270"/>
      <c r="G405" s="270"/>
      <c r="H405" s="266"/>
      <c r="I405" s="270"/>
      <c r="J405" s="270"/>
      <c r="K405" s="263"/>
    </row>
    <row r="406">
      <c r="A406" s="269"/>
      <c r="B406" s="264"/>
      <c r="C406" s="266"/>
      <c r="D406" s="266"/>
      <c r="E406" s="270"/>
      <c r="F406" s="270"/>
      <c r="G406" s="270"/>
      <c r="H406" s="266"/>
      <c r="I406" s="270"/>
      <c r="J406" s="270"/>
      <c r="K406" s="263"/>
    </row>
    <row r="407">
      <c r="A407" s="269"/>
      <c r="B407" s="264"/>
      <c r="C407" s="266"/>
      <c r="D407" s="266"/>
      <c r="E407" s="270"/>
      <c r="F407" s="270"/>
      <c r="G407" s="270"/>
      <c r="H407" s="266"/>
      <c r="I407" s="270"/>
      <c r="J407" s="270"/>
      <c r="K407" s="263"/>
    </row>
    <row r="408">
      <c r="A408" s="269"/>
      <c r="B408" s="264"/>
      <c r="C408" s="266"/>
      <c r="D408" s="266"/>
      <c r="E408" s="270"/>
      <c r="F408" s="270"/>
      <c r="G408" s="270"/>
      <c r="H408" s="266"/>
      <c r="I408" s="270"/>
      <c r="J408" s="270"/>
      <c r="K408" s="263"/>
    </row>
    <row r="409">
      <c r="A409" s="269"/>
      <c r="B409" s="264"/>
      <c r="C409" s="266"/>
      <c r="D409" s="266"/>
      <c r="E409" s="270"/>
      <c r="F409" s="270"/>
      <c r="G409" s="270"/>
      <c r="H409" s="266"/>
      <c r="I409" s="270"/>
      <c r="J409" s="270"/>
      <c r="K409" s="263"/>
    </row>
    <row r="410">
      <c r="A410" s="269"/>
      <c r="B410" s="264"/>
      <c r="C410" s="266"/>
      <c r="D410" s="266"/>
      <c r="E410" s="270"/>
      <c r="F410" s="270"/>
      <c r="G410" s="270"/>
      <c r="H410" s="266"/>
      <c r="I410" s="270"/>
      <c r="J410" s="270"/>
      <c r="K410" s="263"/>
    </row>
    <row r="411">
      <c r="A411" s="269"/>
      <c r="B411" s="264"/>
      <c r="C411" s="266"/>
      <c r="D411" s="266"/>
      <c r="E411" s="270"/>
      <c r="F411" s="270"/>
      <c r="G411" s="270"/>
      <c r="H411" s="266"/>
      <c r="I411" s="270"/>
      <c r="J411" s="270"/>
      <c r="K411" s="263"/>
    </row>
    <row r="412">
      <c r="A412" s="269"/>
      <c r="B412" s="264"/>
      <c r="C412" s="266"/>
      <c r="D412" s="266"/>
      <c r="E412" s="270"/>
      <c r="F412" s="270"/>
      <c r="G412" s="270"/>
      <c r="H412" s="266"/>
      <c r="I412" s="270"/>
      <c r="J412" s="270"/>
      <c r="K412" s="263"/>
    </row>
    <row r="413">
      <c r="A413" s="269"/>
      <c r="B413" s="264"/>
      <c r="C413" s="266"/>
      <c r="D413" s="266"/>
      <c r="E413" s="270"/>
      <c r="F413" s="270"/>
      <c r="G413" s="270"/>
      <c r="H413" s="266"/>
      <c r="I413" s="270"/>
      <c r="J413" s="270"/>
      <c r="K413" s="263"/>
    </row>
    <row r="414">
      <c r="A414" s="269"/>
      <c r="B414" s="264"/>
      <c r="C414" s="266"/>
      <c r="D414" s="266"/>
      <c r="E414" s="270"/>
      <c r="F414" s="270"/>
      <c r="G414" s="270"/>
      <c r="H414" s="266"/>
      <c r="I414" s="270"/>
      <c r="J414" s="270"/>
      <c r="K414" s="263"/>
    </row>
    <row r="415">
      <c r="A415" s="269"/>
      <c r="B415" s="264"/>
      <c r="C415" s="266"/>
      <c r="D415" s="266"/>
      <c r="E415" s="270"/>
      <c r="F415" s="270"/>
      <c r="G415" s="270"/>
      <c r="H415" s="266"/>
      <c r="I415" s="270"/>
      <c r="J415" s="270"/>
      <c r="K415" s="263"/>
    </row>
    <row r="416">
      <c r="A416" s="269"/>
      <c r="B416" s="264"/>
      <c r="C416" s="266"/>
      <c r="D416" s="266"/>
      <c r="E416" s="270"/>
      <c r="F416" s="270"/>
      <c r="G416" s="270"/>
      <c r="H416" s="266"/>
      <c r="I416" s="270"/>
      <c r="J416" s="270"/>
      <c r="K416" s="263"/>
    </row>
    <row r="417">
      <c r="A417" s="269"/>
      <c r="B417" s="264"/>
      <c r="C417" s="266"/>
      <c r="D417" s="266"/>
      <c r="E417" s="270"/>
      <c r="F417" s="270"/>
      <c r="G417" s="270"/>
      <c r="H417" s="266"/>
      <c r="I417" s="270"/>
      <c r="J417" s="270"/>
      <c r="K417" s="263"/>
    </row>
    <row r="418">
      <c r="A418" s="269"/>
      <c r="B418" s="264"/>
      <c r="C418" s="266"/>
      <c r="D418" s="266"/>
      <c r="E418" s="270"/>
      <c r="F418" s="270"/>
      <c r="G418" s="270"/>
      <c r="H418" s="266"/>
      <c r="I418" s="270"/>
      <c r="J418" s="270"/>
      <c r="K418" s="263"/>
    </row>
    <row r="419">
      <c r="A419" s="269"/>
      <c r="B419" s="264"/>
      <c r="C419" s="266"/>
      <c r="D419" s="266"/>
      <c r="E419" s="270"/>
      <c r="F419" s="270"/>
      <c r="G419" s="270"/>
      <c r="H419" s="266"/>
      <c r="I419" s="270"/>
      <c r="J419" s="270"/>
      <c r="K419" s="263"/>
    </row>
    <row r="420">
      <c r="A420" s="269"/>
      <c r="B420" s="264"/>
      <c r="C420" s="266"/>
      <c r="D420" s="266"/>
      <c r="E420" s="270"/>
      <c r="F420" s="270"/>
      <c r="G420" s="270"/>
      <c r="H420" s="266"/>
      <c r="I420" s="270"/>
      <c r="J420" s="270"/>
      <c r="K420" s="263"/>
    </row>
    <row r="421">
      <c r="A421" s="269"/>
      <c r="B421" s="264"/>
      <c r="C421" s="266"/>
      <c r="D421" s="266"/>
      <c r="E421" s="270"/>
      <c r="F421" s="270"/>
      <c r="G421" s="270"/>
      <c r="H421" s="266"/>
      <c r="I421" s="270"/>
      <c r="J421" s="270"/>
      <c r="K421" s="263"/>
    </row>
    <row r="422">
      <c r="A422" s="269"/>
      <c r="B422" s="264"/>
      <c r="C422" s="266"/>
      <c r="D422" s="266"/>
      <c r="E422" s="270"/>
      <c r="F422" s="270"/>
      <c r="G422" s="270"/>
      <c r="H422" s="266"/>
      <c r="I422" s="270"/>
      <c r="J422" s="270"/>
      <c r="K422" s="263"/>
    </row>
    <row r="423">
      <c r="A423" s="269"/>
      <c r="B423" s="264"/>
      <c r="C423" s="266"/>
      <c r="D423" s="266"/>
      <c r="E423" s="270"/>
      <c r="F423" s="270"/>
      <c r="G423" s="270"/>
      <c r="H423" s="266"/>
      <c r="I423" s="270"/>
      <c r="J423" s="270"/>
      <c r="K423" s="263"/>
    </row>
    <row r="424">
      <c r="A424" s="269"/>
      <c r="B424" s="264"/>
      <c r="C424" s="266"/>
      <c r="D424" s="266"/>
      <c r="E424" s="270"/>
      <c r="F424" s="270"/>
      <c r="G424" s="270"/>
      <c r="H424" s="266"/>
      <c r="I424" s="270"/>
      <c r="J424" s="270"/>
      <c r="K424" s="263"/>
    </row>
    <row r="425">
      <c r="A425" s="269"/>
      <c r="B425" s="264"/>
      <c r="C425" s="266"/>
      <c r="D425" s="266"/>
      <c r="E425" s="270"/>
      <c r="F425" s="270"/>
      <c r="G425" s="270"/>
      <c r="H425" s="266"/>
      <c r="I425" s="270"/>
      <c r="J425" s="270"/>
      <c r="K425" s="263"/>
    </row>
    <row r="426">
      <c r="A426" s="269"/>
      <c r="B426" s="264"/>
      <c r="C426" s="266"/>
      <c r="D426" s="266"/>
      <c r="E426" s="270"/>
      <c r="F426" s="270"/>
      <c r="G426" s="270"/>
      <c r="H426" s="266"/>
      <c r="I426" s="270"/>
      <c r="J426" s="270"/>
      <c r="K426" s="263"/>
    </row>
    <row r="427">
      <c r="A427" s="269"/>
      <c r="B427" s="264"/>
      <c r="C427" s="266"/>
      <c r="D427" s="266"/>
      <c r="E427" s="270"/>
      <c r="F427" s="270"/>
      <c r="G427" s="270"/>
      <c r="H427" s="266"/>
      <c r="I427" s="270"/>
      <c r="J427" s="270"/>
      <c r="K427" s="263"/>
    </row>
    <row r="428">
      <c r="A428" s="269"/>
      <c r="B428" s="264"/>
      <c r="C428" s="266"/>
      <c r="D428" s="266"/>
      <c r="E428" s="270"/>
      <c r="F428" s="270"/>
      <c r="G428" s="270"/>
      <c r="H428" s="266"/>
      <c r="I428" s="270"/>
      <c r="J428" s="270"/>
      <c r="K428" s="263"/>
    </row>
    <row r="429">
      <c r="A429" s="269"/>
      <c r="B429" s="264"/>
      <c r="C429" s="266"/>
      <c r="D429" s="266"/>
      <c r="E429" s="270"/>
      <c r="F429" s="270"/>
      <c r="G429" s="270"/>
      <c r="H429" s="266"/>
      <c r="I429" s="270"/>
      <c r="J429" s="270"/>
      <c r="K429" s="263"/>
    </row>
    <row r="430">
      <c r="A430" s="269"/>
      <c r="B430" s="264"/>
      <c r="C430" s="266"/>
      <c r="D430" s="266"/>
      <c r="E430" s="270"/>
      <c r="F430" s="270"/>
      <c r="G430" s="270"/>
      <c r="H430" s="266"/>
      <c r="I430" s="270"/>
      <c r="J430" s="270"/>
      <c r="K430" s="263"/>
    </row>
    <row r="431">
      <c r="A431" s="269"/>
      <c r="B431" s="264"/>
      <c r="C431" s="266"/>
      <c r="D431" s="266"/>
      <c r="E431" s="270"/>
      <c r="F431" s="270"/>
      <c r="G431" s="270"/>
      <c r="H431" s="266"/>
      <c r="I431" s="270"/>
      <c r="J431" s="270"/>
      <c r="K431" s="263"/>
    </row>
    <row r="432">
      <c r="A432" s="269"/>
      <c r="B432" s="264"/>
      <c r="C432" s="266"/>
      <c r="D432" s="266"/>
      <c r="E432" s="270"/>
      <c r="F432" s="270"/>
      <c r="G432" s="270"/>
      <c r="H432" s="266"/>
      <c r="I432" s="270"/>
      <c r="J432" s="270"/>
      <c r="K432" s="263"/>
    </row>
    <row r="433">
      <c r="A433" s="269"/>
      <c r="B433" s="264"/>
      <c r="C433" s="266"/>
      <c r="D433" s="266"/>
      <c r="E433" s="270"/>
      <c r="F433" s="270"/>
      <c r="G433" s="270"/>
      <c r="H433" s="266"/>
      <c r="I433" s="270"/>
      <c r="J433" s="270"/>
      <c r="K433" s="263"/>
    </row>
    <row r="434">
      <c r="A434" s="269"/>
      <c r="B434" s="264"/>
      <c r="C434" s="266"/>
      <c r="D434" s="266"/>
      <c r="E434" s="270"/>
      <c r="F434" s="270"/>
      <c r="G434" s="270"/>
      <c r="H434" s="266"/>
      <c r="I434" s="270"/>
      <c r="J434" s="270"/>
      <c r="K434" s="263"/>
    </row>
    <row r="435">
      <c r="A435" s="269"/>
      <c r="B435" s="264"/>
      <c r="C435" s="266"/>
      <c r="D435" s="266"/>
      <c r="E435" s="270"/>
      <c r="F435" s="270"/>
      <c r="G435" s="270"/>
      <c r="H435" s="266"/>
      <c r="I435" s="270"/>
      <c r="J435" s="270"/>
      <c r="K435" s="263"/>
    </row>
    <row r="436">
      <c r="A436" s="269"/>
      <c r="B436" s="264"/>
      <c r="C436" s="266"/>
      <c r="D436" s="266"/>
      <c r="E436" s="270"/>
      <c r="F436" s="270"/>
      <c r="G436" s="270"/>
      <c r="H436" s="266"/>
      <c r="I436" s="270"/>
      <c r="J436" s="270"/>
      <c r="K436" s="263"/>
    </row>
    <row r="437">
      <c r="A437" s="269"/>
      <c r="B437" s="264"/>
      <c r="C437" s="266"/>
      <c r="D437" s="266"/>
      <c r="E437" s="270"/>
      <c r="F437" s="270"/>
      <c r="G437" s="270"/>
      <c r="H437" s="266"/>
      <c r="I437" s="270"/>
      <c r="J437" s="270"/>
      <c r="K437" s="263"/>
    </row>
    <row r="438">
      <c r="A438" s="269"/>
      <c r="B438" s="264"/>
      <c r="C438" s="266"/>
      <c r="D438" s="266"/>
      <c r="E438" s="270"/>
      <c r="F438" s="270"/>
      <c r="G438" s="270"/>
      <c r="H438" s="266"/>
      <c r="I438" s="270"/>
      <c r="J438" s="270"/>
      <c r="K438" s="263"/>
    </row>
    <row r="439">
      <c r="A439" s="269"/>
      <c r="B439" s="264"/>
      <c r="C439" s="266"/>
      <c r="D439" s="266"/>
      <c r="E439" s="270"/>
      <c r="F439" s="270"/>
      <c r="G439" s="270"/>
      <c r="H439" s="266"/>
      <c r="I439" s="270"/>
      <c r="J439" s="270"/>
      <c r="K439" s="263"/>
    </row>
    <row r="440">
      <c r="A440" s="269"/>
      <c r="B440" s="264"/>
      <c r="C440" s="266"/>
      <c r="D440" s="266"/>
      <c r="E440" s="270"/>
      <c r="F440" s="270"/>
      <c r="G440" s="270"/>
      <c r="H440" s="266"/>
      <c r="I440" s="270"/>
      <c r="J440" s="270"/>
      <c r="K440" s="263"/>
    </row>
    <row r="441">
      <c r="A441" s="269"/>
      <c r="B441" s="264"/>
      <c r="C441" s="266"/>
      <c r="D441" s="266"/>
      <c r="E441" s="270"/>
      <c r="F441" s="270"/>
      <c r="G441" s="270"/>
      <c r="H441" s="266"/>
      <c r="I441" s="270"/>
      <c r="J441" s="270"/>
      <c r="K441" s="263"/>
    </row>
    <row r="442">
      <c r="A442" s="269"/>
      <c r="B442" s="264"/>
      <c r="C442" s="266"/>
      <c r="D442" s="266"/>
      <c r="E442" s="270"/>
      <c r="F442" s="270"/>
      <c r="G442" s="270"/>
      <c r="H442" s="266"/>
      <c r="I442" s="270"/>
      <c r="J442" s="270"/>
      <c r="K442" s="263"/>
    </row>
    <row r="443">
      <c r="A443" s="269"/>
      <c r="B443" s="264"/>
      <c r="C443" s="266"/>
      <c r="D443" s="266"/>
      <c r="E443" s="270"/>
      <c r="F443" s="270"/>
      <c r="G443" s="270"/>
      <c r="H443" s="266"/>
      <c r="I443" s="270"/>
      <c r="J443" s="270"/>
      <c r="K443" s="263"/>
    </row>
    <row r="444">
      <c r="A444" s="269"/>
      <c r="B444" s="264"/>
      <c r="C444" s="266"/>
      <c r="D444" s="266"/>
      <c r="E444" s="270"/>
      <c r="F444" s="270"/>
      <c r="G444" s="270"/>
      <c r="H444" s="266"/>
      <c r="I444" s="270"/>
      <c r="J444" s="270"/>
      <c r="K444" s="263"/>
    </row>
    <row r="445">
      <c r="A445" s="269"/>
      <c r="B445" s="264"/>
      <c r="C445" s="266"/>
      <c r="D445" s="266"/>
      <c r="E445" s="270"/>
      <c r="F445" s="270"/>
      <c r="G445" s="270"/>
      <c r="H445" s="266"/>
      <c r="I445" s="270"/>
      <c r="J445" s="270"/>
      <c r="K445" s="263"/>
    </row>
    <row r="446">
      <c r="A446" s="269"/>
      <c r="B446" s="264"/>
      <c r="C446" s="266"/>
      <c r="D446" s="266"/>
      <c r="E446" s="270"/>
      <c r="F446" s="270"/>
      <c r="G446" s="270"/>
      <c r="H446" s="266"/>
      <c r="I446" s="270"/>
      <c r="J446" s="270"/>
      <c r="K446" s="263"/>
    </row>
    <row r="447">
      <c r="A447" s="269"/>
      <c r="B447" s="264"/>
      <c r="C447" s="266"/>
      <c r="D447" s="266"/>
      <c r="E447" s="270"/>
      <c r="F447" s="270"/>
      <c r="G447" s="270"/>
      <c r="H447" s="266"/>
      <c r="I447" s="270"/>
      <c r="J447" s="270"/>
      <c r="K447" s="263"/>
    </row>
    <row r="448">
      <c r="A448" s="269"/>
      <c r="B448" s="264"/>
      <c r="C448" s="266"/>
      <c r="D448" s="266"/>
      <c r="E448" s="270"/>
      <c r="F448" s="270"/>
      <c r="G448" s="270"/>
      <c r="H448" s="266"/>
      <c r="I448" s="270"/>
      <c r="J448" s="270"/>
      <c r="K448" s="263"/>
    </row>
    <row r="449">
      <c r="A449" s="269"/>
      <c r="B449" s="264"/>
      <c r="C449" s="266"/>
      <c r="D449" s="266"/>
      <c r="E449" s="270"/>
      <c r="F449" s="270"/>
      <c r="G449" s="270"/>
      <c r="H449" s="266"/>
      <c r="I449" s="270"/>
      <c r="J449" s="270"/>
      <c r="K449" s="263"/>
    </row>
    <row r="450">
      <c r="A450" s="269"/>
      <c r="B450" s="264"/>
      <c r="C450" s="266"/>
      <c r="D450" s="266"/>
      <c r="E450" s="270"/>
      <c r="F450" s="270"/>
      <c r="G450" s="270"/>
      <c r="H450" s="266"/>
      <c r="I450" s="270"/>
      <c r="J450" s="270"/>
      <c r="K450" s="263"/>
    </row>
    <row r="451">
      <c r="A451" s="269"/>
      <c r="B451" s="264"/>
      <c r="C451" s="266"/>
      <c r="D451" s="266"/>
      <c r="E451" s="270"/>
      <c r="F451" s="270"/>
      <c r="G451" s="270"/>
      <c r="H451" s="266"/>
      <c r="I451" s="270"/>
      <c r="J451" s="270"/>
      <c r="K451" s="263"/>
    </row>
    <row r="452">
      <c r="A452" s="269"/>
      <c r="B452" s="264"/>
      <c r="C452" s="266"/>
      <c r="D452" s="266"/>
      <c r="E452" s="270"/>
      <c r="F452" s="270"/>
      <c r="G452" s="270"/>
      <c r="H452" s="266"/>
      <c r="I452" s="270"/>
      <c r="J452" s="270"/>
      <c r="K452" s="263"/>
    </row>
    <row r="453">
      <c r="A453" s="269"/>
      <c r="B453" s="264"/>
      <c r="C453" s="266"/>
      <c r="D453" s="266"/>
      <c r="E453" s="270"/>
      <c r="F453" s="270"/>
      <c r="G453" s="270"/>
      <c r="H453" s="266"/>
      <c r="I453" s="270"/>
      <c r="J453" s="270"/>
      <c r="K453" s="263"/>
    </row>
    <row r="454">
      <c r="A454" s="269"/>
      <c r="B454" s="264"/>
      <c r="C454" s="266"/>
      <c r="D454" s="266"/>
      <c r="E454" s="270"/>
      <c r="F454" s="270"/>
      <c r="G454" s="270"/>
      <c r="H454" s="266"/>
      <c r="I454" s="270"/>
      <c r="J454" s="270"/>
      <c r="K454" s="263"/>
    </row>
    <row r="455">
      <c r="A455" s="269"/>
      <c r="B455" s="264"/>
      <c r="C455" s="266"/>
      <c r="D455" s="266"/>
      <c r="E455" s="270"/>
      <c r="F455" s="270"/>
      <c r="G455" s="270"/>
      <c r="H455" s="266"/>
      <c r="I455" s="270"/>
      <c r="J455" s="270"/>
      <c r="K455" s="263"/>
    </row>
    <row r="456">
      <c r="A456" s="269"/>
      <c r="B456" s="264"/>
      <c r="C456" s="266"/>
      <c r="D456" s="266"/>
      <c r="E456" s="270"/>
      <c r="F456" s="270"/>
      <c r="G456" s="270"/>
      <c r="H456" s="266"/>
      <c r="I456" s="270"/>
      <c r="J456" s="270"/>
      <c r="K456" s="263"/>
    </row>
    <row r="457">
      <c r="A457" s="269"/>
      <c r="B457" s="264"/>
      <c r="C457" s="266"/>
      <c r="D457" s="266"/>
      <c r="E457" s="270"/>
      <c r="F457" s="270"/>
      <c r="G457" s="270"/>
      <c r="H457" s="266"/>
      <c r="I457" s="270"/>
      <c r="J457" s="270"/>
      <c r="K457" s="263"/>
    </row>
    <row r="458">
      <c r="A458" s="269"/>
      <c r="B458" s="264"/>
      <c r="C458" s="266"/>
      <c r="D458" s="266"/>
      <c r="E458" s="270"/>
      <c r="F458" s="270"/>
      <c r="G458" s="270"/>
      <c r="H458" s="266"/>
      <c r="I458" s="270"/>
      <c r="J458" s="270"/>
      <c r="K458" s="263"/>
    </row>
    <row r="459">
      <c r="A459" s="269"/>
      <c r="B459" s="264"/>
      <c r="C459" s="266"/>
      <c r="D459" s="266"/>
      <c r="E459" s="270"/>
      <c r="F459" s="270"/>
      <c r="G459" s="270"/>
      <c r="H459" s="266"/>
      <c r="I459" s="270"/>
      <c r="J459" s="270"/>
      <c r="K459" s="263"/>
    </row>
    <row r="460">
      <c r="A460" s="269"/>
      <c r="B460" s="264"/>
      <c r="C460" s="266"/>
      <c r="D460" s="266"/>
      <c r="E460" s="270"/>
      <c r="F460" s="270"/>
      <c r="G460" s="270"/>
      <c r="H460" s="266"/>
      <c r="I460" s="270"/>
      <c r="J460" s="270"/>
      <c r="K460" s="263"/>
    </row>
    <row r="461">
      <c r="A461" s="269"/>
      <c r="B461" s="264"/>
      <c r="C461" s="266"/>
      <c r="D461" s="266"/>
      <c r="E461" s="270"/>
      <c r="F461" s="270"/>
      <c r="G461" s="270"/>
      <c r="H461" s="266"/>
      <c r="I461" s="270"/>
      <c r="J461" s="270"/>
      <c r="K461" s="263"/>
    </row>
    <row r="462">
      <c r="A462" s="269"/>
      <c r="B462" s="264"/>
      <c r="C462" s="266"/>
      <c r="D462" s="266"/>
      <c r="E462" s="270"/>
      <c r="F462" s="270"/>
      <c r="G462" s="270"/>
      <c r="H462" s="266"/>
      <c r="I462" s="270"/>
      <c r="J462" s="270"/>
      <c r="K462" s="263"/>
    </row>
    <row r="463">
      <c r="A463" s="269"/>
      <c r="B463" s="264"/>
      <c r="C463" s="266"/>
      <c r="D463" s="266"/>
      <c r="E463" s="270"/>
      <c r="F463" s="270"/>
      <c r="G463" s="270"/>
      <c r="H463" s="266"/>
      <c r="I463" s="270"/>
      <c r="J463" s="270"/>
      <c r="K463" s="263"/>
    </row>
    <row r="464">
      <c r="A464" s="269"/>
      <c r="B464" s="264"/>
      <c r="C464" s="266"/>
      <c r="D464" s="266"/>
      <c r="E464" s="270"/>
      <c r="F464" s="270"/>
      <c r="G464" s="270"/>
      <c r="H464" s="266"/>
      <c r="I464" s="270"/>
      <c r="J464" s="270"/>
      <c r="K464" s="263"/>
    </row>
    <row r="465">
      <c r="A465" s="269"/>
      <c r="B465" s="264"/>
      <c r="C465" s="266"/>
      <c r="D465" s="266"/>
      <c r="E465" s="270"/>
      <c r="F465" s="270"/>
      <c r="G465" s="270"/>
      <c r="H465" s="266"/>
      <c r="I465" s="270"/>
      <c r="J465" s="270"/>
      <c r="K465" s="263"/>
    </row>
    <row r="466">
      <c r="A466" s="269"/>
      <c r="B466" s="264"/>
      <c r="C466" s="266"/>
      <c r="D466" s="266"/>
      <c r="E466" s="270"/>
      <c r="F466" s="270"/>
      <c r="G466" s="270"/>
      <c r="H466" s="266"/>
      <c r="I466" s="270"/>
      <c r="J466" s="270"/>
      <c r="K466" s="263"/>
    </row>
    <row r="467">
      <c r="A467" s="269"/>
      <c r="B467" s="264"/>
      <c r="C467" s="266"/>
      <c r="D467" s="266"/>
      <c r="E467" s="270"/>
      <c r="F467" s="270"/>
      <c r="G467" s="270"/>
      <c r="H467" s="266"/>
      <c r="I467" s="270"/>
      <c r="J467" s="270"/>
      <c r="K467" s="263"/>
    </row>
    <row r="468">
      <c r="A468" s="269"/>
      <c r="B468" s="264"/>
      <c r="C468" s="266"/>
      <c r="D468" s="266"/>
      <c r="E468" s="270"/>
      <c r="F468" s="270"/>
      <c r="G468" s="270"/>
      <c r="H468" s="266"/>
      <c r="I468" s="270"/>
      <c r="J468" s="270"/>
      <c r="K468" s="263"/>
    </row>
    <row r="469">
      <c r="A469" s="269"/>
      <c r="B469" s="264"/>
      <c r="C469" s="266"/>
      <c r="D469" s="266"/>
      <c r="E469" s="270"/>
      <c r="F469" s="270"/>
      <c r="G469" s="270"/>
      <c r="H469" s="266"/>
      <c r="I469" s="270"/>
      <c r="J469" s="270"/>
      <c r="K469" s="263"/>
    </row>
    <row r="470">
      <c r="A470" s="269"/>
      <c r="B470" s="264"/>
      <c r="C470" s="266"/>
      <c r="D470" s="266"/>
      <c r="E470" s="270"/>
      <c r="F470" s="270"/>
      <c r="G470" s="270"/>
      <c r="H470" s="266"/>
      <c r="I470" s="270"/>
      <c r="J470" s="270"/>
      <c r="K470" s="263"/>
    </row>
    <row r="471">
      <c r="A471" s="269"/>
      <c r="B471" s="264"/>
      <c r="C471" s="266"/>
      <c r="D471" s="266"/>
      <c r="E471" s="270"/>
      <c r="F471" s="270"/>
      <c r="G471" s="270"/>
      <c r="H471" s="266"/>
      <c r="I471" s="270"/>
      <c r="J471" s="270"/>
      <c r="K471" s="263"/>
    </row>
    <row r="472">
      <c r="A472" s="269"/>
      <c r="B472" s="264"/>
      <c r="C472" s="266"/>
      <c r="D472" s="266"/>
      <c r="E472" s="270"/>
      <c r="F472" s="270"/>
      <c r="G472" s="270"/>
      <c r="H472" s="266"/>
      <c r="I472" s="270"/>
      <c r="J472" s="270"/>
      <c r="K472" s="263"/>
    </row>
    <row r="473">
      <c r="A473" s="269"/>
      <c r="B473" s="264"/>
      <c r="C473" s="266"/>
      <c r="D473" s="266"/>
      <c r="E473" s="270"/>
      <c r="F473" s="270"/>
      <c r="G473" s="270"/>
      <c r="H473" s="266"/>
      <c r="I473" s="270"/>
      <c r="J473" s="270"/>
      <c r="K473" s="263"/>
    </row>
    <row r="474">
      <c r="A474" s="269"/>
      <c r="B474" s="264"/>
      <c r="C474" s="266"/>
      <c r="D474" s="266"/>
      <c r="E474" s="270"/>
      <c r="F474" s="270"/>
      <c r="G474" s="270"/>
      <c r="H474" s="266"/>
      <c r="I474" s="270"/>
      <c r="J474" s="270"/>
      <c r="K474" s="263"/>
    </row>
    <row r="475">
      <c r="A475" s="269"/>
      <c r="B475" s="264"/>
      <c r="C475" s="266"/>
      <c r="D475" s="266"/>
      <c r="E475" s="270"/>
      <c r="F475" s="270"/>
      <c r="G475" s="270"/>
      <c r="H475" s="266"/>
      <c r="I475" s="270"/>
      <c r="J475" s="270"/>
      <c r="K475" s="263"/>
    </row>
    <row r="476">
      <c r="A476" s="269"/>
      <c r="B476" s="264"/>
      <c r="C476" s="266"/>
      <c r="D476" s="266"/>
      <c r="E476" s="270"/>
      <c r="F476" s="270"/>
      <c r="G476" s="270"/>
      <c r="H476" s="266"/>
      <c r="I476" s="270"/>
      <c r="J476" s="270"/>
      <c r="K476" s="263"/>
    </row>
    <row r="477">
      <c r="A477" s="269"/>
      <c r="B477" s="264"/>
      <c r="C477" s="266"/>
      <c r="D477" s="266"/>
      <c r="E477" s="270"/>
      <c r="F477" s="270"/>
      <c r="G477" s="270"/>
      <c r="H477" s="266"/>
      <c r="I477" s="270"/>
      <c r="J477" s="270"/>
      <c r="K477" s="263"/>
    </row>
    <row r="478">
      <c r="A478" s="269"/>
      <c r="B478" s="264"/>
      <c r="C478" s="266"/>
      <c r="D478" s="266"/>
      <c r="E478" s="270"/>
      <c r="F478" s="270"/>
      <c r="G478" s="270"/>
      <c r="H478" s="266"/>
      <c r="I478" s="270"/>
      <c r="J478" s="270"/>
      <c r="K478" s="263"/>
    </row>
    <row r="479">
      <c r="A479" s="269"/>
      <c r="B479" s="264"/>
      <c r="C479" s="266"/>
      <c r="D479" s="266"/>
      <c r="E479" s="270"/>
      <c r="F479" s="270"/>
      <c r="G479" s="270"/>
      <c r="H479" s="266"/>
      <c r="I479" s="270"/>
      <c r="J479" s="270"/>
      <c r="K479" s="263"/>
    </row>
    <row r="480">
      <c r="A480" s="269"/>
      <c r="B480" s="264"/>
      <c r="C480" s="266"/>
      <c r="D480" s="266"/>
      <c r="E480" s="270"/>
      <c r="F480" s="270"/>
      <c r="G480" s="270"/>
      <c r="H480" s="266"/>
      <c r="I480" s="270"/>
      <c r="J480" s="270"/>
      <c r="K480" s="263"/>
    </row>
    <row r="481">
      <c r="A481" s="269"/>
      <c r="B481" s="264"/>
      <c r="C481" s="266"/>
      <c r="D481" s="266"/>
      <c r="E481" s="270"/>
      <c r="F481" s="270"/>
      <c r="G481" s="270"/>
      <c r="H481" s="266"/>
      <c r="I481" s="270"/>
      <c r="J481" s="270"/>
      <c r="K481" s="263"/>
    </row>
    <row r="482">
      <c r="A482" s="269"/>
      <c r="B482" s="264"/>
      <c r="C482" s="266"/>
      <c r="D482" s="266"/>
      <c r="E482" s="270"/>
      <c r="F482" s="270"/>
      <c r="G482" s="270"/>
      <c r="H482" s="266"/>
      <c r="I482" s="270"/>
      <c r="J482" s="270"/>
      <c r="K482" s="263"/>
    </row>
    <row r="483">
      <c r="A483" s="269"/>
      <c r="B483" s="264"/>
      <c r="C483" s="266"/>
      <c r="D483" s="266"/>
      <c r="E483" s="270"/>
      <c r="F483" s="270"/>
      <c r="G483" s="270"/>
      <c r="H483" s="266"/>
      <c r="I483" s="270"/>
      <c r="J483" s="270"/>
      <c r="K483" s="263"/>
    </row>
    <row r="484">
      <c r="A484" s="269"/>
      <c r="B484" s="264"/>
      <c r="C484" s="266"/>
      <c r="D484" s="266"/>
      <c r="E484" s="270"/>
      <c r="F484" s="270"/>
      <c r="G484" s="270"/>
      <c r="H484" s="266"/>
      <c r="I484" s="270"/>
      <c r="J484" s="270"/>
      <c r="K484" s="263"/>
    </row>
    <row r="485">
      <c r="A485" s="269"/>
      <c r="B485" s="264"/>
      <c r="C485" s="266"/>
      <c r="D485" s="266"/>
      <c r="E485" s="270"/>
      <c r="F485" s="270"/>
      <c r="G485" s="270"/>
      <c r="H485" s="266"/>
      <c r="I485" s="270"/>
      <c r="J485" s="270"/>
      <c r="K485" s="263"/>
    </row>
    <row r="486">
      <c r="A486" s="269"/>
      <c r="B486" s="264"/>
      <c r="C486" s="266"/>
      <c r="D486" s="266"/>
      <c r="E486" s="270"/>
      <c r="F486" s="270"/>
      <c r="G486" s="270"/>
      <c r="H486" s="266"/>
      <c r="I486" s="270"/>
      <c r="J486" s="270"/>
      <c r="K486" s="263"/>
    </row>
    <row r="487">
      <c r="A487" s="269"/>
      <c r="B487" s="264"/>
      <c r="C487" s="266"/>
      <c r="D487" s="266"/>
      <c r="E487" s="270"/>
      <c r="F487" s="270"/>
      <c r="G487" s="270"/>
      <c r="H487" s="266"/>
      <c r="I487" s="270"/>
      <c r="J487" s="270"/>
      <c r="K487" s="263"/>
    </row>
    <row r="488">
      <c r="A488" s="269"/>
      <c r="B488" s="264"/>
      <c r="C488" s="266"/>
      <c r="D488" s="266"/>
      <c r="E488" s="270"/>
      <c r="F488" s="270"/>
      <c r="G488" s="270"/>
      <c r="H488" s="266"/>
      <c r="I488" s="270"/>
      <c r="J488" s="270"/>
      <c r="K488" s="263"/>
    </row>
    <row r="489">
      <c r="A489" s="269"/>
      <c r="B489" s="264"/>
      <c r="C489" s="266"/>
      <c r="D489" s="266"/>
      <c r="E489" s="270"/>
      <c r="F489" s="270"/>
      <c r="G489" s="270"/>
      <c r="H489" s="266"/>
      <c r="I489" s="270"/>
      <c r="J489" s="270"/>
      <c r="K489" s="263"/>
    </row>
    <row r="490">
      <c r="A490" s="269"/>
      <c r="B490" s="264"/>
      <c r="C490" s="266"/>
      <c r="D490" s="266"/>
      <c r="E490" s="270"/>
      <c r="F490" s="270"/>
      <c r="G490" s="270"/>
      <c r="H490" s="266"/>
      <c r="I490" s="270"/>
      <c r="J490" s="270"/>
      <c r="K490" s="263"/>
    </row>
    <row r="491">
      <c r="A491" s="269"/>
      <c r="B491" s="264"/>
      <c r="C491" s="266"/>
      <c r="D491" s="266"/>
      <c r="E491" s="270"/>
      <c r="F491" s="270"/>
      <c r="G491" s="270"/>
      <c r="H491" s="266"/>
      <c r="I491" s="270"/>
      <c r="J491" s="270"/>
      <c r="K491" s="263"/>
    </row>
    <row r="492">
      <c r="A492" s="269"/>
      <c r="B492" s="264"/>
      <c r="C492" s="266"/>
      <c r="D492" s="266"/>
      <c r="E492" s="270"/>
      <c r="F492" s="270"/>
      <c r="G492" s="270"/>
      <c r="H492" s="266"/>
      <c r="I492" s="270"/>
      <c r="J492" s="270"/>
      <c r="K492" s="263"/>
    </row>
    <row r="493">
      <c r="A493" s="269"/>
      <c r="B493" s="264"/>
      <c r="C493" s="266"/>
      <c r="D493" s="266"/>
      <c r="E493" s="270"/>
      <c r="F493" s="270"/>
      <c r="G493" s="270"/>
      <c r="H493" s="266"/>
      <c r="I493" s="270"/>
      <c r="J493" s="270"/>
      <c r="K493" s="263"/>
    </row>
    <row r="494">
      <c r="A494" s="269"/>
      <c r="B494" s="264"/>
      <c r="C494" s="266"/>
      <c r="D494" s="266"/>
      <c r="E494" s="270"/>
      <c r="F494" s="270"/>
      <c r="G494" s="270"/>
      <c r="H494" s="266"/>
      <c r="I494" s="270"/>
      <c r="J494" s="270"/>
      <c r="K494" s="263"/>
    </row>
    <row r="495">
      <c r="A495" s="269"/>
      <c r="B495" s="264"/>
      <c r="C495" s="266"/>
      <c r="D495" s="266"/>
      <c r="E495" s="270"/>
      <c r="F495" s="270"/>
      <c r="G495" s="270"/>
      <c r="H495" s="266"/>
      <c r="I495" s="270"/>
      <c r="J495" s="270"/>
      <c r="K495" s="263"/>
    </row>
    <row r="496">
      <c r="A496" s="269"/>
      <c r="B496" s="264"/>
      <c r="C496" s="266"/>
      <c r="D496" s="266"/>
      <c r="E496" s="270"/>
      <c r="F496" s="270"/>
      <c r="G496" s="270"/>
      <c r="H496" s="266"/>
      <c r="I496" s="270"/>
      <c r="J496" s="270"/>
      <c r="K496" s="263"/>
    </row>
    <row r="497">
      <c r="A497" s="269"/>
      <c r="B497" s="264"/>
      <c r="C497" s="266"/>
      <c r="D497" s="266"/>
      <c r="E497" s="270"/>
      <c r="F497" s="270"/>
      <c r="G497" s="270"/>
      <c r="H497" s="266"/>
      <c r="I497" s="270"/>
      <c r="J497" s="270"/>
      <c r="K497" s="263"/>
    </row>
    <row r="498">
      <c r="A498" s="269"/>
      <c r="B498" s="264"/>
      <c r="C498" s="266"/>
      <c r="D498" s="266"/>
      <c r="E498" s="270"/>
      <c r="F498" s="270"/>
      <c r="G498" s="270"/>
      <c r="H498" s="266"/>
      <c r="I498" s="270"/>
      <c r="J498" s="270"/>
      <c r="K498" s="263"/>
    </row>
    <row r="499">
      <c r="A499" s="269"/>
      <c r="B499" s="264"/>
      <c r="C499" s="266"/>
      <c r="D499" s="266"/>
      <c r="E499" s="270"/>
      <c r="F499" s="270"/>
      <c r="G499" s="270"/>
      <c r="H499" s="266"/>
      <c r="I499" s="270"/>
      <c r="J499" s="270"/>
      <c r="K499" s="263"/>
    </row>
    <row r="500">
      <c r="A500" s="269"/>
      <c r="B500" s="264"/>
      <c r="C500" s="266"/>
      <c r="D500" s="266"/>
      <c r="E500" s="270"/>
      <c r="F500" s="270"/>
      <c r="G500" s="270"/>
      <c r="H500" s="266"/>
      <c r="I500" s="270"/>
      <c r="J500" s="270"/>
      <c r="K500" s="263"/>
    </row>
    <row r="501">
      <c r="A501" s="269"/>
      <c r="B501" s="264"/>
      <c r="C501" s="266"/>
      <c r="D501" s="266"/>
      <c r="E501" s="270"/>
      <c r="F501" s="270"/>
      <c r="G501" s="270"/>
      <c r="H501" s="266"/>
      <c r="I501" s="270"/>
      <c r="J501" s="270"/>
      <c r="K501" s="263"/>
    </row>
    <row r="502">
      <c r="A502" s="269"/>
      <c r="B502" s="264"/>
      <c r="C502" s="266"/>
      <c r="D502" s="266"/>
      <c r="E502" s="270"/>
      <c r="F502" s="270"/>
      <c r="G502" s="270"/>
      <c r="H502" s="266"/>
      <c r="I502" s="270"/>
      <c r="J502" s="270"/>
      <c r="K502" s="263"/>
    </row>
    <row r="503">
      <c r="A503" s="269"/>
      <c r="B503" s="264"/>
      <c r="C503" s="266"/>
      <c r="D503" s="266"/>
      <c r="E503" s="270"/>
      <c r="F503" s="270"/>
      <c r="G503" s="270"/>
      <c r="H503" s="266"/>
      <c r="I503" s="270"/>
      <c r="J503" s="270"/>
      <c r="K503" s="263"/>
    </row>
    <row r="504">
      <c r="A504" s="269"/>
      <c r="B504" s="264"/>
      <c r="C504" s="266"/>
      <c r="D504" s="266"/>
      <c r="E504" s="270"/>
      <c r="F504" s="270"/>
      <c r="G504" s="270"/>
      <c r="H504" s="266"/>
      <c r="I504" s="270"/>
      <c r="J504" s="270"/>
      <c r="K504" s="263"/>
    </row>
    <row r="505">
      <c r="A505" s="269"/>
      <c r="B505" s="264"/>
      <c r="C505" s="266"/>
      <c r="D505" s="266"/>
      <c r="E505" s="270"/>
      <c r="F505" s="270"/>
      <c r="G505" s="270"/>
      <c r="H505" s="266"/>
      <c r="I505" s="270"/>
      <c r="J505" s="270"/>
      <c r="K505" s="263"/>
    </row>
    <row r="506">
      <c r="A506" s="269"/>
      <c r="B506" s="264"/>
      <c r="C506" s="266"/>
      <c r="D506" s="266"/>
      <c r="E506" s="270"/>
      <c r="F506" s="270"/>
      <c r="G506" s="270"/>
      <c r="H506" s="266"/>
      <c r="I506" s="270"/>
      <c r="J506" s="270"/>
      <c r="K506" s="263"/>
    </row>
    <row r="507">
      <c r="A507" s="269"/>
      <c r="B507" s="264"/>
      <c r="C507" s="266"/>
      <c r="D507" s="266"/>
      <c r="E507" s="270"/>
      <c r="F507" s="270"/>
      <c r="G507" s="270"/>
      <c r="H507" s="266"/>
      <c r="I507" s="270"/>
      <c r="J507" s="270"/>
      <c r="K507" s="263"/>
    </row>
    <row r="508">
      <c r="A508" s="269"/>
      <c r="B508" s="264"/>
      <c r="C508" s="266"/>
      <c r="D508" s="266"/>
      <c r="E508" s="270"/>
      <c r="F508" s="270"/>
      <c r="G508" s="270"/>
      <c r="H508" s="266"/>
      <c r="I508" s="270"/>
      <c r="J508" s="270"/>
      <c r="K508" s="263"/>
    </row>
    <row r="509">
      <c r="A509" s="269"/>
      <c r="B509" s="264"/>
      <c r="C509" s="266"/>
      <c r="D509" s="266"/>
      <c r="E509" s="270"/>
      <c r="F509" s="270"/>
      <c r="G509" s="270"/>
      <c r="H509" s="266"/>
      <c r="I509" s="270"/>
      <c r="J509" s="270"/>
      <c r="K509" s="263"/>
    </row>
    <row r="510">
      <c r="A510" s="269"/>
      <c r="B510" s="264"/>
      <c r="C510" s="266"/>
      <c r="D510" s="266"/>
      <c r="E510" s="270"/>
      <c r="F510" s="270"/>
      <c r="G510" s="270"/>
      <c r="H510" s="266"/>
      <c r="I510" s="270"/>
      <c r="J510" s="270"/>
      <c r="K510" s="263"/>
    </row>
    <row r="511">
      <c r="A511" s="269"/>
      <c r="B511" s="264"/>
      <c r="C511" s="266"/>
      <c r="D511" s="266"/>
      <c r="E511" s="270"/>
      <c r="F511" s="270"/>
      <c r="G511" s="270"/>
      <c r="H511" s="266"/>
      <c r="I511" s="270"/>
      <c r="J511" s="270"/>
      <c r="K511" s="263"/>
    </row>
    <row r="512">
      <c r="A512" s="269"/>
      <c r="B512" s="264"/>
      <c r="C512" s="266"/>
      <c r="D512" s="266"/>
      <c r="E512" s="270"/>
      <c r="F512" s="270"/>
      <c r="G512" s="270"/>
      <c r="H512" s="266"/>
      <c r="I512" s="270"/>
      <c r="J512" s="270"/>
      <c r="K512" s="263"/>
    </row>
    <row r="513">
      <c r="A513" s="269"/>
      <c r="B513" s="264"/>
      <c r="C513" s="266"/>
      <c r="D513" s="266"/>
      <c r="E513" s="270"/>
      <c r="F513" s="270"/>
      <c r="G513" s="270"/>
      <c r="H513" s="266"/>
      <c r="I513" s="270"/>
      <c r="J513" s="270"/>
      <c r="K513" s="263"/>
    </row>
    <row r="514">
      <c r="A514" s="269"/>
      <c r="B514" s="264"/>
      <c r="C514" s="266"/>
      <c r="D514" s="266"/>
      <c r="E514" s="270"/>
      <c r="F514" s="270"/>
      <c r="G514" s="270"/>
      <c r="H514" s="266"/>
      <c r="I514" s="270"/>
      <c r="J514" s="270"/>
      <c r="K514" s="263"/>
    </row>
    <row r="515">
      <c r="A515" s="269"/>
      <c r="B515" s="264"/>
      <c r="C515" s="266"/>
      <c r="D515" s="266"/>
      <c r="E515" s="270"/>
      <c r="F515" s="270"/>
      <c r="G515" s="270"/>
      <c r="H515" s="266"/>
      <c r="I515" s="270"/>
      <c r="J515" s="270"/>
      <c r="K515" s="263"/>
    </row>
    <row r="516">
      <c r="A516" s="269"/>
      <c r="B516" s="264"/>
      <c r="C516" s="266"/>
      <c r="D516" s="266"/>
      <c r="E516" s="270"/>
      <c r="F516" s="270"/>
      <c r="G516" s="270"/>
      <c r="H516" s="266"/>
      <c r="I516" s="270"/>
      <c r="J516" s="270"/>
      <c r="K516" s="263"/>
    </row>
    <row r="517">
      <c r="A517" s="269"/>
      <c r="B517" s="264"/>
      <c r="C517" s="266"/>
      <c r="D517" s="266"/>
      <c r="E517" s="270"/>
      <c r="F517" s="270"/>
      <c r="G517" s="270"/>
      <c r="H517" s="266"/>
      <c r="I517" s="270"/>
      <c r="J517" s="270"/>
      <c r="K517" s="263"/>
    </row>
    <row r="518">
      <c r="A518" s="269"/>
      <c r="B518" s="264"/>
      <c r="C518" s="266"/>
      <c r="D518" s="266"/>
      <c r="E518" s="270"/>
      <c r="F518" s="270"/>
      <c r="G518" s="270"/>
      <c r="H518" s="266"/>
      <c r="I518" s="270"/>
      <c r="J518" s="270"/>
      <c r="K518" s="263"/>
    </row>
    <row r="519">
      <c r="A519" s="269"/>
      <c r="B519" s="264"/>
      <c r="C519" s="266"/>
      <c r="D519" s="266"/>
      <c r="E519" s="270"/>
      <c r="F519" s="270"/>
      <c r="G519" s="270"/>
      <c r="H519" s="266"/>
      <c r="I519" s="270"/>
      <c r="J519" s="270"/>
      <c r="K519" s="263"/>
    </row>
    <row r="520">
      <c r="A520" s="269"/>
      <c r="B520" s="264"/>
      <c r="C520" s="266"/>
      <c r="D520" s="266"/>
      <c r="E520" s="270"/>
      <c r="F520" s="270"/>
      <c r="G520" s="270"/>
      <c r="H520" s="266"/>
      <c r="I520" s="270"/>
      <c r="J520" s="270"/>
      <c r="K520" s="263"/>
    </row>
    <row r="521">
      <c r="A521" s="269"/>
      <c r="B521" s="264"/>
      <c r="C521" s="266"/>
      <c r="D521" s="266"/>
      <c r="E521" s="270"/>
      <c r="F521" s="270"/>
      <c r="G521" s="270"/>
      <c r="H521" s="266"/>
      <c r="I521" s="270"/>
      <c r="J521" s="270"/>
      <c r="K521" s="263"/>
    </row>
    <row r="522">
      <c r="A522" s="269"/>
      <c r="B522" s="264"/>
      <c r="C522" s="266"/>
      <c r="D522" s="266"/>
      <c r="E522" s="270"/>
      <c r="F522" s="270"/>
      <c r="G522" s="270"/>
      <c r="H522" s="266"/>
      <c r="I522" s="270"/>
      <c r="J522" s="270"/>
      <c r="K522" s="263"/>
    </row>
    <row r="523">
      <c r="A523" s="269"/>
      <c r="B523" s="264"/>
      <c r="C523" s="266"/>
      <c r="D523" s="266"/>
      <c r="E523" s="270"/>
      <c r="F523" s="270"/>
      <c r="G523" s="270"/>
      <c r="H523" s="266"/>
      <c r="I523" s="270"/>
      <c r="J523" s="270"/>
      <c r="K523" s="263"/>
    </row>
    <row r="524">
      <c r="A524" s="269"/>
      <c r="B524" s="264"/>
      <c r="C524" s="266"/>
      <c r="D524" s="266"/>
      <c r="E524" s="270"/>
      <c r="F524" s="270"/>
      <c r="G524" s="270"/>
      <c r="H524" s="266"/>
      <c r="I524" s="270"/>
      <c r="J524" s="270"/>
      <c r="K524" s="263"/>
    </row>
    <row r="525">
      <c r="A525" s="269"/>
      <c r="B525" s="264"/>
      <c r="C525" s="266"/>
      <c r="D525" s="266"/>
      <c r="E525" s="270"/>
      <c r="F525" s="270"/>
      <c r="G525" s="270"/>
      <c r="H525" s="266"/>
      <c r="I525" s="270"/>
      <c r="J525" s="270"/>
      <c r="K525" s="263"/>
    </row>
    <row r="526">
      <c r="A526" s="269"/>
      <c r="B526" s="264"/>
      <c r="C526" s="266"/>
      <c r="D526" s="266"/>
      <c r="E526" s="270"/>
      <c r="F526" s="270"/>
      <c r="G526" s="270"/>
      <c r="H526" s="266"/>
      <c r="I526" s="270"/>
      <c r="J526" s="270"/>
      <c r="K526" s="263"/>
    </row>
    <row r="527">
      <c r="A527" s="269"/>
      <c r="B527" s="264"/>
      <c r="C527" s="266"/>
      <c r="D527" s="266"/>
      <c r="E527" s="270"/>
      <c r="F527" s="270"/>
      <c r="G527" s="270"/>
      <c r="H527" s="266"/>
      <c r="I527" s="270"/>
      <c r="J527" s="270"/>
      <c r="K527" s="263"/>
    </row>
    <row r="528">
      <c r="A528" s="269"/>
      <c r="B528" s="264"/>
      <c r="C528" s="266"/>
      <c r="D528" s="266"/>
      <c r="E528" s="270"/>
      <c r="F528" s="270"/>
      <c r="G528" s="270"/>
      <c r="H528" s="266"/>
      <c r="I528" s="270"/>
      <c r="J528" s="270"/>
      <c r="K528" s="263"/>
    </row>
    <row r="529">
      <c r="A529" s="269"/>
      <c r="B529" s="264"/>
      <c r="C529" s="266"/>
      <c r="D529" s="266"/>
      <c r="E529" s="270"/>
      <c r="F529" s="270"/>
      <c r="G529" s="270"/>
      <c r="H529" s="266"/>
      <c r="I529" s="270"/>
      <c r="J529" s="270"/>
      <c r="K529" s="263"/>
    </row>
    <row r="530">
      <c r="A530" s="269"/>
      <c r="B530" s="264"/>
      <c r="C530" s="266"/>
      <c r="D530" s="266"/>
      <c r="E530" s="270"/>
      <c r="F530" s="270"/>
      <c r="G530" s="270"/>
      <c r="H530" s="266"/>
      <c r="I530" s="270"/>
      <c r="J530" s="270"/>
      <c r="K530" s="263"/>
    </row>
    <row r="531">
      <c r="A531" s="269"/>
      <c r="B531" s="264"/>
      <c r="C531" s="266"/>
      <c r="D531" s="266"/>
      <c r="E531" s="270"/>
      <c r="F531" s="270"/>
      <c r="G531" s="270"/>
      <c r="H531" s="266"/>
      <c r="I531" s="270"/>
      <c r="J531" s="270"/>
      <c r="K531" s="263"/>
    </row>
    <row r="532">
      <c r="A532" s="269"/>
      <c r="B532" s="264"/>
      <c r="C532" s="266"/>
      <c r="D532" s="266"/>
      <c r="E532" s="270"/>
      <c r="F532" s="270"/>
      <c r="G532" s="270"/>
      <c r="H532" s="266"/>
      <c r="I532" s="270"/>
      <c r="J532" s="270"/>
      <c r="K532" s="263"/>
    </row>
    <row r="533">
      <c r="A533" s="269"/>
      <c r="B533" s="264"/>
      <c r="C533" s="266"/>
      <c r="D533" s="266"/>
      <c r="E533" s="270"/>
      <c r="F533" s="270"/>
      <c r="G533" s="270"/>
      <c r="H533" s="266"/>
      <c r="I533" s="270"/>
      <c r="J533" s="270"/>
      <c r="K533" s="263"/>
    </row>
    <row r="534">
      <c r="A534" s="269"/>
      <c r="B534" s="264"/>
      <c r="C534" s="266"/>
      <c r="D534" s="266"/>
      <c r="E534" s="270"/>
      <c r="F534" s="270"/>
      <c r="G534" s="270"/>
      <c r="H534" s="266"/>
      <c r="I534" s="270"/>
      <c r="J534" s="270"/>
      <c r="K534" s="263"/>
    </row>
    <row r="535">
      <c r="A535" s="269"/>
      <c r="B535" s="264"/>
      <c r="C535" s="266"/>
      <c r="D535" s="266"/>
      <c r="E535" s="270"/>
      <c r="F535" s="270"/>
      <c r="G535" s="270"/>
      <c r="H535" s="266"/>
      <c r="I535" s="270"/>
      <c r="J535" s="270"/>
      <c r="K535" s="263"/>
    </row>
    <row r="536">
      <c r="A536" s="269"/>
      <c r="B536" s="264"/>
      <c r="C536" s="266"/>
      <c r="D536" s="266"/>
      <c r="E536" s="270"/>
      <c r="F536" s="270"/>
      <c r="G536" s="270"/>
      <c r="H536" s="266"/>
      <c r="I536" s="270"/>
      <c r="J536" s="270"/>
      <c r="K536" s="263"/>
    </row>
    <row r="537">
      <c r="A537" s="269"/>
      <c r="B537" s="264"/>
      <c r="C537" s="266"/>
      <c r="D537" s="266"/>
      <c r="E537" s="270"/>
      <c r="F537" s="270"/>
      <c r="G537" s="270"/>
      <c r="H537" s="266"/>
      <c r="I537" s="270"/>
      <c r="J537" s="270"/>
      <c r="K537" s="263"/>
    </row>
    <row r="538">
      <c r="A538" s="269"/>
      <c r="B538" s="264"/>
      <c r="C538" s="266"/>
      <c r="D538" s="266"/>
      <c r="E538" s="270"/>
      <c r="F538" s="270"/>
      <c r="G538" s="270"/>
      <c r="H538" s="266"/>
      <c r="I538" s="270"/>
      <c r="J538" s="270"/>
      <c r="K538" s="263"/>
    </row>
    <row r="539">
      <c r="A539" s="269"/>
      <c r="B539" s="264"/>
      <c r="C539" s="266"/>
      <c r="D539" s="266"/>
      <c r="E539" s="270"/>
      <c r="F539" s="270"/>
      <c r="G539" s="270"/>
      <c r="H539" s="266"/>
      <c r="I539" s="270"/>
      <c r="J539" s="270"/>
      <c r="K539" s="263"/>
    </row>
    <row r="540">
      <c r="A540" s="269"/>
      <c r="B540" s="264"/>
      <c r="C540" s="266"/>
      <c r="D540" s="266"/>
      <c r="E540" s="270"/>
      <c r="F540" s="270"/>
      <c r="G540" s="270"/>
      <c r="H540" s="266"/>
      <c r="I540" s="270"/>
      <c r="J540" s="270"/>
      <c r="K540" s="263"/>
    </row>
    <row r="541">
      <c r="A541" s="269"/>
      <c r="B541" s="264"/>
      <c r="C541" s="266"/>
      <c r="D541" s="266"/>
      <c r="E541" s="270"/>
      <c r="F541" s="270"/>
      <c r="G541" s="270"/>
      <c r="H541" s="266"/>
      <c r="I541" s="270"/>
      <c r="J541" s="270"/>
      <c r="K541" s="263"/>
    </row>
    <row r="542">
      <c r="A542" s="269"/>
      <c r="B542" s="264"/>
      <c r="C542" s="266"/>
      <c r="D542" s="266"/>
      <c r="E542" s="270"/>
      <c r="F542" s="270"/>
      <c r="G542" s="270"/>
      <c r="H542" s="266"/>
      <c r="I542" s="270"/>
      <c r="J542" s="270"/>
      <c r="K542" s="263"/>
    </row>
    <row r="543">
      <c r="A543" s="269"/>
      <c r="B543" s="264"/>
      <c r="C543" s="266"/>
      <c r="D543" s="266"/>
      <c r="E543" s="270"/>
      <c r="F543" s="270"/>
      <c r="G543" s="270"/>
      <c r="H543" s="266"/>
      <c r="I543" s="270"/>
      <c r="J543" s="270"/>
      <c r="K543" s="263"/>
    </row>
    <row r="544">
      <c r="A544" s="269"/>
      <c r="B544" s="264"/>
      <c r="C544" s="266"/>
      <c r="D544" s="266"/>
      <c r="E544" s="270"/>
      <c r="F544" s="270"/>
      <c r="G544" s="270"/>
      <c r="H544" s="266"/>
      <c r="I544" s="270"/>
      <c r="J544" s="270"/>
      <c r="K544" s="263"/>
    </row>
    <row r="545">
      <c r="A545" s="269"/>
      <c r="B545" s="264"/>
      <c r="C545" s="266"/>
      <c r="D545" s="266"/>
      <c r="E545" s="270"/>
      <c r="F545" s="270"/>
      <c r="G545" s="270"/>
      <c r="H545" s="266"/>
      <c r="I545" s="270"/>
      <c r="J545" s="270"/>
      <c r="K545" s="263"/>
    </row>
    <row r="546">
      <c r="A546" s="269"/>
      <c r="B546" s="264"/>
      <c r="C546" s="266"/>
      <c r="D546" s="266"/>
      <c r="E546" s="270"/>
      <c r="F546" s="270"/>
      <c r="G546" s="270"/>
      <c r="H546" s="266"/>
      <c r="I546" s="270"/>
      <c r="J546" s="270"/>
      <c r="K546" s="263"/>
    </row>
    <row r="547">
      <c r="A547" s="269"/>
      <c r="B547" s="264"/>
      <c r="C547" s="266"/>
      <c r="D547" s="266"/>
      <c r="E547" s="270"/>
      <c r="F547" s="270"/>
      <c r="G547" s="270"/>
      <c r="H547" s="266"/>
      <c r="I547" s="270"/>
      <c r="J547" s="270"/>
      <c r="K547" s="263"/>
    </row>
    <row r="548">
      <c r="A548" s="269"/>
      <c r="B548" s="264"/>
      <c r="C548" s="266"/>
      <c r="D548" s="266"/>
      <c r="E548" s="270"/>
      <c r="F548" s="270"/>
      <c r="G548" s="270"/>
      <c r="H548" s="266"/>
      <c r="I548" s="270"/>
      <c r="J548" s="270"/>
      <c r="K548" s="263"/>
    </row>
    <row r="549">
      <c r="A549" s="269"/>
      <c r="B549" s="264"/>
      <c r="C549" s="266"/>
      <c r="D549" s="266"/>
      <c r="E549" s="270"/>
      <c r="F549" s="270"/>
      <c r="G549" s="270"/>
      <c r="H549" s="266"/>
      <c r="I549" s="270"/>
      <c r="J549" s="270"/>
      <c r="K549" s="263"/>
    </row>
    <row r="550">
      <c r="A550" s="269"/>
      <c r="B550" s="264"/>
      <c r="C550" s="266"/>
      <c r="D550" s="266"/>
      <c r="E550" s="270"/>
      <c r="F550" s="270"/>
      <c r="G550" s="270"/>
      <c r="H550" s="266"/>
      <c r="I550" s="270"/>
      <c r="J550" s="270"/>
      <c r="K550" s="263"/>
    </row>
    <row r="551">
      <c r="A551" s="269"/>
      <c r="B551" s="264"/>
      <c r="C551" s="266"/>
      <c r="D551" s="266"/>
      <c r="E551" s="270"/>
      <c r="F551" s="270"/>
      <c r="G551" s="270"/>
      <c r="H551" s="266"/>
      <c r="I551" s="270"/>
      <c r="J551" s="270"/>
      <c r="K551" s="263"/>
    </row>
    <row r="552">
      <c r="A552" s="269"/>
      <c r="B552" s="264"/>
      <c r="C552" s="266"/>
      <c r="D552" s="266"/>
      <c r="E552" s="270"/>
      <c r="F552" s="270"/>
      <c r="G552" s="270"/>
      <c r="H552" s="266"/>
      <c r="I552" s="270"/>
      <c r="J552" s="270"/>
      <c r="K552" s="263"/>
    </row>
    <row r="553">
      <c r="A553" s="269"/>
      <c r="B553" s="264"/>
      <c r="C553" s="266"/>
      <c r="D553" s="266"/>
      <c r="E553" s="270"/>
      <c r="F553" s="270"/>
      <c r="G553" s="270"/>
      <c r="H553" s="266"/>
      <c r="I553" s="270"/>
      <c r="J553" s="270"/>
      <c r="K553" s="263"/>
    </row>
    <row r="554">
      <c r="A554" s="269"/>
      <c r="B554" s="264"/>
      <c r="C554" s="266"/>
      <c r="D554" s="266"/>
      <c r="E554" s="270"/>
      <c r="F554" s="270"/>
      <c r="G554" s="270"/>
      <c r="H554" s="266"/>
      <c r="I554" s="270"/>
      <c r="J554" s="270"/>
      <c r="K554" s="263"/>
    </row>
    <row r="555">
      <c r="A555" s="269"/>
      <c r="B555" s="264"/>
      <c r="C555" s="266"/>
      <c r="D555" s="266"/>
      <c r="E555" s="270"/>
      <c r="F555" s="270"/>
      <c r="G555" s="270"/>
      <c r="H555" s="266"/>
      <c r="I555" s="270"/>
      <c r="J555" s="270"/>
      <c r="K555" s="263"/>
    </row>
    <row r="556">
      <c r="A556" s="269"/>
      <c r="B556" s="264"/>
      <c r="C556" s="266"/>
      <c r="D556" s="266"/>
      <c r="E556" s="270"/>
      <c r="F556" s="270"/>
      <c r="G556" s="270"/>
      <c r="H556" s="266"/>
      <c r="I556" s="270"/>
      <c r="J556" s="270"/>
      <c r="K556" s="263"/>
    </row>
    <row r="557">
      <c r="A557" s="269"/>
      <c r="B557" s="264"/>
      <c r="C557" s="266"/>
      <c r="D557" s="266"/>
      <c r="E557" s="270"/>
      <c r="F557" s="270"/>
      <c r="G557" s="270"/>
      <c r="H557" s="266"/>
      <c r="I557" s="270"/>
      <c r="J557" s="270"/>
      <c r="K557" s="263"/>
    </row>
    <row r="558">
      <c r="A558" s="269"/>
      <c r="B558" s="264"/>
      <c r="C558" s="266"/>
      <c r="D558" s="266"/>
      <c r="E558" s="270"/>
      <c r="F558" s="270"/>
      <c r="G558" s="270"/>
      <c r="H558" s="266"/>
      <c r="I558" s="270"/>
      <c r="J558" s="270"/>
      <c r="K558" s="263"/>
    </row>
    <row r="559">
      <c r="A559" s="269"/>
      <c r="B559" s="264"/>
      <c r="C559" s="266"/>
      <c r="D559" s="266"/>
      <c r="E559" s="270"/>
      <c r="F559" s="270"/>
      <c r="G559" s="270"/>
      <c r="H559" s="266"/>
      <c r="I559" s="270"/>
      <c r="J559" s="270"/>
      <c r="K559" s="263"/>
    </row>
    <row r="560">
      <c r="A560" s="269"/>
      <c r="B560" s="264"/>
      <c r="C560" s="266"/>
      <c r="D560" s="266"/>
      <c r="E560" s="270"/>
      <c r="F560" s="270"/>
      <c r="G560" s="270"/>
      <c r="H560" s="266"/>
      <c r="I560" s="270"/>
      <c r="J560" s="270"/>
      <c r="K560" s="263"/>
    </row>
    <row r="561">
      <c r="A561" s="269"/>
      <c r="B561" s="264"/>
      <c r="C561" s="266"/>
      <c r="D561" s="266"/>
      <c r="E561" s="270"/>
      <c r="F561" s="270"/>
      <c r="G561" s="270"/>
      <c r="H561" s="266"/>
      <c r="I561" s="270"/>
      <c r="J561" s="270"/>
      <c r="K561" s="263"/>
    </row>
    <row r="562">
      <c r="A562" s="269"/>
      <c r="B562" s="264"/>
      <c r="C562" s="266"/>
      <c r="D562" s="266"/>
      <c r="E562" s="270"/>
      <c r="F562" s="270"/>
      <c r="G562" s="270"/>
      <c r="H562" s="266"/>
      <c r="I562" s="270"/>
      <c r="J562" s="270"/>
      <c r="K562" s="263"/>
    </row>
    <row r="563">
      <c r="A563" s="269"/>
      <c r="B563" s="264"/>
      <c r="C563" s="266"/>
      <c r="D563" s="266"/>
      <c r="E563" s="270"/>
      <c r="F563" s="270"/>
      <c r="G563" s="270"/>
      <c r="H563" s="266"/>
      <c r="I563" s="270"/>
      <c r="J563" s="270"/>
      <c r="K563" s="263"/>
    </row>
    <row r="564">
      <c r="A564" s="269"/>
      <c r="B564" s="264"/>
      <c r="C564" s="266"/>
      <c r="D564" s="266"/>
      <c r="E564" s="270"/>
      <c r="F564" s="270"/>
      <c r="G564" s="270"/>
      <c r="H564" s="266"/>
      <c r="I564" s="270"/>
      <c r="J564" s="270"/>
      <c r="K564" s="263"/>
    </row>
    <row r="565">
      <c r="A565" s="269"/>
      <c r="B565" s="264"/>
      <c r="C565" s="266"/>
      <c r="D565" s="266"/>
      <c r="E565" s="270"/>
      <c r="F565" s="270"/>
      <c r="G565" s="270"/>
      <c r="H565" s="266"/>
      <c r="I565" s="270"/>
      <c r="J565" s="270"/>
      <c r="K565" s="263"/>
    </row>
    <row r="566">
      <c r="A566" s="269"/>
      <c r="B566" s="264"/>
      <c r="C566" s="266"/>
      <c r="D566" s="266"/>
      <c r="E566" s="270"/>
      <c r="F566" s="270"/>
      <c r="G566" s="270"/>
      <c r="H566" s="266"/>
      <c r="I566" s="270"/>
      <c r="J566" s="270"/>
      <c r="K566" s="263"/>
    </row>
    <row r="567">
      <c r="A567" s="269"/>
      <c r="B567" s="264"/>
      <c r="C567" s="266"/>
      <c r="D567" s="266"/>
      <c r="E567" s="270"/>
      <c r="F567" s="270"/>
      <c r="G567" s="270"/>
      <c r="H567" s="266"/>
      <c r="I567" s="270"/>
      <c r="J567" s="270"/>
      <c r="K567" s="263"/>
    </row>
    <row r="568">
      <c r="A568" s="269"/>
      <c r="B568" s="264"/>
      <c r="C568" s="266"/>
      <c r="D568" s="266"/>
      <c r="E568" s="270"/>
      <c r="F568" s="270"/>
      <c r="G568" s="270"/>
      <c r="H568" s="266"/>
      <c r="I568" s="270"/>
      <c r="J568" s="270"/>
      <c r="K568" s="263"/>
    </row>
    <row r="569">
      <c r="A569" s="269"/>
      <c r="B569" s="264"/>
      <c r="C569" s="266"/>
      <c r="D569" s="266"/>
      <c r="E569" s="270"/>
      <c r="F569" s="270"/>
      <c r="G569" s="270"/>
      <c r="H569" s="266"/>
      <c r="I569" s="270"/>
      <c r="J569" s="270"/>
      <c r="K569" s="263"/>
    </row>
    <row r="570">
      <c r="A570" s="269"/>
      <c r="B570" s="264"/>
      <c r="C570" s="266"/>
      <c r="D570" s="266"/>
      <c r="E570" s="270"/>
      <c r="F570" s="270"/>
      <c r="G570" s="270"/>
      <c r="H570" s="266"/>
      <c r="I570" s="270"/>
      <c r="J570" s="270"/>
      <c r="K570" s="263"/>
    </row>
    <row r="571">
      <c r="A571" s="269"/>
      <c r="B571" s="264"/>
      <c r="C571" s="266"/>
      <c r="D571" s="266"/>
      <c r="E571" s="270"/>
      <c r="F571" s="270"/>
      <c r="G571" s="270"/>
      <c r="H571" s="266"/>
      <c r="I571" s="270"/>
      <c r="J571" s="270"/>
      <c r="K571" s="263"/>
    </row>
    <row r="572">
      <c r="A572" s="269"/>
      <c r="B572" s="264"/>
      <c r="C572" s="266"/>
      <c r="D572" s="266"/>
      <c r="E572" s="270"/>
      <c r="F572" s="270"/>
      <c r="G572" s="270"/>
      <c r="H572" s="266"/>
      <c r="I572" s="270"/>
      <c r="J572" s="270"/>
      <c r="K572" s="263"/>
    </row>
    <row r="573">
      <c r="A573" s="269"/>
      <c r="B573" s="264"/>
      <c r="C573" s="266"/>
      <c r="D573" s="266"/>
      <c r="E573" s="270"/>
      <c r="F573" s="270"/>
      <c r="G573" s="270"/>
      <c r="H573" s="266"/>
      <c r="I573" s="270"/>
      <c r="J573" s="270"/>
      <c r="K573" s="263"/>
    </row>
    <row r="574">
      <c r="A574" s="269"/>
      <c r="B574" s="264"/>
      <c r="C574" s="266"/>
      <c r="D574" s="266"/>
      <c r="E574" s="270"/>
      <c r="F574" s="270"/>
      <c r="G574" s="270"/>
      <c r="H574" s="266"/>
      <c r="I574" s="270"/>
      <c r="J574" s="270"/>
      <c r="K574" s="263"/>
    </row>
    <row r="575">
      <c r="A575" s="269"/>
      <c r="B575" s="264"/>
      <c r="C575" s="266"/>
      <c r="D575" s="266"/>
      <c r="E575" s="270"/>
      <c r="F575" s="270"/>
      <c r="G575" s="270"/>
      <c r="H575" s="266"/>
      <c r="I575" s="270"/>
      <c r="J575" s="270"/>
      <c r="K575" s="263"/>
    </row>
    <row r="576">
      <c r="A576" s="269"/>
      <c r="B576" s="264"/>
      <c r="C576" s="266"/>
      <c r="D576" s="266"/>
      <c r="E576" s="270"/>
      <c r="F576" s="270"/>
      <c r="G576" s="270"/>
      <c r="H576" s="266"/>
      <c r="I576" s="270"/>
      <c r="J576" s="270"/>
      <c r="K576" s="263"/>
    </row>
    <row r="577">
      <c r="A577" s="269"/>
      <c r="B577" s="264"/>
      <c r="C577" s="266"/>
      <c r="D577" s="266"/>
      <c r="E577" s="270"/>
      <c r="F577" s="270"/>
      <c r="G577" s="270"/>
      <c r="H577" s="266"/>
      <c r="I577" s="270"/>
      <c r="J577" s="270"/>
      <c r="K577" s="263"/>
    </row>
    <row r="578">
      <c r="A578" s="269"/>
      <c r="B578" s="264"/>
      <c r="C578" s="266"/>
      <c r="D578" s="266"/>
      <c r="E578" s="270"/>
      <c r="F578" s="270"/>
      <c r="G578" s="270"/>
      <c r="H578" s="266"/>
      <c r="I578" s="270"/>
      <c r="J578" s="270"/>
      <c r="K578" s="263"/>
    </row>
    <row r="579">
      <c r="A579" s="269"/>
      <c r="B579" s="264"/>
      <c r="C579" s="266"/>
      <c r="D579" s="266"/>
      <c r="E579" s="270"/>
      <c r="F579" s="270"/>
      <c r="G579" s="270"/>
      <c r="H579" s="266"/>
      <c r="I579" s="270"/>
      <c r="J579" s="270"/>
      <c r="K579" s="263"/>
    </row>
    <row r="580">
      <c r="A580" s="269"/>
      <c r="B580" s="264"/>
      <c r="C580" s="266"/>
      <c r="D580" s="266"/>
      <c r="E580" s="270"/>
      <c r="F580" s="270"/>
      <c r="G580" s="270"/>
      <c r="H580" s="266"/>
      <c r="I580" s="270"/>
      <c r="J580" s="270"/>
      <c r="K580" s="263"/>
    </row>
    <row r="581">
      <c r="A581" s="269"/>
      <c r="B581" s="264"/>
      <c r="C581" s="266"/>
      <c r="D581" s="266"/>
      <c r="E581" s="270"/>
      <c r="F581" s="270"/>
      <c r="G581" s="270"/>
      <c r="H581" s="266"/>
      <c r="I581" s="270"/>
      <c r="J581" s="270"/>
      <c r="K581" s="263"/>
    </row>
    <row r="582">
      <c r="A582" s="269"/>
      <c r="B582" s="264"/>
      <c r="C582" s="266"/>
      <c r="D582" s="266"/>
      <c r="E582" s="270"/>
      <c r="F582" s="270"/>
      <c r="G582" s="270"/>
      <c r="H582" s="266"/>
      <c r="I582" s="270"/>
      <c r="J582" s="270"/>
      <c r="K582" s="263"/>
    </row>
    <row r="583">
      <c r="A583" s="269"/>
      <c r="B583" s="264"/>
      <c r="C583" s="266"/>
      <c r="D583" s="266"/>
      <c r="E583" s="270"/>
      <c r="F583" s="270"/>
      <c r="G583" s="270"/>
      <c r="H583" s="266"/>
      <c r="I583" s="270"/>
      <c r="J583" s="270"/>
      <c r="K583" s="263"/>
    </row>
    <row r="584">
      <c r="A584" s="269"/>
      <c r="B584" s="264"/>
      <c r="C584" s="266"/>
      <c r="D584" s="266"/>
      <c r="E584" s="270"/>
      <c r="F584" s="270"/>
      <c r="G584" s="270"/>
      <c r="H584" s="266"/>
      <c r="I584" s="270"/>
      <c r="J584" s="270"/>
      <c r="K584" s="263"/>
    </row>
    <row r="585">
      <c r="A585" s="269"/>
      <c r="B585" s="264"/>
      <c r="C585" s="266"/>
      <c r="D585" s="266"/>
      <c r="E585" s="270"/>
      <c r="F585" s="270"/>
      <c r="G585" s="270"/>
      <c r="H585" s="266"/>
      <c r="I585" s="270"/>
      <c r="J585" s="270"/>
      <c r="K585" s="263"/>
    </row>
    <row r="586">
      <c r="A586" s="269"/>
      <c r="B586" s="264"/>
      <c r="C586" s="266"/>
      <c r="D586" s="266"/>
      <c r="E586" s="270"/>
      <c r="F586" s="270"/>
      <c r="G586" s="270"/>
      <c r="H586" s="266"/>
      <c r="I586" s="270"/>
      <c r="J586" s="270"/>
      <c r="K586" s="263"/>
    </row>
    <row r="587">
      <c r="A587" s="269"/>
      <c r="B587" s="264"/>
      <c r="C587" s="266"/>
      <c r="D587" s="266"/>
      <c r="E587" s="270"/>
      <c r="F587" s="270"/>
      <c r="G587" s="270"/>
      <c r="H587" s="266"/>
      <c r="I587" s="270"/>
      <c r="J587" s="270"/>
      <c r="K587" s="263"/>
    </row>
    <row r="588">
      <c r="A588" s="269"/>
      <c r="B588" s="264"/>
      <c r="C588" s="266"/>
      <c r="D588" s="266"/>
      <c r="E588" s="270"/>
      <c r="F588" s="270"/>
      <c r="G588" s="270"/>
      <c r="H588" s="266"/>
      <c r="I588" s="270"/>
      <c r="J588" s="270"/>
      <c r="K588" s="263"/>
    </row>
    <row r="589">
      <c r="A589" s="269"/>
      <c r="B589" s="264"/>
      <c r="C589" s="266"/>
      <c r="D589" s="266"/>
      <c r="E589" s="270"/>
      <c r="F589" s="270"/>
      <c r="G589" s="270"/>
      <c r="H589" s="266"/>
      <c r="I589" s="270"/>
      <c r="J589" s="270"/>
      <c r="K589" s="263"/>
    </row>
    <row r="590">
      <c r="A590" s="269"/>
      <c r="B590" s="264"/>
      <c r="C590" s="266"/>
      <c r="D590" s="266"/>
      <c r="E590" s="270"/>
      <c r="F590" s="270"/>
      <c r="G590" s="270"/>
      <c r="H590" s="266"/>
      <c r="I590" s="270"/>
      <c r="J590" s="270"/>
      <c r="K590" s="263"/>
    </row>
    <row r="591">
      <c r="A591" s="269"/>
      <c r="B591" s="264"/>
      <c r="C591" s="266"/>
      <c r="D591" s="266"/>
      <c r="E591" s="270"/>
      <c r="F591" s="270"/>
      <c r="G591" s="270"/>
      <c r="H591" s="266"/>
      <c r="I591" s="270"/>
      <c r="J591" s="270"/>
      <c r="K591" s="263"/>
    </row>
    <row r="592">
      <c r="A592" s="269"/>
      <c r="B592" s="264"/>
      <c r="C592" s="266"/>
      <c r="D592" s="266"/>
      <c r="E592" s="270"/>
      <c r="F592" s="270"/>
      <c r="G592" s="270"/>
      <c r="H592" s="266"/>
      <c r="I592" s="270"/>
      <c r="J592" s="270"/>
      <c r="K592" s="263"/>
    </row>
    <row r="593">
      <c r="A593" s="269"/>
      <c r="B593" s="264"/>
      <c r="C593" s="266"/>
      <c r="D593" s="266"/>
      <c r="E593" s="270"/>
      <c r="F593" s="270"/>
      <c r="G593" s="270"/>
      <c r="H593" s="266"/>
      <c r="I593" s="270"/>
      <c r="J593" s="270"/>
      <c r="K593" s="263"/>
    </row>
    <row r="594">
      <c r="A594" s="269"/>
      <c r="B594" s="264"/>
      <c r="C594" s="266"/>
      <c r="D594" s="266"/>
      <c r="E594" s="270"/>
      <c r="F594" s="270"/>
      <c r="G594" s="270"/>
      <c r="H594" s="266"/>
      <c r="I594" s="270"/>
      <c r="J594" s="270"/>
      <c r="K594" s="263"/>
    </row>
    <row r="595">
      <c r="A595" s="269"/>
      <c r="B595" s="264"/>
      <c r="C595" s="266"/>
      <c r="D595" s="266"/>
      <c r="E595" s="270"/>
      <c r="F595" s="270"/>
      <c r="G595" s="270"/>
      <c r="H595" s="266"/>
      <c r="I595" s="270"/>
      <c r="J595" s="270"/>
      <c r="K595" s="263"/>
    </row>
    <row r="596">
      <c r="A596" s="269"/>
      <c r="B596" s="264"/>
      <c r="C596" s="266"/>
      <c r="D596" s="266"/>
      <c r="E596" s="270"/>
      <c r="F596" s="270"/>
      <c r="G596" s="270"/>
      <c r="H596" s="266"/>
      <c r="I596" s="270"/>
      <c r="J596" s="270"/>
      <c r="K596" s="263"/>
    </row>
    <row r="597">
      <c r="A597" s="269"/>
      <c r="B597" s="264"/>
      <c r="C597" s="266"/>
      <c r="D597" s="266"/>
      <c r="E597" s="270"/>
      <c r="F597" s="270"/>
      <c r="G597" s="270"/>
      <c r="H597" s="266"/>
      <c r="I597" s="270"/>
      <c r="J597" s="270"/>
      <c r="K597" s="263"/>
    </row>
    <row r="598">
      <c r="A598" s="269"/>
      <c r="B598" s="264"/>
      <c r="C598" s="266"/>
      <c r="D598" s="266"/>
      <c r="E598" s="270"/>
      <c r="F598" s="270"/>
      <c r="G598" s="270"/>
      <c r="H598" s="266"/>
      <c r="I598" s="270"/>
      <c r="J598" s="270"/>
      <c r="K598" s="263"/>
    </row>
    <row r="599">
      <c r="A599" s="269"/>
      <c r="B599" s="264"/>
      <c r="C599" s="266"/>
      <c r="D599" s="266"/>
      <c r="E599" s="270"/>
      <c r="F599" s="270"/>
      <c r="G599" s="270"/>
      <c r="H599" s="266"/>
      <c r="I599" s="270"/>
      <c r="J599" s="270"/>
      <c r="K599" s="263"/>
    </row>
    <row r="600">
      <c r="A600" s="269"/>
      <c r="B600" s="264"/>
      <c r="C600" s="266"/>
      <c r="D600" s="266"/>
      <c r="E600" s="270"/>
      <c r="F600" s="270"/>
      <c r="G600" s="270"/>
      <c r="H600" s="266"/>
      <c r="I600" s="270"/>
      <c r="J600" s="270"/>
      <c r="K600" s="263"/>
    </row>
    <row r="601">
      <c r="A601" s="269"/>
      <c r="B601" s="264"/>
      <c r="C601" s="266"/>
      <c r="D601" s="266"/>
      <c r="E601" s="270"/>
      <c r="F601" s="270"/>
      <c r="G601" s="270"/>
      <c r="H601" s="266"/>
      <c r="I601" s="270"/>
      <c r="J601" s="270"/>
      <c r="K601" s="263"/>
    </row>
    <row r="602">
      <c r="A602" s="269"/>
      <c r="B602" s="264"/>
      <c r="C602" s="266"/>
      <c r="D602" s="266"/>
      <c r="E602" s="270"/>
      <c r="F602" s="270"/>
      <c r="G602" s="270"/>
      <c r="H602" s="266"/>
      <c r="I602" s="270"/>
      <c r="J602" s="270"/>
      <c r="K602" s="263"/>
    </row>
    <row r="603">
      <c r="A603" s="269"/>
      <c r="B603" s="264"/>
      <c r="C603" s="266"/>
      <c r="D603" s="266"/>
      <c r="E603" s="270"/>
      <c r="F603" s="270"/>
      <c r="G603" s="270"/>
      <c r="H603" s="266"/>
      <c r="I603" s="270"/>
      <c r="J603" s="270"/>
      <c r="K603" s="263"/>
    </row>
    <row r="604">
      <c r="A604" s="269"/>
      <c r="B604" s="264"/>
      <c r="C604" s="266"/>
      <c r="D604" s="266"/>
      <c r="E604" s="270"/>
      <c r="F604" s="270"/>
      <c r="G604" s="270"/>
      <c r="H604" s="266"/>
      <c r="I604" s="270"/>
      <c r="J604" s="270"/>
      <c r="K604" s="263"/>
    </row>
    <row r="605">
      <c r="A605" s="269"/>
      <c r="B605" s="264"/>
      <c r="C605" s="266"/>
      <c r="D605" s="266"/>
      <c r="E605" s="270"/>
      <c r="F605" s="270"/>
      <c r="G605" s="270"/>
      <c r="H605" s="266"/>
      <c r="I605" s="270"/>
      <c r="J605" s="270"/>
      <c r="K605" s="263"/>
    </row>
    <row r="606">
      <c r="A606" s="269"/>
      <c r="B606" s="264"/>
      <c r="C606" s="266"/>
      <c r="D606" s="266"/>
      <c r="E606" s="270"/>
      <c r="F606" s="270"/>
      <c r="G606" s="270"/>
      <c r="H606" s="266"/>
      <c r="I606" s="270"/>
      <c r="J606" s="270"/>
      <c r="K606" s="263"/>
    </row>
    <row r="607">
      <c r="A607" s="269"/>
      <c r="B607" s="264"/>
      <c r="C607" s="266"/>
      <c r="D607" s="266"/>
      <c r="E607" s="270"/>
      <c r="F607" s="270"/>
      <c r="G607" s="270"/>
      <c r="H607" s="266"/>
      <c r="I607" s="270"/>
      <c r="J607" s="270"/>
      <c r="K607" s="263"/>
    </row>
    <row r="608">
      <c r="A608" s="269"/>
      <c r="B608" s="264"/>
      <c r="C608" s="266"/>
      <c r="D608" s="266"/>
      <c r="E608" s="270"/>
      <c r="F608" s="270"/>
      <c r="G608" s="270"/>
      <c r="H608" s="266"/>
      <c r="I608" s="270"/>
      <c r="J608" s="270"/>
      <c r="K608" s="263"/>
    </row>
    <row r="609">
      <c r="A609" s="269"/>
      <c r="B609" s="264"/>
      <c r="C609" s="266"/>
      <c r="D609" s="266"/>
      <c r="E609" s="270"/>
      <c r="F609" s="270"/>
      <c r="G609" s="270"/>
      <c r="H609" s="266"/>
      <c r="I609" s="270"/>
      <c r="J609" s="270"/>
      <c r="K609" s="263"/>
    </row>
    <row r="610">
      <c r="A610" s="269"/>
      <c r="B610" s="264"/>
      <c r="C610" s="266"/>
      <c r="D610" s="266"/>
      <c r="E610" s="270"/>
      <c r="F610" s="270"/>
      <c r="G610" s="270"/>
      <c r="H610" s="266"/>
      <c r="I610" s="270"/>
      <c r="J610" s="270"/>
      <c r="K610" s="263"/>
    </row>
    <row r="611">
      <c r="A611" s="269"/>
      <c r="B611" s="264"/>
      <c r="C611" s="266"/>
      <c r="D611" s="266"/>
      <c r="E611" s="270"/>
      <c r="F611" s="270"/>
      <c r="G611" s="270"/>
      <c r="H611" s="266"/>
      <c r="I611" s="270"/>
      <c r="J611" s="270"/>
      <c r="K611" s="263"/>
    </row>
    <row r="612">
      <c r="A612" s="269"/>
      <c r="B612" s="264"/>
      <c r="C612" s="266"/>
      <c r="D612" s="266"/>
      <c r="E612" s="270"/>
      <c r="F612" s="270"/>
      <c r="G612" s="270"/>
      <c r="H612" s="266"/>
      <c r="I612" s="270"/>
      <c r="J612" s="270"/>
      <c r="K612" s="263"/>
    </row>
    <row r="613">
      <c r="A613" s="269"/>
      <c r="B613" s="264"/>
      <c r="C613" s="266"/>
      <c r="D613" s="266"/>
      <c r="E613" s="270"/>
      <c r="F613" s="270"/>
      <c r="G613" s="270"/>
      <c r="H613" s="266"/>
      <c r="I613" s="270"/>
      <c r="J613" s="270"/>
      <c r="K613" s="263"/>
    </row>
    <row r="614">
      <c r="A614" s="269"/>
      <c r="B614" s="264"/>
      <c r="C614" s="266"/>
      <c r="D614" s="266"/>
      <c r="E614" s="270"/>
      <c r="F614" s="270"/>
      <c r="G614" s="270"/>
      <c r="H614" s="266"/>
      <c r="I614" s="270"/>
      <c r="J614" s="270"/>
      <c r="K614" s="263"/>
    </row>
    <row r="615">
      <c r="A615" s="269"/>
      <c r="B615" s="264"/>
      <c r="C615" s="266"/>
      <c r="D615" s="266"/>
      <c r="E615" s="270"/>
      <c r="F615" s="270"/>
      <c r="G615" s="270"/>
      <c r="H615" s="266"/>
      <c r="I615" s="270"/>
      <c r="J615" s="270"/>
      <c r="K615" s="263"/>
    </row>
    <row r="616">
      <c r="A616" s="269"/>
      <c r="B616" s="264"/>
      <c r="C616" s="266"/>
      <c r="D616" s="266"/>
      <c r="E616" s="270"/>
      <c r="F616" s="270"/>
      <c r="G616" s="270"/>
      <c r="H616" s="266"/>
      <c r="I616" s="270"/>
      <c r="J616" s="270"/>
      <c r="K616" s="263"/>
    </row>
    <row r="617">
      <c r="A617" s="269"/>
      <c r="B617" s="264"/>
      <c r="C617" s="266"/>
      <c r="D617" s="266"/>
      <c r="E617" s="270"/>
      <c r="F617" s="270"/>
      <c r="G617" s="270"/>
      <c r="H617" s="266"/>
      <c r="I617" s="270"/>
      <c r="J617" s="270"/>
      <c r="K617" s="263"/>
    </row>
    <row r="618">
      <c r="A618" s="269"/>
      <c r="B618" s="264"/>
      <c r="C618" s="266"/>
      <c r="D618" s="266"/>
      <c r="E618" s="270"/>
      <c r="F618" s="270"/>
      <c r="G618" s="270"/>
      <c r="H618" s="266"/>
      <c r="I618" s="270"/>
      <c r="J618" s="270"/>
      <c r="K618" s="263"/>
    </row>
    <row r="619">
      <c r="A619" s="269"/>
      <c r="B619" s="264"/>
      <c r="C619" s="266"/>
      <c r="D619" s="266"/>
      <c r="E619" s="270"/>
      <c r="F619" s="270"/>
      <c r="G619" s="270"/>
      <c r="H619" s="266"/>
      <c r="I619" s="270"/>
      <c r="J619" s="270"/>
      <c r="K619" s="263"/>
    </row>
    <row r="620">
      <c r="A620" s="269"/>
      <c r="B620" s="264"/>
      <c r="C620" s="266"/>
      <c r="D620" s="266"/>
      <c r="E620" s="270"/>
      <c r="F620" s="270"/>
      <c r="G620" s="270"/>
      <c r="H620" s="266"/>
      <c r="I620" s="270"/>
      <c r="J620" s="270"/>
      <c r="K620" s="263"/>
    </row>
    <row r="621">
      <c r="A621" s="269"/>
      <c r="B621" s="264"/>
      <c r="C621" s="266"/>
      <c r="D621" s="266"/>
      <c r="E621" s="270"/>
      <c r="F621" s="270"/>
      <c r="G621" s="270"/>
      <c r="H621" s="266"/>
      <c r="I621" s="270"/>
      <c r="J621" s="270"/>
      <c r="K621" s="263"/>
    </row>
    <row r="622">
      <c r="A622" s="269"/>
      <c r="B622" s="264"/>
      <c r="C622" s="266"/>
      <c r="D622" s="266"/>
      <c r="E622" s="270"/>
      <c r="F622" s="270"/>
      <c r="G622" s="270"/>
      <c r="H622" s="266"/>
      <c r="I622" s="270"/>
      <c r="J622" s="270"/>
      <c r="K622" s="263"/>
    </row>
    <row r="623">
      <c r="A623" s="269"/>
      <c r="B623" s="264"/>
      <c r="C623" s="266"/>
      <c r="D623" s="266"/>
      <c r="E623" s="270"/>
      <c r="F623" s="270"/>
      <c r="G623" s="270"/>
      <c r="H623" s="266"/>
      <c r="I623" s="270"/>
      <c r="J623" s="270"/>
      <c r="K623" s="263"/>
    </row>
    <row r="624">
      <c r="A624" s="269"/>
      <c r="B624" s="264"/>
      <c r="C624" s="266"/>
      <c r="D624" s="266"/>
      <c r="E624" s="270"/>
      <c r="F624" s="270"/>
      <c r="G624" s="270"/>
      <c r="H624" s="266"/>
      <c r="I624" s="270"/>
      <c r="J624" s="270"/>
      <c r="K624" s="263"/>
    </row>
    <row r="625">
      <c r="A625" s="269"/>
      <c r="B625" s="264"/>
      <c r="C625" s="266"/>
      <c r="D625" s="266"/>
      <c r="E625" s="270"/>
      <c r="F625" s="270"/>
      <c r="G625" s="270"/>
      <c r="H625" s="266"/>
      <c r="I625" s="270"/>
      <c r="J625" s="270"/>
      <c r="K625" s="263"/>
    </row>
    <row r="626">
      <c r="A626" s="269"/>
      <c r="B626" s="264"/>
      <c r="C626" s="266"/>
      <c r="D626" s="266"/>
      <c r="E626" s="270"/>
      <c r="F626" s="270"/>
      <c r="G626" s="270"/>
      <c r="H626" s="266"/>
      <c r="I626" s="270"/>
      <c r="J626" s="270"/>
      <c r="K626" s="263"/>
    </row>
    <row r="627">
      <c r="A627" s="269"/>
      <c r="B627" s="264"/>
      <c r="C627" s="266"/>
      <c r="D627" s="266"/>
      <c r="E627" s="270"/>
      <c r="F627" s="270"/>
      <c r="G627" s="270"/>
      <c r="H627" s="266"/>
      <c r="I627" s="270"/>
      <c r="J627" s="270"/>
      <c r="K627" s="263"/>
    </row>
    <row r="628">
      <c r="A628" s="269"/>
      <c r="B628" s="264"/>
      <c r="C628" s="266"/>
      <c r="D628" s="266"/>
      <c r="E628" s="270"/>
      <c r="F628" s="270"/>
      <c r="G628" s="270"/>
      <c r="H628" s="266"/>
      <c r="I628" s="270"/>
      <c r="J628" s="270"/>
      <c r="K628" s="263"/>
    </row>
    <row r="629">
      <c r="A629" s="269"/>
      <c r="B629" s="264"/>
      <c r="C629" s="266"/>
      <c r="D629" s="266"/>
      <c r="E629" s="270"/>
      <c r="F629" s="270"/>
      <c r="G629" s="270"/>
      <c r="H629" s="266"/>
      <c r="I629" s="270"/>
      <c r="J629" s="270"/>
      <c r="K629" s="263"/>
    </row>
    <row r="630">
      <c r="A630" s="269"/>
      <c r="B630" s="264"/>
      <c r="C630" s="266"/>
      <c r="D630" s="266"/>
      <c r="E630" s="270"/>
      <c r="F630" s="270"/>
      <c r="G630" s="270"/>
      <c r="H630" s="266"/>
      <c r="I630" s="270"/>
      <c r="J630" s="270"/>
      <c r="K630" s="263"/>
    </row>
    <row r="631">
      <c r="A631" s="269"/>
      <c r="B631" s="264"/>
      <c r="C631" s="266"/>
      <c r="D631" s="266"/>
      <c r="E631" s="270"/>
      <c r="F631" s="270"/>
      <c r="G631" s="270"/>
      <c r="H631" s="266"/>
      <c r="I631" s="270"/>
      <c r="J631" s="270"/>
      <c r="K631" s="263"/>
    </row>
    <row r="632">
      <c r="A632" s="269"/>
      <c r="B632" s="264"/>
      <c r="C632" s="266"/>
      <c r="D632" s="266"/>
      <c r="E632" s="270"/>
      <c r="F632" s="270"/>
      <c r="G632" s="270"/>
      <c r="H632" s="266"/>
      <c r="I632" s="270"/>
      <c r="J632" s="270"/>
      <c r="K632" s="263"/>
    </row>
    <row r="633">
      <c r="A633" s="269"/>
      <c r="B633" s="264"/>
      <c r="C633" s="266"/>
      <c r="D633" s="266"/>
      <c r="E633" s="270"/>
      <c r="F633" s="270"/>
      <c r="G633" s="270"/>
      <c r="H633" s="266"/>
      <c r="I633" s="270"/>
      <c r="J633" s="270"/>
      <c r="K633" s="263"/>
    </row>
    <row r="634">
      <c r="A634" s="269"/>
      <c r="B634" s="264"/>
      <c r="C634" s="266"/>
      <c r="D634" s="266"/>
      <c r="E634" s="270"/>
      <c r="F634" s="270"/>
      <c r="G634" s="270"/>
      <c r="H634" s="266"/>
      <c r="I634" s="270"/>
      <c r="J634" s="270"/>
      <c r="K634" s="263"/>
    </row>
    <row r="635">
      <c r="A635" s="269"/>
      <c r="B635" s="264"/>
      <c r="C635" s="266"/>
      <c r="D635" s="266"/>
      <c r="E635" s="270"/>
      <c r="F635" s="270"/>
      <c r="G635" s="270"/>
      <c r="H635" s="266"/>
      <c r="I635" s="270"/>
      <c r="J635" s="270"/>
      <c r="K635" s="263"/>
    </row>
    <row r="636">
      <c r="A636" s="269"/>
      <c r="B636" s="264"/>
      <c r="C636" s="266"/>
      <c r="D636" s="266"/>
      <c r="E636" s="270"/>
      <c r="F636" s="270"/>
      <c r="G636" s="270"/>
      <c r="H636" s="266"/>
      <c r="I636" s="270"/>
      <c r="J636" s="270"/>
      <c r="K636" s="263"/>
    </row>
    <row r="637">
      <c r="A637" s="269"/>
      <c r="B637" s="264"/>
      <c r="C637" s="266"/>
      <c r="D637" s="266"/>
      <c r="E637" s="270"/>
      <c r="F637" s="270"/>
      <c r="G637" s="270"/>
      <c r="H637" s="266"/>
      <c r="I637" s="270"/>
      <c r="J637" s="270"/>
      <c r="K637" s="263"/>
    </row>
    <row r="638">
      <c r="A638" s="269"/>
      <c r="B638" s="264"/>
      <c r="C638" s="266"/>
      <c r="D638" s="266"/>
      <c r="E638" s="270"/>
      <c r="F638" s="270"/>
      <c r="G638" s="270"/>
      <c r="H638" s="266"/>
      <c r="I638" s="270"/>
      <c r="J638" s="270"/>
      <c r="K638" s="263"/>
    </row>
    <row r="639">
      <c r="A639" s="269"/>
      <c r="B639" s="264"/>
      <c r="C639" s="266"/>
      <c r="D639" s="266"/>
      <c r="E639" s="270"/>
      <c r="F639" s="270"/>
      <c r="G639" s="270"/>
      <c r="H639" s="266"/>
      <c r="I639" s="270"/>
      <c r="J639" s="270"/>
      <c r="K639" s="263"/>
    </row>
    <row r="640">
      <c r="A640" s="269"/>
      <c r="B640" s="264"/>
      <c r="C640" s="266"/>
      <c r="D640" s="266"/>
      <c r="E640" s="270"/>
      <c r="F640" s="270"/>
      <c r="G640" s="270"/>
      <c r="H640" s="266"/>
      <c r="I640" s="270"/>
      <c r="J640" s="270"/>
      <c r="K640" s="263"/>
    </row>
    <row r="641">
      <c r="A641" s="269"/>
      <c r="B641" s="264"/>
      <c r="C641" s="266"/>
      <c r="D641" s="266"/>
      <c r="E641" s="270"/>
      <c r="F641" s="270"/>
      <c r="G641" s="270"/>
      <c r="H641" s="266"/>
      <c r="I641" s="270"/>
      <c r="J641" s="270"/>
      <c r="K641" s="263"/>
    </row>
    <row r="642">
      <c r="A642" s="269"/>
      <c r="B642" s="264"/>
      <c r="C642" s="266"/>
      <c r="D642" s="266"/>
      <c r="E642" s="270"/>
      <c r="F642" s="270"/>
      <c r="G642" s="270"/>
      <c r="H642" s="266"/>
      <c r="I642" s="270"/>
      <c r="J642" s="270"/>
      <c r="K642" s="263"/>
    </row>
    <row r="643">
      <c r="A643" s="269"/>
      <c r="B643" s="264"/>
      <c r="C643" s="266"/>
      <c r="D643" s="266"/>
      <c r="E643" s="270"/>
      <c r="F643" s="270"/>
      <c r="G643" s="270"/>
      <c r="H643" s="266"/>
      <c r="I643" s="270"/>
      <c r="J643" s="270"/>
      <c r="K643" s="263"/>
    </row>
    <row r="644">
      <c r="A644" s="269"/>
      <c r="B644" s="264"/>
      <c r="C644" s="266"/>
      <c r="D644" s="266"/>
      <c r="E644" s="270"/>
      <c r="F644" s="270"/>
      <c r="G644" s="270"/>
      <c r="H644" s="266"/>
      <c r="I644" s="270"/>
      <c r="J644" s="270"/>
      <c r="K644" s="263"/>
    </row>
    <row r="645">
      <c r="A645" s="269"/>
      <c r="B645" s="264"/>
      <c r="C645" s="266"/>
      <c r="D645" s="266"/>
      <c r="E645" s="270"/>
      <c r="F645" s="270"/>
      <c r="G645" s="270"/>
      <c r="H645" s="266"/>
      <c r="I645" s="270"/>
      <c r="J645" s="270"/>
      <c r="K645" s="263"/>
    </row>
    <row r="646">
      <c r="A646" s="269"/>
      <c r="B646" s="264"/>
      <c r="C646" s="266"/>
      <c r="D646" s="266"/>
      <c r="E646" s="270"/>
      <c r="F646" s="270"/>
      <c r="G646" s="270"/>
      <c r="H646" s="266"/>
      <c r="I646" s="270"/>
      <c r="J646" s="270"/>
      <c r="K646" s="263"/>
    </row>
    <row r="647">
      <c r="A647" s="269"/>
      <c r="B647" s="264"/>
      <c r="C647" s="266"/>
      <c r="D647" s="266"/>
      <c r="E647" s="270"/>
      <c r="F647" s="270"/>
      <c r="G647" s="270"/>
      <c r="H647" s="266"/>
      <c r="I647" s="270"/>
      <c r="J647" s="270"/>
      <c r="K647" s="263"/>
    </row>
    <row r="648">
      <c r="A648" s="269"/>
      <c r="B648" s="264"/>
      <c r="C648" s="266"/>
      <c r="D648" s="266"/>
      <c r="E648" s="270"/>
      <c r="F648" s="270"/>
      <c r="G648" s="270"/>
      <c r="H648" s="266"/>
      <c r="I648" s="270"/>
      <c r="J648" s="270"/>
      <c r="K648" s="263"/>
    </row>
    <row r="649">
      <c r="A649" s="269"/>
      <c r="B649" s="264"/>
      <c r="C649" s="266"/>
      <c r="D649" s="266"/>
      <c r="E649" s="270"/>
      <c r="F649" s="270"/>
      <c r="G649" s="270"/>
      <c r="H649" s="266"/>
      <c r="I649" s="270"/>
      <c r="J649" s="270"/>
      <c r="K649" s="263"/>
    </row>
    <row r="650">
      <c r="A650" s="269"/>
      <c r="B650" s="264"/>
      <c r="C650" s="266"/>
      <c r="D650" s="266"/>
      <c r="E650" s="270"/>
      <c r="F650" s="270"/>
      <c r="G650" s="270"/>
      <c r="H650" s="266"/>
      <c r="I650" s="270"/>
      <c r="J650" s="270"/>
      <c r="K650" s="263"/>
    </row>
    <row r="651">
      <c r="A651" s="269"/>
      <c r="B651" s="264"/>
      <c r="C651" s="266"/>
      <c r="D651" s="266"/>
      <c r="E651" s="270"/>
      <c r="F651" s="270"/>
      <c r="G651" s="270"/>
      <c r="H651" s="266"/>
      <c r="I651" s="270"/>
      <c r="J651" s="270"/>
      <c r="K651" s="263"/>
    </row>
    <row r="652">
      <c r="A652" s="269"/>
      <c r="B652" s="264"/>
      <c r="C652" s="266"/>
      <c r="D652" s="266"/>
      <c r="E652" s="270"/>
      <c r="F652" s="270"/>
      <c r="G652" s="270"/>
      <c r="H652" s="266"/>
      <c r="I652" s="270"/>
      <c r="J652" s="270"/>
      <c r="K652" s="263"/>
    </row>
    <row r="653">
      <c r="A653" s="269"/>
      <c r="B653" s="264"/>
      <c r="C653" s="266"/>
      <c r="D653" s="266"/>
      <c r="E653" s="270"/>
      <c r="F653" s="270"/>
      <c r="G653" s="270"/>
      <c r="H653" s="266"/>
      <c r="I653" s="270"/>
      <c r="J653" s="270"/>
      <c r="K653" s="263"/>
    </row>
    <row r="654">
      <c r="A654" s="269"/>
      <c r="B654" s="264"/>
      <c r="C654" s="266"/>
      <c r="D654" s="266"/>
      <c r="E654" s="270"/>
      <c r="F654" s="270"/>
      <c r="G654" s="270"/>
      <c r="H654" s="266"/>
      <c r="I654" s="270"/>
      <c r="J654" s="270"/>
      <c r="K654" s="263"/>
    </row>
    <row r="655">
      <c r="A655" s="269"/>
      <c r="B655" s="264"/>
      <c r="C655" s="266"/>
      <c r="D655" s="266"/>
      <c r="E655" s="270"/>
      <c r="F655" s="270"/>
      <c r="G655" s="270"/>
      <c r="H655" s="266"/>
      <c r="I655" s="270"/>
      <c r="J655" s="270"/>
      <c r="K655" s="263"/>
    </row>
    <row r="656">
      <c r="A656" s="269"/>
      <c r="B656" s="264"/>
      <c r="C656" s="266"/>
      <c r="D656" s="266"/>
      <c r="E656" s="270"/>
      <c r="F656" s="270"/>
      <c r="G656" s="270"/>
      <c r="H656" s="266"/>
      <c r="I656" s="270"/>
      <c r="J656" s="270"/>
      <c r="K656" s="263"/>
    </row>
    <row r="657">
      <c r="A657" s="269"/>
      <c r="B657" s="264"/>
      <c r="C657" s="266"/>
      <c r="D657" s="266"/>
      <c r="E657" s="270"/>
      <c r="F657" s="270"/>
      <c r="G657" s="270"/>
      <c r="H657" s="266"/>
      <c r="I657" s="270"/>
      <c r="J657" s="270"/>
      <c r="K657" s="263"/>
    </row>
    <row r="658">
      <c r="A658" s="269"/>
      <c r="B658" s="264"/>
      <c r="C658" s="266"/>
      <c r="D658" s="266"/>
      <c r="E658" s="270"/>
      <c r="F658" s="270"/>
      <c r="G658" s="270"/>
      <c r="H658" s="266"/>
      <c r="I658" s="270"/>
      <c r="J658" s="270"/>
      <c r="K658" s="263"/>
    </row>
    <row r="659">
      <c r="A659" s="269"/>
      <c r="B659" s="264"/>
      <c r="C659" s="266"/>
      <c r="D659" s="266"/>
      <c r="E659" s="270"/>
      <c r="F659" s="270"/>
      <c r="G659" s="270"/>
      <c r="H659" s="266"/>
      <c r="I659" s="270"/>
      <c r="J659" s="270"/>
      <c r="K659" s="263"/>
    </row>
    <row r="660">
      <c r="A660" s="269"/>
      <c r="B660" s="264"/>
      <c r="C660" s="266"/>
      <c r="D660" s="266"/>
      <c r="E660" s="270"/>
      <c r="F660" s="270"/>
      <c r="G660" s="270"/>
      <c r="H660" s="266"/>
      <c r="I660" s="270"/>
      <c r="J660" s="270"/>
      <c r="K660" s="263"/>
    </row>
    <row r="661">
      <c r="A661" s="269"/>
      <c r="B661" s="264"/>
      <c r="C661" s="266"/>
      <c r="D661" s="266"/>
      <c r="E661" s="270"/>
      <c r="F661" s="270"/>
      <c r="G661" s="270"/>
      <c r="H661" s="266"/>
      <c r="I661" s="270"/>
      <c r="J661" s="270"/>
      <c r="K661" s="263"/>
    </row>
    <row r="662">
      <c r="A662" s="269"/>
      <c r="B662" s="264"/>
      <c r="C662" s="266"/>
      <c r="D662" s="266"/>
      <c r="E662" s="270"/>
      <c r="F662" s="270"/>
      <c r="G662" s="270"/>
      <c r="H662" s="266"/>
      <c r="I662" s="270"/>
      <c r="J662" s="270"/>
      <c r="K662" s="263"/>
    </row>
    <row r="663">
      <c r="A663" s="269"/>
      <c r="B663" s="264"/>
      <c r="C663" s="266"/>
      <c r="D663" s="266"/>
      <c r="E663" s="270"/>
      <c r="F663" s="270"/>
      <c r="G663" s="270"/>
      <c r="H663" s="266"/>
      <c r="I663" s="270"/>
      <c r="J663" s="270"/>
      <c r="K663" s="263"/>
    </row>
    <row r="664">
      <c r="A664" s="269"/>
      <c r="B664" s="264"/>
      <c r="C664" s="266"/>
      <c r="D664" s="266"/>
      <c r="E664" s="270"/>
      <c r="F664" s="270"/>
      <c r="G664" s="270"/>
      <c r="H664" s="266"/>
      <c r="I664" s="270"/>
      <c r="J664" s="270"/>
      <c r="K664" s="263"/>
    </row>
    <row r="665">
      <c r="A665" s="269"/>
      <c r="B665" s="264"/>
      <c r="C665" s="266"/>
      <c r="D665" s="266"/>
      <c r="E665" s="270"/>
      <c r="F665" s="270"/>
      <c r="G665" s="270"/>
      <c r="H665" s="266"/>
      <c r="I665" s="270"/>
      <c r="J665" s="270"/>
      <c r="K665" s="263"/>
    </row>
    <row r="666">
      <c r="A666" s="269"/>
      <c r="B666" s="264"/>
      <c r="C666" s="266"/>
      <c r="D666" s="266"/>
      <c r="E666" s="270"/>
      <c r="F666" s="270"/>
      <c r="G666" s="270"/>
      <c r="H666" s="266"/>
      <c r="I666" s="270"/>
      <c r="J666" s="270"/>
      <c r="K666" s="263"/>
    </row>
    <row r="667">
      <c r="A667" s="269"/>
      <c r="B667" s="264"/>
      <c r="C667" s="266"/>
      <c r="D667" s="266"/>
      <c r="E667" s="270"/>
      <c r="F667" s="270"/>
      <c r="G667" s="270"/>
      <c r="H667" s="266"/>
      <c r="I667" s="270"/>
      <c r="J667" s="270"/>
      <c r="K667" s="263"/>
    </row>
    <row r="668">
      <c r="A668" s="269"/>
      <c r="B668" s="264"/>
      <c r="C668" s="266"/>
      <c r="D668" s="266"/>
      <c r="E668" s="270"/>
      <c r="F668" s="270"/>
      <c r="G668" s="270"/>
      <c r="H668" s="266"/>
      <c r="I668" s="270"/>
      <c r="J668" s="270"/>
      <c r="K668" s="263"/>
    </row>
    <row r="669">
      <c r="A669" s="269"/>
      <c r="B669" s="264"/>
      <c r="C669" s="266"/>
      <c r="D669" s="266"/>
      <c r="E669" s="270"/>
      <c r="F669" s="270"/>
      <c r="G669" s="270"/>
      <c r="H669" s="266"/>
      <c r="I669" s="270"/>
      <c r="J669" s="270"/>
      <c r="K669" s="263"/>
    </row>
    <row r="670">
      <c r="A670" s="269"/>
      <c r="B670" s="264"/>
      <c r="C670" s="266"/>
      <c r="D670" s="266"/>
      <c r="E670" s="270"/>
      <c r="F670" s="270"/>
      <c r="G670" s="270"/>
      <c r="H670" s="266"/>
      <c r="I670" s="270"/>
      <c r="J670" s="270"/>
      <c r="K670" s="263"/>
    </row>
    <row r="671">
      <c r="A671" s="269"/>
      <c r="B671" s="264"/>
      <c r="C671" s="266"/>
      <c r="D671" s="266"/>
      <c r="E671" s="270"/>
      <c r="F671" s="270"/>
      <c r="G671" s="270"/>
      <c r="H671" s="266"/>
      <c r="I671" s="270"/>
      <c r="J671" s="270"/>
      <c r="K671" s="263"/>
    </row>
    <row r="672">
      <c r="A672" s="269"/>
      <c r="B672" s="264"/>
      <c r="C672" s="266"/>
      <c r="D672" s="266"/>
      <c r="E672" s="270"/>
      <c r="F672" s="270"/>
      <c r="G672" s="270"/>
      <c r="H672" s="266"/>
      <c r="I672" s="270"/>
      <c r="J672" s="270"/>
      <c r="K672" s="263"/>
    </row>
    <row r="673">
      <c r="A673" s="269"/>
      <c r="B673" s="264"/>
      <c r="C673" s="266"/>
      <c r="D673" s="266"/>
      <c r="E673" s="270"/>
      <c r="F673" s="270"/>
      <c r="G673" s="270"/>
      <c r="H673" s="266"/>
      <c r="I673" s="270"/>
      <c r="J673" s="270"/>
      <c r="K673" s="263"/>
    </row>
    <row r="674">
      <c r="A674" s="269"/>
      <c r="B674" s="264"/>
      <c r="C674" s="266"/>
      <c r="D674" s="266"/>
      <c r="E674" s="270"/>
      <c r="F674" s="270"/>
      <c r="G674" s="270"/>
      <c r="H674" s="266"/>
      <c r="I674" s="270"/>
      <c r="J674" s="270"/>
      <c r="K674" s="263"/>
    </row>
    <row r="675">
      <c r="A675" s="269"/>
      <c r="B675" s="264"/>
      <c r="C675" s="266"/>
      <c r="D675" s="266"/>
      <c r="E675" s="270"/>
      <c r="F675" s="270"/>
      <c r="G675" s="270"/>
      <c r="H675" s="266"/>
      <c r="I675" s="270"/>
      <c r="J675" s="270"/>
      <c r="K675" s="263"/>
    </row>
    <row r="676">
      <c r="A676" s="269"/>
      <c r="B676" s="264"/>
      <c r="C676" s="266"/>
      <c r="D676" s="266"/>
      <c r="E676" s="270"/>
      <c r="F676" s="270"/>
      <c r="G676" s="270"/>
      <c r="H676" s="266"/>
      <c r="I676" s="270"/>
      <c r="J676" s="270"/>
      <c r="K676" s="263"/>
    </row>
    <row r="677">
      <c r="A677" s="269"/>
      <c r="B677" s="264"/>
      <c r="C677" s="266"/>
      <c r="D677" s="266"/>
      <c r="E677" s="270"/>
      <c r="F677" s="270"/>
      <c r="G677" s="270"/>
      <c r="H677" s="266"/>
      <c r="I677" s="270"/>
      <c r="J677" s="270"/>
      <c r="K677" s="263"/>
    </row>
    <row r="678">
      <c r="A678" s="269"/>
      <c r="B678" s="264"/>
      <c r="C678" s="266"/>
      <c r="D678" s="266"/>
      <c r="E678" s="270"/>
      <c r="F678" s="270"/>
      <c r="G678" s="270"/>
      <c r="H678" s="266"/>
      <c r="I678" s="270"/>
      <c r="J678" s="270"/>
      <c r="K678" s="263"/>
    </row>
    <row r="679">
      <c r="A679" s="269"/>
      <c r="B679" s="264"/>
      <c r="C679" s="266"/>
      <c r="D679" s="266"/>
      <c r="E679" s="270"/>
      <c r="F679" s="270"/>
      <c r="G679" s="270"/>
      <c r="H679" s="266"/>
      <c r="I679" s="270"/>
      <c r="J679" s="270"/>
      <c r="K679" s="263"/>
    </row>
    <row r="680">
      <c r="A680" s="269"/>
      <c r="B680" s="264"/>
      <c r="C680" s="266"/>
      <c r="D680" s="266"/>
      <c r="E680" s="270"/>
      <c r="F680" s="270"/>
      <c r="G680" s="270"/>
      <c r="H680" s="266"/>
      <c r="I680" s="270"/>
      <c r="J680" s="270"/>
      <c r="K680" s="263"/>
    </row>
    <row r="681">
      <c r="A681" s="269"/>
      <c r="B681" s="264"/>
      <c r="C681" s="266"/>
      <c r="D681" s="266"/>
      <c r="E681" s="270"/>
      <c r="F681" s="270"/>
      <c r="G681" s="270"/>
      <c r="H681" s="266"/>
      <c r="I681" s="270"/>
      <c r="J681" s="270"/>
      <c r="K681" s="263"/>
    </row>
    <row r="682">
      <c r="A682" s="269"/>
      <c r="B682" s="264"/>
      <c r="C682" s="266"/>
      <c r="D682" s="266"/>
      <c r="E682" s="270"/>
      <c r="F682" s="270"/>
      <c r="G682" s="270"/>
      <c r="H682" s="266"/>
      <c r="I682" s="270"/>
      <c r="J682" s="270"/>
      <c r="K682" s="263"/>
    </row>
    <row r="683">
      <c r="A683" s="269"/>
      <c r="B683" s="264"/>
      <c r="C683" s="266"/>
      <c r="D683" s="266"/>
      <c r="E683" s="270"/>
      <c r="F683" s="270"/>
      <c r="G683" s="270"/>
      <c r="H683" s="266"/>
      <c r="I683" s="270"/>
      <c r="J683" s="270"/>
      <c r="K683" s="263"/>
    </row>
    <row r="684">
      <c r="A684" s="269"/>
      <c r="B684" s="264"/>
      <c r="C684" s="266"/>
      <c r="D684" s="266"/>
      <c r="E684" s="270"/>
      <c r="F684" s="270"/>
      <c r="G684" s="270"/>
      <c r="H684" s="266"/>
      <c r="I684" s="270"/>
      <c r="J684" s="270"/>
      <c r="K684" s="263"/>
    </row>
    <row r="685">
      <c r="A685" s="269"/>
      <c r="B685" s="264"/>
      <c r="C685" s="266"/>
      <c r="D685" s="266"/>
      <c r="E685" s="270"/>
      <c r="F685" s="270"/>
      <c r="G685" s="270"/>
      <c r="H685" s="266"/>
      <c r="I685" s="270"/>
      <c r="J685" s="270"/>
      <c r="K685" s="263"/>
    </row>
    <row r="686">
      <c r="A686" s="269"/>
      <c r="B686" s="264"/>
      <c r="C686" s="266"/>
      <c r="D686" s="266"/>
      <c r="E686" s="270"/>
      <c r="F686" s="270"/>
      <c r="G686" s="270"/>
      <c r="H686" s="266"/>
      <c r="I686" s="270"/>
      <c r="J686" s="270"/>
      <c r="K686" s="263"/>
    </row>
    <row r="687">
      <c r="A687" s="269"/>
      <c r="B687" s="264"/>
      <c r="C687" s="266"/>
      <c r="D687" s="266"/>
      <c r="E687" s="270"/>
      <c r="F687" s="270"/>
      <c r="G687" s="270"/>
      <c r="H687" s="266"/>
      <c r="I687" s="270"/>
      <c r="J687" s="270"/>
      <c r="K687" s="263"/>
    </row>
    <row r="688">
      <c r="A688" s="269"/>
      <c r="B688" s="264"/>
      <c r="C688" s="266"/>
      <c r="D688" s="266"/>
      <c r="E688" s="270"/>
      <c r="F688" s="270"/>
      <c r="G688" s="270"/>
      <c r="H688" s="266"/>
      <c r="I688" s="270"/>
      <c r="J688" s="270"/>
      <c r="K688" s="263"/>
    </row>
    <row r="689">
      <c r="A689" s="269"/>
      <c r="B689" s="264"/>
      <c r="C689" s="266"/>
      <c r="D689" s="266"/>
      <c r="E689" s="270"/>
      <c r="F689" s="270"/>
      <c r="G689" s="270"/>
      <c r="H689" s="266"/>
      <c r="I689" s="270"/>
      <c r="J689" s="270"/>
      <c r="K689" s="263"/>
    </row>
    <row r="690">
      <c r="A690" s="269"/>
      <c r="B690" s="264"/>
      <c r="C690" s="266"/>
      <c r="D690" s="266"/>
      <c r="E690" s="270"/>
      <c r="F690" s="270"/>
      <c r="G690" s="270"/>
      <c r="H690" s="266"/>
      <c r="I690" s="270"/>
      <c r="J690" s="270"/>
      <c r="K690" s="263"/>
    </row>
    <row r="691">
      <c r="A691" s="269"/>
      <c r="B691" s="264"/>
      <c r="C691" s="266"/>
      <c r="D691" s="266"/>
      <c r="E691" s="270"/>
      <c r="F691" s="270"/>
      <c r="G691" s="270"/>
      <c r="H691" s="266"/>
      <c r="I691" s="270"/>
      <c r="J691" s="270"/>
      <c r="K691" s="263"/>
    </row>
    <row r="692">
      <c r="A692" s="269"/>
      <c r="B692" s="264"/>
      <c r="C692" s="266"/>
      <c r="D692" s="266"/>
      <c r="E692" s="270"/>
      <c r="F692" s="270"/>
      <c r="G692" s="270"/>
      <c r="H692" s="266"/>
      <c r="I692" s="270"/>
      <c r="J692" s="270"/>
      <c r="K692" s="263"/>
    </row>
    <row r="693">
      <c r="A693" s="269"/>
      <c r="B693" s="264"/>
      <c r="C693" s="266"/>
      <c r="D693" s="266"/>
      <c r="E693" s="270"/>
      <c r="F693" s="270"/>
      <c r="G693" s="270"/>
      <c r="H693" s="266"/>
      <c r="I693" s="270"/>
      <c r="J693" s="270"/>
      <c r="K693" s="263"/>
    </row>
    <row r="694">
      <c r="A694" s="269"/>
      <c r="B694" s="264"/>
      <c r="C694" s="266"/>
      <c r="D694" s="266"/>
      <c r="E694" s="270"/>
      <c r="F694" s="270"/>
      <c r="G694" s="270"/>
      <c r="H694" s="266"/>
      <c r="I694" s="270"/>
      <c r="J694" s="270"/>
      <c r="K694" s="263"/>
    </row>
    <row r="695">
      <c r="A695" s="269"/>
      <c r="B695" s="264"/>
      <c r="C695" s="266"/>
      <c r="D695" s="266"/>
      <c r="E695" s="270"/>
      <c r="F695" s="270"/>
      <c r="G695" s="270"/>
      <c r="H695" s="266"/>
      <c r="I695" s="270"/>
      <c r="J695" s="270"/>
      <c r="K695" s="263"/>
    </row>
    <row r="696">
      <c r="A696" s="269"/>
      <c r="B696" s="264"/>
      <c r="C696" s="266"/>
      <c r="D696" s="266"/>
      <c r="E696" s="270"/>
      <c r="F696" s="270"/>
      <c r="G696" s="270"/>
      <c r="H696" s="266"/>
      <c r="I696" s="270"/>
      <c r="J696" s="270"/>
      <c r="K696" s="263"/>
    </row>
    <row r="697">
      <c r="A697" s="269"/>
      <c r="B697" s="264"/>
      <c r="C697" s="266"/>
      <c r="D697" s="266"/>
      <c r="E697" s="270"/>
      <c r="F697" s="270"/>
      <c r="G697" s="270"/>
      <c r="H697" s="266"/>
      <c r="I697" s="270"/>
      <c r="J697" s="270"/>
      <c r="K697" s="263"/>
    </row>
    <row r="698">
      <c r="A698" s="269"/>
      <c r="B698" s="264"/>
      <c r="C698" s="266"/>
      <c r="D698" s="266"/>
      <c r="E698" s="270"/>
      <c r="F698" s="270"/>
      <c r="G698" s="270"/>
      <c r="H698" s="266"/>
      <c r="I698" s="270"/>
      <c r="J698" s="270"/>
      <c r="K698" s="263"/>
    </row>
    <row r="699">
      <c r="A699" s="269"/>
      <c r="B699" s="264"/>
      <c r="C699" s="266"/>
      <c r="D699" s="266"/>
      <c r="E699" s="270"/>
      <c r="F699" s="270"/>
      <c r="G699" s="270"/>
      <c r="H699" s="266"/>
      <c r="I699" s="270"/>
      <c r="J699" s="270"/>
      <c r="K699" s="263"/>
    </row>
    <row r="700">
      <c r="A700" s="269"/>
      <c r="B700" s="264"/>
      <c r="C700" s="266"/>
      <c r="D700" s="266"/>
      <c r="E700" s="270"/>
      <c r="F700" s="270"/>
      <c r="G700" s="270"/>
      <c r="H700" s="266"/>
      <c r="I700" s="270"/>
      <c r="J700" s="270"/>
      <c r="K700" s="263"/>
    </row>
    <row r="701">
      <c r="A701" s="269"/>
      <c r="B701" s="264"/>
      <c r="C701" s="266"/>
      <c r="D701" s="266"/>
      <c r="E701" s="270"/>
      <c r="F701" s="270"/>
      <c r="G701" s="270"/>
      <c r="H701" s="266"/>
      <c r="I701" s="270"/>
      <c r="J701" s="270"/>
      <c r="K701" s="263"/>
    </row>
    <row r="702">
      <c r="A702" s="269"/>
      <c r="B702" s="264"/>
      <c r="C702" s="266"/>
      <c r="D702" s="266"/>
      <c r="E702" s="270"/>
      <c r="F702" s="270"/>
      <c r="G702" s="270"/>
      <c r="H702" s="266"/>
      <c r="I702" s="270"/>
      <c r="J702" s="270"/>
      <c r="K702" s="263"/>
    </row>
    <row r="703">
      <c r="A703" s="269"/>
      <c r="B703" s="264"/>
      <c r="C703" s="266"/>
      <c r="D703" s="266"/>
      <c r="E703" s="270"/>
      <c r="F703" s="270"/>
      <c r="G703" s="270"/>
      <c r="H703" s="266"/>
      <c r="I703" s="270"/>
      <c r="J703" s="270"/>
      <c r="K703" s="263"/>
    </row>
    <row r="704">
      <c r="A704" s="269"/>
      <c r="B704" s="264"/>
      <c r="C704" s="266"/>
      <c r="D704" s="266"/>
      <c r="E704" s="270"/>
      <c r="F704" s="270"/>
      <c r="G704" s="270"/>
      <c r="H704" s="266"/>
      <c r="I704" s="270"/>
      <c r="J704" s="270"/>
      <c r="K704" s="263"/>
    </row>
    <row r="705">
      <c r="A705" s="269"/>
      <c r="B705" s="264"/>
      <c r="C705" s="266"/>
      <c r="D705" s="266"/>
      <c r="E705" s="270"/>
      <c r="F705" s="270"/>
      <c r="G705" s="270"/>
      <c r="H705" s="266"/>
      <c r="I705" s="270"/>
      <c r="J705" s="270"/>
      <c r="K705" s="263"/>
    </row>
    <row r="706">
      <c r="A706" s="269"/>
      <c r="B706" s="264"/>
      <c r="C706" s="266"/>
      <c r="D706" s="266"/>
      <c r="E706" s="270"/>
      <c r="F706" s="270"/>
      <c r="G706" s="270"/>
      <c r="H706" s="266"/>
      <c r="I706" s="270"/>
      <c r="J706" s="270"/>
      <c r="K706" s="263"/>
    </row>
    <row r="707">
      <c r="A707" s="269"/>
      <c r="B707" s="264"/>
      <c r="C707" s="266"/>
      <c r="D707" s="266"/>
      <c r="E707" s="270"/>
      <c r="F707" s="270"/>
      <c r="G707" s="270"/>
      <c r="H707" s="266"/>
      <c r="I707" s="270"/>
      <c r="J707" s="270"/>
      <c r="K707" s="263"/>
    </row>
    <row r="708">
      <c r="A708" s="269"/>
      <c r="B708" s="264"/>
      <c r="C708" s="266"/>
      <c r="D708" s="266"/>
      <c r="E708" s="270"/>
      <c r="F708" s="270"/>
      <c r="G708" s="270"/>
      <c r="H708" s="266"/>
      <c r="I708" s="270"/>
      <c r="J708" s="270"/>
      <c r="K708" s="263"/>
    </row>
    <row r="709">
      <c r="A709" s="269"/>
      <c r="B709" s="264"/>
      <c r="C709" s="266"/>
      <c r="D709" s="266"/>
      <c r="E709" s="270"/>
      <c r="F709" s="270"/>
      <c r="G709" s="270"/>
      <c r="H709" s="266"/>
      <c r="I709" s="270"/>
      <c r="J709" s="270"/>
      <c r="K709" s="263"/>
    </row>
    <row r="710">
      <c r="A710" s="269"/>
      <c r="B710" s="264"/>
      <c r="C710" s="266"/>
      <c r="D710" s="266"/>
      <c r="E710" s="270"/>
      <c r="F710" s="270"/>
      <c r="G710" s="270"/>
      <c r="H710" s="266"/>
      <c r="I710" s="270"/>
      <c r="J710" s="270"/>
      <c r="K710" s="263"/>
    </row>
    <row r="711">
      <c r="A711" s="269"/>
      <c r="B711" s="264"/>
      <c r="C711" s="266"/>
      <c r="D711" s="266"/>
      <c r="E711" s="270"/>
      <c r="F711" s="270"/>
      <c r="G711" s="270"/>
      <c r="H711" s="266"/>
      <c r="I711" s="270"/>
      <c r="J711" s="270"/>
      <c r="K711" s="263"/>
    </row>
    <row r="712">
      <c r="A712" s="269"/>
      <c r="B712" s="264"/>
      <c r="C712" s="266"/>
      <c r="D712" s="266"/>
      <c r="E712" s="270"/>
      <c r="F712" s="270"/>
      <c r="G712" s="270"/>
      <c r="H712" s="266"/>
      <c r="I712" s="270"/>
      <c r="J712" s="270"/>
      <c r="K712" s="263"/>
    </row>
    <row r="713">
      <c r="A713" s="269"/>
      <c r="B713" s="264"/>
      <c r="C713" s="266"/>
      <c r="D713" s="266"/>
      <c r="E713" s="270"/>
      <c r="F713" s="270"/>
      <c r="G713" s="270"/>
      <c r="H713" s="266"/>
      <c r="I713" s="270"/>
      <c r="J713" s="270"/>
      <c r="K713" s="263"/>
    </row>
    <row r="714">
      <c r="A714" s="269"/>
      <c r="B714" s="264"/>
      <c r="C714" s="266"/>
      <c r="D714" s="266"/>
      <c r="E714" s="270"/>
      <c r="F714" s="270"/>
      <c r="G714" s="270"/>
      <c r="H714" s="266"/>
      <c r="I714" s="270"/>
      <c r="J714" s="270"/>
      <c r="K714" s="263"/>
    </row>
    <row r="715">
      <c r="A715" s="269"/>
      <c r="B715" s="264"/>
      <c r="C715" s="266"/>
      <c r="D715" s="266"/>
      <c r="E715" s="270"/>
      <c r="F715" s="270"/>
      <c r="G715" s="270"/>
      <c r="H715" s="266"/>
      <c r="I715" s="270"/>
      <c r="J715" s="270"/>
      <c r="K715" s="263"/>
    </row>
    <row r="716">
      <c r="A716" s="269"/>
      <c r="B716" s="264"/>
      <c r="C716" s="266"/>
      <c r="D716" s="266"/>
      <c r="E716" s="270"/>
      <c r="F716" s="270"/>
      <c r="G716" s="270"/>
      <c r="H716" s="266"/>
      <c r="I716" s="270"/>
      <c r="J716" s="270"/>
      <c r="K716" s="263"/>
    </row>
    <row r="717">
      <c r="A717" s="269"/>
      <c r="B717" s="264"/>
      <c r="C717" s="266"/>
      <c r="D717" s="266"/>
      <c r="E717" s="270"/>
      <c r="F717" s="270"/>
      <c r="G717" s="270"/>
      <c r="H717" s="266"/>
      <c r="I717" s="270"/>
      <c r="J717" s="270"/>
      <c r="K717" s="263"/>
    </row>
    <row r="718">
      <c r="A718" s="269"/>
      <c r="B718" s="264"/>
      <c r="C718" s="266"/>
      <c r="D718" s="266"/>
      <c r="E718" s="270"/>
      <c r="F718" s="270"/>
      <c r="G718" s="270"/>
      <c r="H718" s="266"/>
      <c r="I718" s="270"/>
      <c r="J718" s="270"/>
      <c r="K718" s="263"/>
    </row>
    <row r="719">
      <c r="A719" s="269"/>
      <c r="B719" s="264"/>
      <c r="C719" s="266"/>
      <c r="D719" s="266"/>
      <c r="E719" s="270"/>
      <c r="F719" s="270"/>
      <c r="G719" s="270"/>
      <c r="H719" s="266"/>
      <c r="I719" s="270"/>
      <c r="J719" s="270"/>
      <c r="K719" s="263"/>
    </row>
    <row r="720">
      <c r="A720" s="269"/>
      <c r="B720" s="264"/>
      <c r="C720" s="266"/>
      <c r="D720" s="266"/>
      <c r="E720" s="270"/>
      <c r="F720" s="270"/>
      <c r="G720" s="270"/>
      <c r="H720" s="266"/>
      <c r="I720" s="270"/>
      <c r="J720" s="270"/>
      <c r="K720" s="263"/>
    </row>
    <row r="721">
      <c r="A721" s="269"/>
      <c r="B721" s="264"/>
      <c r="C721" s="266"/>
      <c r="D721" s="266"/>
      <c r="E721" s="270"/>
      <c r="F721" s="270"/>
      <c r="G721" s="270"/>
      <c r="H721" s="266"/>
      <c r="I721" s="270"/>
      <c r="J721" s="270"/>
      <c r="K721" s="263"/>
    </row>
    <row r="722">
      <c r="A722" s="269"/>
      <c r="B722" s="264"/>
      <c r="C722" s="266"/>
      <c r="D722" s="266"/>
      <c r="E722" s="270"/>
      <c r="F722" s="270"/>
      <c r="G722" s="270"/>
      <c r="H722" s="266"/>
      <c r="I722" s="270"/>
      <c r="J722" s="270"/>
      <c r="K722" s="263"/>
    </row>
    <row r="723">
      <c r="A723" s="269"/>
      <c r="B723" s="264"/>
      <c r="C723" s="266"/>
      <c r="D723" s="266"/>
      <c r="E723" s="270"/>
      <c r="F723" s="270"/>
      <c r="G723" s="270"/>
      <c r="H723" s="266"/>
      <c r="I723" s="270"/>
      <c r="J723" s="270"/>
      <c r="K723" s="263"/>
    </row>
    <row r="724">
      <c r="A724" s="269"/>
      <c r="B724" s="264"/>
      <c r="C724" s="266"/>
      <c r="D724" s="266"/>
      <c r="E724" s="270"/>
      <c r="F724" s="270"/>
      <c r="G724" s="270"/>
      <c r="H724" s="266"/>
      <c r="I724" s="270"/>
      <c r="J724" s="270"/>
      <c r="K724" s="263"/>
    </row>
    <row r="725">
      <c r="A725" s="269"/>
      <c r="B725" s="264"/>
      <c r="C725" s="266"/>
      <c r="D725" s="266"/>
      <c r="E725" s="270"/>
      <c r="F725" s="270"/>
      <c r="G725" s="270"/>
      <c r="H725" s="266"/>
      <c r="I725" s="270"/>
      <c r="J725" s="270"/>
      <c r="K725" s="263"/>
    </row>
    <row r="726">
      <c r="A726" s="269"/>
      <c r="B726" s="264"/>
      <c r="C726" s="266"/>
      <c r="D726" s="266"/>
      <c r="E726" s="270"/>
      <c r="F726" s="270"/>
      <c r="G726" s="270"/>
      <c r="H726" s="266"/>
      <c r="I726" s="270"/>
      <c r="J726" s="270"/>
      <c r="K726" s="263"/>
    </row>
    <row r="727">
      <c r="A727" s="269"/>
      <c r="B727" s="264"/>
      <c r="C727" s="266"/>
      <c r="D727" s="266"/>
      <c r="E727" s="270"/>
      <c r="F727" s="270"/>
      <c r="G727" s="270"/>
      <c r="H727" s="266"/>
      <c r="I727" s="270"/>
      <c r="J727" s="270"/>
      <c r="K727" s="263"/>
    </row>
    <row r="728">
      <c r="A728" s="269"/>
      <c r="B728" s="264"/>
      <c r="C728" s="266"/>
      <c r="D728" s="266"/>
      <c r="E728" s="270"/>
      <c r="F728" s="270"/>
      <c r="G728" s="270"/>
      <c r="H728" s="266"/>
      <c r="I728" s="270"/>
      <c r="J728" s="270"/>
      <c r="K728" s="263"/>
    </row>
    <row r="729">
      <c r="A729" s="269"/>
      <c r="B729" s="264"/>
      <c r="C729" s="266"/>
      <c r="D729" s="266"/>
      <c r="E729" s="270"/>
      <c r="F729" s="270"/>
      <c r="G729" s="270"/>
      <c r="H729" s="266"/>
      <c r="I729" s="270"/>
      <c r="J729" s="270"/>
      <c r="K729" s="263"/>
    </row>
    <row r="730">
      <c r="A730" s="269"/>
      <c r="B730" s="264"/>
      <c r="C730" s="266"/>
      <c r="D730" s="266"/>
      <c r="E730" s="270"/>
      <c r="F730" s="270"/>
      <c r="G730" s="270"/>
      <c r="H730" s="266"/>
      <c r="I730" s="270"/>
      <c r="J730" s="270"/>
      <c r="K730" s="263"/>
    </row>
    <row r="731">
      <c r="A731" s="269"/>
      <c r="B731" s="264"/>
      <c r="C731" s="266"/>
      <c r="D731" s="266"/>
      <c r="E731" s="270"/>
      <c r="F731" s="270"/>
      <c r="G731" s="270"/>
      <c r="H731" s="266"/>
      <c r="I731" s="270"/>
      <c r="J731" s="270"/>
      <c r="K731" s="263"/>
    </row>
    <row r="732">
      <c r="A732" s="269"/>
      <c r="B732" s="264"/>
      <c r="C732" s="266"/>
      <c r="D732" s="266"/>
      <c r="E732" s="270"/>
      <c r="F732" s="270"/>
      <c r="G732" s="270"/>
      <c r="H732" s="266"/>
      <c r="I732" s="270"/>
      <c r="J732" s="270"/>
      <c r="K732" s="263"/>
    </row>
    <row r="733">
      <c r="A733" s="269"/>
      <c r="B733" s="264"/>
      <c r="C733" s="266"/>
      <c r="D733" s="266"/>
      <c r="E733" s="270"/>
      <c r="F733" s="270"/>
      <c r="G733" s="270"/>
      <c r="H733" s="266"/>
      <c r="I733" s="270"/>
      <c r="J733" s="270"/>
      <c r="K733" s="263"/>
    </row>
    <row r="734">
      <c r="A734" s="269"/>
      <c r="B734" s="264"/>
      <c r="C734" s="266"/>
      <c r="D734" s="266"/>
      <c r="E734" s="270"/>
      <c r="F734" s="270"/>
      <c r="G734" s="270"/>
      <c r="H734" s="266"/>
      <c r="I734" s="270"/>
      <c r="J734" s="270"/>
      <c r="K734" s="263"/>
    </row>
    <row r="735">
      <c r="A735" s="269"/>
      <c r="B735" s="264"/>
      <c r="C735" s="266"/>
      <c r="D735" s="266"/>
      <c r="E735" s="270"/>
      <c r="F735" s="270"/>
      <c r="G735" s="270"/>
      <c r="H735" s="266"/>
      <c r="I735" s="270"/>
      <c r="J735" s="270"/>
      <c r="K735" s="263"/>
    </row>
    <row r="736">
      <c r="A736" s="269"/>
      <c r="B736" s="264"/>
      <c r="C736" s="266"/>
      <c r="D736" s="266"/>
      <c r="E736" s="270"/>
      <c r="F736" s="270"/>
      <c r="G736" s="270"/>
      <c r="H736" s="266"/>
      <c r="I736" s="270"/>
      <c r="J736" s="270"/>
      <c r="K736" s="263"/>
    </row>
    <row r="737">
      <c r="A737" s="269"/>
      <c r="B737" s="264"/>
      <c r="C737" s="266"/>
      <c r="D737" s="266"/>
      <c r="E737" s="270"/>
      <c r="F737" s="270"/>
      <c r="G737" s="270"/>
      <c r="H737" s="266"/>
      <c r="I737" s="270"/>
      <c r="J737" s="270"/>
      <c r="K737" s="263"/>
    </row>
    <row r="738">
      <c r="A738" s="269"/>
      <c r="B738" s="264"/>
      <c r="C738" s="266"/>
      <c r="D738" s="266"/>
      <c r="E738" s="270"/>
      <c r="F738" s="270"/>
      <c r="G738" s="270"/>
      <c r="H738" s="266"/>
      <c r="I738" s="270"/>
      <c r="J738" s="270"/>
      <c r="K738" s="263"/>
    </row>
    <row r="739">
      <c r="A739" s="269"/>
      <c r="B739" s="264"/>
      <c r="C739" s="266"/>
      <c r="D739" s="266"/>
      <c r="E739" s="270"/>
      <c r="F739" s="270"/>
      <c r="G739" s="270"/>
      <c r="H739" s="266"/>
      <c r="I739" s="270"/>
      <c r="J739" s="270"/>
      <c r="K739" s="263"/>
    </row>
    <row r="740">
      <c r="A740" s="269"/>
      <c r="B740" s="264"/>
      <c r="C740" s="266"/>
      <c r="D740" s="266"/>
      <c r="E740" s="270"/>
      <c r="F740" s="270"/>
      <c r="G740" s="270"/>
      <c r="H740" s="266"/>
      <c r="I740" s="270"/>
      <c r="J740" s="270"/>
      <c r="K740" s="263"/>
    </row>
    <row r="741">
      <c r="A741" s="269"/>
      <c r="B741" s="264"/>
      <c r="C741" s="266"/>
      <c r="D741" s="266"/>
      <c r="E741" s="270"/>
      <c r="F741" s="270"/>
      <c r="G741" s="270"/>
      <c r="H741" s="266"/>
      <c r="I741" s="270"/>
      <c r="J741" s="270"/>
      <c r="K741" s="263"/>
    </row>
    <row r="742">
      <c r="A742" s="269"/>
      <c r="B742" s="264"/>
      <c r="C742" s="266"/>
      <c r="D742" s="266"/>
      <c r="E742" s="270"/>
      <c r="F742" s="270"/>
      <c r="G742" s="270"/>
      <c r="H742" s="266"/>
      <c r="I742" s="270"/>
      <c r="J742" s="270"/>
      <c r="K742" s="263"/>
    </row>
    <row r="743">
      <c r="A743" s="269"/>
      <c r="B743" s="264"/>
      <c r="C743" s="266"/>
      <c r="D743" s="266"/>
      <c r="E743" s="270"/>
      <c r="F743" s="270"/>
      <c r="G743" s="270"/>
      <c r="H743" s="266"/>
      <c r="I743" s="270"/>
      <c r="J743" s="270"/>
      <c r="K743" s="263"/>
    </row>
    <row r="744">
      <c r="A744" s="269"/>
      <c r="B744" s="264"/>
      <c r="C744" s="266"/>
      <c r="D744" s="266"/>
      <c r="E744" s="270"/>
      <c r="F744" s="270"/>
      <c r="G744" s="270"/>
      <c r="H744" s="266"/>
      <c r="I744" s="270"/>
      <c r="J744" s="270"/>
      <c r="K744" s="263"/>
    </row>
    <row r="745">
      <c r="A745" s="269"/>
      <c r="B745" s="264"/>
      <c r="C745" s="266"/>
      <c r="D745" s="266"/>
      <c r="E745" s="270"/>
      <c r="F745" s="270"/>
      <c r="G745" s="270"/>
      <c r="H745" s="266"/>
      <c r="I745" s="270"/>
      <c r="J745" s="270"/>
      <c r="K745" s="263"/>
    </row>
    <row r="746">
      <c r="A746" s="269"/>
      <c r="B746" s="264"/>
      <c r="C746" s="266"/>
      <c r="D746" s="266"/>
      <c r="E746" s="270"/>
      <c r="F746" s="270"/>
      <c r="G746" s="270"/>
      <c r="H746" s="266"/>
      <c r="I746" s="270"/>
      <c r="J746" s="270"/>
      <c r="K746" s="263"/>
    </row>
    <row r="747">
      <c r="A747" s="269"/>
      <c r="B747" s="264"/>
      <c r="C747" s="266"/>
      <c r="D747" s="266"/>
      <c r="E747" s="270"/>
      <c r="F747" s="270"/>
      <c r="G747" s="270"/>
      <c r="H747" s="266"/>
      <c r="I747" s="270"/>
      <c r="J747" s="270"/>
      <c r="K747" s="263"/>
    </row>
    <row r="748">
      <c r="A748" s="269"/>
      <c r="B748" s="264"/>
      <c r="C748" s="266"/>
      <c r="D748" s="266"/>
      <c r="E748" s="270"/>
      <c r="F748" s="270"/>
      <c r="G748" s="270"/>
      <c r="H748" s="266"/>
      <c r="I748" s="270"/>
      <c r="J748" s="270"/>
      <c r="K748" s="263"/>
    </row>
    <row r="749">
      <c r="A749" s="269"/>
      <c r="B749" s="264"/>
      <c r="C749" s="266"/>
      <c r="D749" s="266"/>
      <c r="E749" s="270"/>
      <c r="F749" s="270"/>
      <c r="G749" s="270"/>
      <c r="H749" s="266"/>
      <c r="I749" s="270"/>
      <c r="J749" s="270"/>
      <c r="K749" s="263"/>
    </row>
    <row r="750">
      <c r="A750" s="269"/>
      <c r="B750" s="264"/>
      <c r="C750" s="266"/>
      <c r="D750" s="266"/>
      <c r="E750" s="270"/>
      <c r="F750" s="270"/>
      <c r="G750" s="270"/>
      <c r="H750" s="266"/>
      <c r="I750" s="270"/>
      <c r="J750" s="270"/>
      <c r="K750" s="263"/>
    </row>
    <row r="751">
      <c r="A751" s="269"/>
      <c r="B751" s="264"/>
      <c r="C751" s="266"/>
      <c r="D751" s="266"/>
      <c r="E751" s="270"/>
      <c r="F751" s="270"/>
      <c r="G751" s="270"/>
      <c r="H751" s="266"/>
      <c r="I751" s="270"/>
      <c r="J751" s="270"/>
      <c r="K751" s="263"/>
    </row>
    <row r="752">
      <c r="A752" s="269"/>
      <c r="B752" s="264"/>
      <c r="C752" s="266"/>
      <c r="D752" s="266"/>
      <c r="E752" s="270"/>
      <c r="F752" s="270"/>
      <c r="G752" s="270"/>
      <c r="H752" s="266"/>
      <c r="I752" s="270"/>
      <c r="J752" s="270"/>
      <c r="K752" s="263"/>
    </row>
    <row r="753">
      <c r="A753" s="269"/>
      <c r="B753" s="264"/>
      <c r="C753" s="266"/>
      <c r="D753" s="266"/>
      <c r="E753" s="270"/>
      <c r="F753" s="270"/>
      <c r="G753" s="270"/>
      <c r="H753" s="266"/>
      <c r="I753" s="270"/>
      <c r="J753" s="270"/>
      <c r="K753" s="263"/>
    </row>
    <row r="754">
      <c r="A754" s="269"/>
      <c r="B754" s="264"/>
      <c r="C754" s="266"/>
      <c r="D754" s="266"/>
      <c r="E754" s="270"/>
      <c r="F754" s="270"/>
      <c r="G754" s="270"/>
      <c r="H754" s="266"/>
      <c r="I754" s="270"/>
      <c r="J754" s="270"/>
      <c r="K754" s="263"/>
    </row>
    <row r="755">
      <c r="A755" s="269"/>
      <c r="B755" s="264"/>
      <c r="C755" s="266"/>
      <c r="D755" s="266"/>
      <c r="E755" s="270"/>
      <c r="F755" s="270"/>
      <c r="G755" s="270"/>
      <c r="H755" s="266"/>
      <c r="I755" s="270"/>
      <c r="J755" s="270"/>
      <c r="K755" s="263"/>
    </row>
    <row r="756">
      <c r="A756" s="269"/>
      <c r="B756" s="264"/>
      <c r="C756" s="266"/>
      <c r="D756" s="266"/>
      <c r="E756" s="270"/>
      <c r="F756" s="270"/>
      <c r="G756" s="270"/>
      <c r="H756" s="266"/>
      <c r="I756" s="270"/>
      <c r="J756" s="270"/>
      <c r="K756" s="263"/>
    </row>
    <row r="757">
      <c r="A757" s="269"/>
      <c r="B757" s="264"/>
      <c r="C757" s="266"/>
      <c r="D757" s="266"/>
      <c r="E757" s="270"/>
      <c r="F757" s="270"/>
      <c r="G757" s="270"/>
      <c r="H757" s="266"/>
      <c r="I757" s="270"/>
      <c r="J757" s="270"/>
      <c r="K757" s="263"/>
    </row>
    <row r="758">
      <c r="A758" s="269"/>
      <c r="B758" s="264"/>
      <c r="C758" s="266"/>
      <c r="D758" s="266"/>
      <c r="E758" s="270"/>
      <c r="F758" s="270"/>
      <c r="G758" s="270"/>
      <c r="H758" s="266"/>
      <c r="I758" s="270"/>
      <c r="J758" s="270"/>
      <c r="K758" s="263"/>
    </row>
    <row r="759">
      <c r="A759" s="269"/>
      <c r="B759" s="264"/>
      <c r="C759" s="266"/>
      <c r="D759" s="266"/>
      <c r="E759" s="270"/>
      <c r="F759" s="270"/>
      <c r="G759" s="270"/>
      <c r="H759" s="266"/>
      <c r="I759" s="270"/>
      <c r="J759" s="270"/>
      <c r="K759" s="263"/>
    </row>
    <row r="760">
      <c r="A760" s="269"/>
      <c r="B760" s="264"/>
      <c r="C760" s="266"/>
      <c r="D760" s="266"/>
      <c r="E760" s="270"/>
      <c r="F760" s="270"/>
      <c r="G760" s="270"/>
      <c r="H760" s="266"/>
      <c r="I760" s="270"/>
      <c r="J760" s="270"/>
      <c r="K760" s="263"/>
    </row>
    <row r="761">
      <c r="A761" s="269"/>
      <c r="B761" s="264"/>
      <c r="C761" s="266"/>
      <c r="D761" s="266"/>
      <c r="E761" s="270"/>
      <c r="F761" s="270"/>
      <c r="G761" s="270"/>
      <c r="H761" s="266"/>
      <c r="I761" s="270"/>
      <c r="J761" s="270"/>
      <c r="K761" s="263"/>
    </row>
    <row r="762">
      <c r="A762" s="269"/>
      <c r="B762" s="264"/>
      <c r="C762" s="266"/>
      <c r="D762" s="266"/>
      <c r="E762" s="270"/>
      <c r="F762" s="270"/>
      <c r="G762" s="270"/>
      <c r="H762" s="266"/>
      <c r="I762" s="270"/>
      <c r="J762" s="270"/>
      <c r="K762" s="263"/>
    </row>
    <row r="763">
      <c r="A763" s="269"/>
      <c r="B763" s="264"/>
      <c r="C763" s="266"/>
      <c r="D763" s="266"/>
      <c r="E763" s="270"/>
      <c r="F763" s="270"/>
      <c r="G763" s="270"/>
      <c r="H763" s="266"/>
      <c r="I763" s="270"/>
      <c r="J763" s="270"/>
      <c r="K763" s="263"/>
    </row>
    <row r="764">
      <c r="A764" s="269"/>
      <c r="B764" s="264"/>
      <c r="C764" s="266"/>
      <c r="D764" s="266"/>
      <c r="E764" s="270"/>
      <c r="F764" s="270"/>
      <c r="G764" s="270"/>
      <c r="H764" s="266"/>
      <c r="I764" s="270"/>
      <c r="J764" s="270"/>
      <c r="K764" s="263"/>
    </row>
    <row r="765">
      <c r="A765" s="269"/>
      <c r="B765" s="264"/>
      <c r="C765" s="266"/>
      <c r="D765" s="266"/>
      <c r="E765" s="270"/>
      <c r="F765" s="270"/>
      <c r="G765" s="270"/>
      <c r="H765" s="266"/>
      <c r="I765" s="270"/>
      <c r="J765" s="270"/>
      <c r="K765" s="263"/>
    </row>
    <row r="766">
      <c r="A766" s="269"/>
      <c r="B766" s="264"/>
      <c r="C766" s="266"/>
      <c r="D766" s="266"/>
      <c r="E766" s="270"/>
      <c r="F766" s="270"/>
      <c r="G766" s="270"/>
      <c r="H766" s="266"/>
      <c r="I766" s="270"/>
      <c r="J766" s="270"/>
      <c r="K766" s="263"/>
    </row>
    <row r="767">
      <c r="A767" s="269"/>
      <c r="B767" s="264"/>
      <c r="C767" s="266"/>
      <c r="D767" s="266"/>
      <c r="E767" s="270"/>
      <c r="F767" s="270"/>
      <c r="G767" s="270"/>
      <c r="H767" s="266"/>
      <c r="I767" s="270"/>
      <c r="J767" s="270"/>
      <c r="K767" s="263"/>
    </row>
    <row r="768">
      <c r="A768" s="269"/>
      <c r="B768" s="264"/>
      <c r="C768" s="266"/>
      <c r="D768" s="266"/>
      <c r="E768" s="270"/>
      <c r="F768" s="270"/>
      <c r="G768" s="270"/>
      <c r="H768" s="266"/>
      <c r="I768" s="270"/>
      <c r="J768" s="270"/>
      <c r="K768" s="263"/>
    </row>
    <row r="769">
      <c r="A769" s="269"/>
      <c r="B769" s="264"/>
      <c r="C769" s="266"/>
      <c r="D769" s="266"/>
      <c r="E769" s="270"/>
      <c r="F769" s="270"/>
      <c r="G769" s="270"/>
      <c r="H769" s="266"/>
      <c r="I769" s="270"/>
      <c r="J769" s="270"/>
      <c r="K769" s="263"/>
    </row>
    <row r="770">
      <c r="A770" s="269"/>
      <c r="B770" s="264"/>
      <c r="C770" s="266"/>
      <c r="D770" s="266"/>
      <c r="E770" s="270"/>
      <c r="F770" s="270"/>
      <c r="G770" s="270"/>
      <c r="H770" s="266"/>
      <c r="I770" s="270"/>
      <c r="J770" s="270"/>
      <c r="K770" s="263"/>
    </row>
    <row r="771">
      <c r="A771" s="269"/>
      <c r="B771" s="264"/>
      <c r="C771" s="266"/>
      <c r="D771" s="266"/>
      <c r="E771" s="270"/>
      <c r="F771" s="270"/>
      <c r="G771" s="270"/>
      <c r="H771" s="266"/>
      <c r="I771" s="270"/>
      <c r="J771" s="270"/>
      <c r="K771" s="263"/>
    </row>
    <row r="772">
      <c r="A772" s="269"/>
      <c r="B772" s="264"/>
      <c r="C772" s="266"/>
      <c r="D772" s="266"/>
      <c r="E772" s="270"/>
      <c r="F772" s="270"/>
      <c r="G772" s="270"/>
      <c r="H772" s="266"/>
      <c r="I772" s="270"/>
      <c r="J772" s="270"/>
      <c r="K772" s="263"/>
    </row>
    <row r="773">
      <c r="A773" s="269"/>
      <c r="B773" s="264"/>
      <c r="C773" s="266"/>
      <c r="D773" s="266"/>
      <c r="E773" s="270"/>
      <c r="F773" s="270"/>
      <c r="G773" s="270"/>
      <c r="H773" s="266"/>
      <c r="I773" s="270"/>
      <c r="J773" s="270"/>
      <c r="K773" s="263"/>
    </row>
    <row r="774">
      <c r="A774" s="269"/>
      <c r="B774" s="264"/>
      <c r="C774" s="266"/>
      <c r="D774" s="266"/>
      <c r="E774" s="270"/>
      <c r="F774" s="270"/>
      <c r="G774" s="270"/>
      <c r="H774" s="266"/>
      <c r="I774" s="270"/>
      <c r="J774" s="270"/>
      <c r="K774" s="263"/>
    </row>
    <row r="775">
      <c r="A775" s="269"/>
      <c r="B775" s="264"/>
      <c r="C775" s="266"/>
      <c r="D775" s="266"/>
      <c r="E775" s="270"/>
      <c r="F775" s="270"/>
      <c r="G775" s="270"/>
      <c r="H775" s="266"/>
      <c r="I775" s="270"/>
      <c r="J775" s="270"/>
      <c r="K775" s="263"/>
    </row>
    <row r="776">
      <c r="A776" s="269"/>
      <c r="B776" s="264"/>
      <c r="C776" s="266"/>
      <c r="D776" s="266"/>
      <c r="E776" s="270"/>
      <c r="F776" s="270"/>
      <c r="G776" s="270"/>
      <c r="H776" s="266"/>
      <c r="I776" s="270"/>
      <c r="J776" s="270"/>
      <c r="K776" s="263"/>
    </row>
    <row r="777">
      <c r="A777" s="269"/>
      <c r="B777" s="264"/>
      <c r="C777" s="266"/>
      <c r="D777" s="266"/>
      <c r="E777" s="270"/>
      <c r="F777" s="270"/>
      <c r="G777" s="270"/>
      <c r="H777" s="266"/>
      <c r="I777" s="270"/>
      <c r="J777" s="270"/>
      <c r="K777" s="263"/>
    </row>
    <row r="778">
      <c r="A778" s="269"/>
      <c r="B778" s="264"/>
      <c r="C778" s="266"/>
      <c r="D778" s="266"/>
      <c r="E778" s="270"/>
      <c r="F778" s="270"/>
      <c r="G778" s="270"/>
      <c r="H778" s="266"/>
      <c r="I778" s="270"/>
      <c r="J778" s="270"/>
      <c r="K778" s="263"/>
    </row>
    <row r="779">
      <c r="A779" s="269"/>
      <c r="B779" s="264"/>
      <c r="C779" s="266"/>
      <c r="D779" s="266"/>
      <c r="E779" s="270"/>
      <c r="F779" s="270"/>
      <c r="G779" s="270"/>
      <c r="H779" s="266"/>
      <c r="I779" s="270"/>
      <c r="J779" s="270"/>
      <c r="K779" s="263"/>
    </row>
    <row r="780">
      <c r="A780" s="269"/>
      <c r="B780" s="264"/>
      <c r="C780" s="266"/>
      <c r="D780" s="266"/>
      <c r="E780" s="270"/>
      <c r="F780" s="270"/>
      <c r="G780" s="270"/>
      <c r="H780" s="266"/>
      <c r="I780" s="270"/>
      <c r="J780" s="270"/>
      <c r="K780" s="263"/>
    </row>
    <row r="781">
      <c r="A781" s="269"/>
      <c r="B781" s="264"/>
      <c r="C781" s="266"/>
      <c r="D781" s="266"/>
      <c r="E781" s="270"/>
      <c r="F781" s="270"/>
      <c r="G781" s="270"/>
      <c r="H781" s="266"/>
      <c r="I781" s="270"/>
      <c r="J781" s="270"/>
      <c r="K781" s="263"/>
    </row>
    <row r="782">
      <c r="A782" s="269"/>
      <c r="B782" s="264"/>
      <c r="C782" s="266"/>
      <c r="D782" s="266"/>
      <c r="E782" s="270"/>
      <c r="F782" s="270"/>
      <c r="G782" s="270"/>
      <c r="H782" s="266"/>
      <c r="I782" s="270"/>
      <c r="J782" s="270"/>
      <c r="K782" s="263"/>
    </row>
    <row r="783">
      <c r="A783" s="269"/>
      <c r="B783" s="264"/>
      <c r="C783" s="266"/>
      <c r="D783" s="266"/>
      <c r="E783" s="270"/>
      <c r="F783" s="270"/>
      <c r="G783" s="270"/>
      <c r="H783" s="266"/>
      <c r="I783" s="270"/>
      <c r="J783" s="270"/>
      <c r="K783" s="263"/>
    </row>
    <row r="784">
      <c r="A784" s="269"/>
      <c r="B784" s="264"/>
      <c r="C784" s="266"/>
      <c r="D784" s="266"/>
      <c r="E784" s="270"/>
      <c r="F784" s="270"/>
      <c r="G784" s="270"/>
      <c r="H784" s="266"/>
      <c r="I784" s="270"/>
      <c r="J784" s="270"/>
      <c r="K784" s="263"/>
    </row>
    <row r="785">
      <c r="A785" s="269"/>
      <c r="B785" s="264"/>
      <c r="C785" s="266"/>
      <c r="D785" s="266"/>
      <c r="E785" s="270"/>
      <c r="F785" s="270"/>
      <c r="G785" s="270"/>
      <c r="H785" s="266"/>
      <c r="I785" s="270"/>
      <c r="J785" s="270"/>
      <c r="K785" s="263"/>
    </row>
    <row r="786">
      <c r="A786" s="269"/>
      <c r="B786" s="264"/>
      <c r="C786" s="266"/>
      <c r="D786" s="266"/>
      <c r="E786" s="270"/>
      <c r="F786" s="270"/>
      <c r="G786" s="270"/>
      <c r="H786" s="266"/>
      <c r="I786" s="270"/>
      <c r="J786" s="270"/>
      <c r="K786" s="263"/>
    </row>
    <row r="787">
      <c r="A787" s="269"/>
      <c r="B787" s="264"/>
      <c r="C787" s="266"/>
      <c r="D787" s="266"/>
      <c r="E787" s="270"/>
      <c r="F787" s="270"/>
      <c r="G787" s="270"/>
      <c r="H787" s="266"/>
      <c r="I787" s="270"/>
      <c r="J787" s="270"/>
      <c r="K787" s="263"/>
    </row>
    <row r="788">
      <c r="A788" s="269"/>
      <c r="B788" s="264"/>
      <c r="C788" s="266"/>
      <c r="D788" s="266"/>
      <c r="E788" s="270"/>
      <c r="F788" s="270"/>
      <c r="G788" s="270"/>
      <c r="H788" s="266"/>
      <c r="I788" s="270"/>
      <c r="J788" s="270"/>
      <c r="K788" s="263"/>
    </row>
    <row r="789">
      <c r="A789" s="269"/>
      <c r="B789" s="264"/>
      <c r="C789" s="266"/>
      <c r="D789" s="266"/>
      <c r="E789" s="270"/>
      <c r="F789" s="270"/>
      <c r="G789" s="270"/>
      <c r="H789" s="266"/>
      <c r="I789" s="270"/>
      <c r="J789" s="270"/>
      <c r="K789" s="263"/>
    </row>
    <row r="790">
      <c r="A790" s="269"/>
      <c r="B790" s="264"/>
      <c r="C790" s="266"/>
      <c r="D790" s="266"/>
      <c r="E790" s="270"/>
      <c r="F790" s="270"/>
      <c r="G790" s="270"/>
      <c r="H790" s="266"/>
      <c r="I790" s="270"/>
      <c r="J790" s="270"/>
      <c r="K790" s="263"/>
    </row>
    <row r="791">
      <c r="A791" s="269"/>
      <c r="B791" s="264"/>
      <c r="C791" s="266"/>
      <c r="D791" s="266"/>
      <c r="E791" s="270"/>
      <c r="F791" s="270"/>
      <c r="G791" s="270"/>
      <c r="H791" s="266"/>
      <c r="I791" s="270"/>
      <c r="J791" s="270"/>
      <c r="K791" s="263"/>
    </row>
    <row r="792">
      <c r="A792" s="269"/>
      <c r="B792" s="264"/>
      <c r="C792" s="266"/>
      <c r="D792" s="266"/>
      <c r="E792" s="270"/>
      <c r="F792" s="270"/>
      <c r="G792" s="270"/>
      <c r="H792" s="266"/>
      <c r="I792" s="270"/>
      <c r="J792" s="270"/>
      <c r="K792" s="263"/>
    </row>
    <row r="793">
      <c r="A793" s="269"/>
      <c r="B793" s="264"/>
      <c r="C793" s="266"/>
      <c r="D793" s="266"/>
      <c r="E793" s="270"/>
      <c r="F793" s="270"/>
      <c r="G793" s="270"/>
      <c r="H793" s="266"/>
      <c r="I793" s="270"/>
      <c r="J793" s="270"/>
      <c r="K793" s="263"/>
    </row>
    <row r="794">
      <c r="A794" s="269"/>
      <c r="B794" s="264"/>
      <c r="C794" s="266"/>
      <c r="D794" s="266"/>
      <c r="E794" s="270"/>
      <c r="F794" s="270"/>
      <c r="G794" s="270"/>
      <c r="H794" s="266"/>
      <c r="I794" s="270"/>
      <c r="J794" s="270"/>
      <c r="K794" s="263"/>
    </row>
    <row r="795">
      <c r="A795" s="269"/>
      <c r="B795" s="264"/>
      <c r="C795" s="266"/>
      <c r="D795" s="266"/>
      <c r="E795" s="270"/>
      <c r="F795" s="270"/>
      <c r="G795" s="270"/>
      <c r="H795" s="266"/>
      <c r="I795" s="270"/>
      <c r="J795" s="270"/>
      <c r="K795" s="263"/>
    </row>
    <row r="796">
      <c r="A796" s="269"/>
      <c r="B796" s="264"/>
      <c r="C796" s="266"/>
      <c r="D796" s="266"/>
      <c r="E796" s="270"/>
      <c r="F796" s="270"/>
      <c r="G796" s="270"/>
      <c r="H796" s="266"/>
      <c r="I796" s="270"/>
      <c r="J796" s="270"/>
      <c r="K796" s="263"/>
    </row>
    <row r="797">
      <c r="A797" s="269"/>
      <c r="B797" s="264"/>
      <c r="C797" s="266"/>
      <c r="D797" s="266"/>
      <c r="E797" s="270"/>
      <c r="F797" s="270"/>
      <c r="G797" s="270"/>
      <c r="H797" s="266"/>
      <c r="I797" s="270"/>
      <c r="J797" s="270"/>
      <c r="K797" s="263"/>
    </row>
    <row r="798">
      <c r="A798" s="269"/>
      <c r="B798" s="264"/>
      <c r="C798" s="266"/>
      <c r="D798" s="266"/>
      <c r="E798" s="270"/>
      <c r="F798" s="270"/>
      <c r="G798" s="270"/>
      <c r="H798" s="266"/>
      <c r="I798" s="270"/>
      <c r="J798" s="270"/>
      <c r="K798" s="263"/>
    </row>
    <row r="799">
      <c r="A799" s="269"/>
      <c r="B799" s="264"/>
      <c r="C799" s="266"/>
      <c r="D799" s="266"/>
      <c r="E799" s="270"/>
      <c r="F799" s="270"/>
      <c r="G799" s="270"/>
      <c r="H799" s="266"/>
      <c r="I799" s="270"/>
      <c r="J799" s="270"/>
      <c r="K799" s="263"/>
    </row>
    <row r="800">
      <c r="A800" s="269"/>
      <c r="B800" s="264"/>
      <c r="C800" s="266"/>
      <c r="D800" s="266"/>
      <c r="E800" s="270"/>
      <c r="F800" s="270"/>
      <c r="G800" s="270"/>
      <c r="H800" s="266"/>
      <c r="I800" s="270"/>
      <c r="J800" s="270"/>
      <c r="K800" s="263"/>
    </row>
    <row r="801">
      <c r="A801" s="269"/>
      <c r="B801" s="264"/>
      <c r="C801" s="266"/>
      <c r="D801" s="266"/>
      <c r="E801" s="270"/>
      <c r="F801" s="270"/>
      <c r="G801" s="270"/>
      <c r="H801" s="266"/>
      <c r="I801" s="270"/>
      <c r="J801" s="270"/>
      <c r="K801" s="263"/>
    </row>
    <row r="802">
      <c r="A802" s="269"/>
      <c r="B802" s="264"/>
      <c r="C802" s="266"/>
      <c r="D802" s="266"/>
      <c r="E802" s="270"/>
      <c r="F802" s="270"/>
      <c r="G802" s="270"/>
      <c r="H802" s="266"/>
      <c r="I802" s="270"/>
      <c r="J802" s="270"/>
      <c r="K802" s="263"/>
    </row>
    <row r="803">
      <c r="A803" s="269"/>
      <c r="B803" s="264"/>
      <c r="C803" s="266"/>
      <c r="D803" s="266"/>
      <c r="E803" s="270"/>
      <c r="F803" s="270"/>
      <c r="G803" s="270"/>
      <c r="H803" s="266"/>
      <c r="I803" s="270"/>
      <c r="J803" s="270"/>
      <c r="K803" s="263"/>
    </row>
    <row r="804">
      <c r="A804" s="269"/>
      <c r="B804" s="264"/>
      <c r="C804" s="266"/>
      <c r="D804" s="266"/>
      <c r="E804" s="270"/>
      <c r="F804" s="270"/>
      <c r="G804" s="270"/>
      <c r="H804" s="266"/>
      <c r="I804" s="270"/>
      <c r="J804" s="270"/>
      <c r="K804" s="263"/>
    </row>
    <row r="805">
      <c r="A805" s="269"/>
      <c r="B805" s="264"/>
      <c r="C805" s="266"/>
      <c r="D805" s="266"/>
      <c r="E805" s="270"/>
      <c r="F805" s="270"/>
      <c r="G805" s="270"/>
      <c r="H805" s="266"/>
      <c r="I805" s="270"/>
      <c r="J805" s="270"/>
      <c r="K805" s="263"/>
    </row>
    <row r="806">
      <c r="A806" s="269"/>
      <c r="B806" s="264"/>
      <c r="C806" s="266"/>
      <c r="D806" s="266"/>
      <c r="E806" s="270"/>
      <c r="F806" s="270"/>
      <c r="G806" s="270"/>
      <c r="H806" s="266"/>
      <c r="I806" s="270"/>
      <c r="J806" s="270"/>
      <c r="K806" s="263"/>
    </row>
    <row r="807">
      <c r="A807" s="269"/>
      <c r="B807" s="264"/>
      <c r="C807" s="266"/>
      <c r="D807" s="266"/>
      <c r="E807" s="270"/>
      <c r="F807" s="270"/>
      <c r="G807" s="270"/>
      <c r="H807" s="266"/>
      <c r="I807" s="270"/>
      <c r="J807" s="270"/>
      <c r="K807" s="263"/>
    </row>
    <row r="808">
      <c r="A808" s="269"/>
      <c r="B808" s="264"/>
      <c r="C808" s="266"/>
      <c r="D808" s="266"/>
      <c r="E808" s="270"/>
      <c r="F808" s="270"/>
      <c r="G808" s="270"/>
      <c r="H808" s="266"/>
      <c r="I808" s="270"/>
      <c r="J808" s="270"/>
      <c r="K808" s="263"/>
    </row>
    <row r="809">
      <c r="A809" s="269"/>
      <c r="B809" s="264"/>
      <c r="C809" s="266"/>
      <c r="D809" s="266"/>
      <c r="E809" s="270"/>
      <c r="F809" s="270"/>
      <c r="G809" s="270"/>
      <c r="H809" s="266"/>
      <c r="I809" s="270"/>
      <c r="J809" s="270"/>
      <c r="K809" s="263"/>
    </row>
    <row r="810">
      <c r="A810" s="269"/>
      <c r="B810" s="264"/>
      <c r="C810" s="266"/>
      <c r="D810" s="266"/>
      <c r="E810" s="270"/>
      <c r="F810" s="270"/>
      <c r="G810" s="270"/>
      <c r="H810" s="266"/>
      <c r="I810" s="270"/>
      <c r="J810" s="270"/>
      <c r="K810" s="263"/>
    </row>
    <row r="811">
      <c r="A811" s="269"/>
      <c r="B811" s="264"/>
      <c r="C811" s="266"/>
      <c r="D811" s="266"/>
      <c r="E811" s="270"/>
      <c r="F811" s="270"/>
      <c r="G811" s="270"/>
      <c r="H811" s="266"/>
      <c r="I811" s="270"/>
      <c r="J811" s="270"/>
      <c r="K811" s="263"/>
    </row>
    <row r="812">
      <c r="A812" s="269"/>
      <c r="B812" s="264"/>
      <c r="C812" s="266"/>
      <c r="D812" s="266"/>
      <c r="E812" s="270"/>
      <c r="F812" s="270"/>
      <c r="G812" s="270"/>
      <c r="H812" s="266"/>
      <c r="I812" s="270"/>
      <c r="J812" s="270"/>
      <c r="K812" s="263"/>
    </row>
    <row r="813">
      <c r="A813" s="269"/>
      <c r="B813" s="264"/>
      <c r="C813" s="266"/>
      <c r="D813" s="266"/>
      <c r="E813" s="270"/>
      <c r="F813" s="270"/>
      <c r="G813" s="270"/>
      <c r="H813" s="266"/>
      <c r="I813" s="270"/>
      <c r="J813" s="270"/>
      <c r="K813" s="263"/>
    </row>
    <row r="814">
      <c r="A814" s="269"/>
      <c r="B814" s="264"/>
      <c r="C814" s="266"/>
      <c r="D814" s="266"/>
      <c r="E814" s="270"/>
      <c r="F814" s="270"/>
      <c r="G814" s="270"/>
      <c r="H814" s="266"/>
      <c r="I814" s="270"/>
      <c r="J814" s="270"/>
      <c r="K814" s="263"/>
    </row>
    <row r="815">
      <c r="A815" s="269"/>
      <c r="B815" s="264"/>
      <c r="C815" s="266"/>
      <c r="D815" s="266"/>
      <c r="E815" s="270"/>
      <c r="F815" s="270"/>
      <c r="G815" s="270"/>
      <c r="H815" s="266"/>
      <c r="I815" s="270"/>
      <c r="J815" s="270"/>
      <c r="K815" s="263"/>
    </row>
    <row r="816">
      <c r="A816" s="269"/>
      <c r="B816" s="264"/>
      <c r="C816" s="266"/>
      <c r="D816" s="266"/>
      <c r="E816" s="270"/>
      <c r="F816" s="270"/>
      <c r="G816" s="270"/>
      <c r="H816" s="266"/>
      <c r="I816" s="270"/>
      <c r="J816" s="270"/>
      <c r="K816" s="263"/>
    </row>
    <row r="817">
      <c r="A817" s="269"/>
      <c r="B817" s="264"/>
      <c r="C817" s="266"/>
      <c r="D817" s="266"/>
      <c r="E817" s="270"/>
      <c r="F817" s="270"/>
      <c r="G817" s="270"/>
      <c r="H817" s="266"/>
      <c r="I817" s="270"/>
      <c r="J817" s="270"/>
      <c r="K817" s="263"/>
    </row>
    <row r="818">
      <c r="A818" s="269"/>
      <c r="B818" s="264"/>
      <c r="C818" s="266"/>
      <c r="D818" s="266"/>
      <c r="E818" s="270"/>
      <c r="F818" s="270"/>
      <c r="G818" s="270"/>
      <c r="H818" s="266"/>
      <c r="I818" s="270"/>
      <c r="J818" s="270"/>
      <c r="K818" s="263"/>
    </row>
    <row r="819">
      <c r="A819" s="269"/>
      <c r="B819" s="264"/>
      <c r="C819" s="266"/>
      <c r="D819" s="266"/>
      <c r="E819" s="270"/>
      <c r="F819" s="270"/>
      <c r="G819" s="270"/>
      <c r="H819" s="266"/>
      <c r="I819" s="270"/>
      <c r="J819" s="270"/>
      <c r="K819" s="263"/>
    </row>
    <row r="820">
      <c r="A820" s="269"/>
      <c r="B820" s="264"/>
      <c r="C820" s="266"/>
      <c r="D820" s="266"/>
      <c r="E820" s="270"/>
      <c r="F820" s="270"/>
      <c r="G820" s="270"/>
      <c r="H820" s="266"/>
      <c r="I820" s="270"/>
      <c r="J820" s="270"/>
      <c r="K820" s="263"/>
    </row>
    <row r="821">
      <c r="A821" s="269"/>
      <c r="B821" s="264"/>
      <c r="C821" s="266"/>
      <c r="D821" s="266"/>
      <c r="E821" s="270"/>
      <c r="F821" s="270"/>
      <c r="G821" s="270"/>
      <c r="H821" s="266"/>
      <c r="I821" s="270"/>
      <c r="J821" s="270"/>
      <c r="K821" s="263"/>
    </row>
    <row r="822">
      <c r="A822" s="269"/>
      <c r="B822" s="264"/>
      <c r="C822" s="266"/>
      <c r="D822" s="266"/>
      <c r="E822" s="270"/>
      <c r="F822" s="270"/>
      <c r="G822" s="270"/>
      <c r="H822" s="266"/>
      <c r="I822" s="270"/>
      <c r="J822" s="270"/>
      <c r="K822" s="263"/>
    </row>
    <row r="823">
      <c r="A823" s="269"/>
      <c r="B823" s="264"/>
      <c r="C823" s="266"/>
      <c r="D823" s="266"/>
      <c r="E823" s="270"/>
      <c r="F823" s="270"/>
      <c r="G823" s="270"/>
      <c r="H823" s="266"/>
      <c r="I823" s="270"/>
      <c r="J823" s="270"/>
      <c r="K823" s="263"/>
    </row>
    <row r="824">
      <c r="A824" s="269"/>
      <c r="B824" s="264"/>
      <c r="C824" s="266"/>
      <c r="D824" s="266"/>
      <c r="E824" s="270"/>
      <c r="F824" s="270"/>
      <c r="G824" s="270"/>
      <c r="H824" s="266"/>
      <c r="I824" s="270"/>
      <c r="J824" s="270"/>
      <c r="K824" s="263"/>
    </row>
    <row r="825">
      <c r="A825" s="269"/>
      <c r="B825" s="264"/>
      <c r="C825" s="266"/>
      <c r="D825" s="266"/>
      <c r="E825" s="270"/>
      <c r="F825" s="270"/>
      <c r="G825" s="270"/>
      <c r="H825" s="266"/>
      <c r="I825" s="270"/>
      <c r="J825" s="270"/>
      <c r="K825" s="263"/>
    </row>
    <row r="826">
      <c r="A826" s="269"/>
      <c r="B826" s="264"/>
      <c r="C826" s="266"/>
      <c r="D826" s="266"/>
      <c r="E826" s="270"/>
      <c r="F826" s="270"/>
      <c r="G826" s="270"/>
      <c r="H826" s="266"/>
      <c r="I826" s="270"/>
      <c r="J826" s="270"/>
      <c r="K826" s="263"/>
    </row>
    <row r="827">
      <c r="A827" s="269"/>
      <c r="B827" s="264"/>
      <c r="C827" s="266"/>
      <c r="D827" s="266"/>
      <c r="E827" s="270"/>
      <c r="F827" s="270"/>
      <c r="G827" s="270"/>
      <c r="H827" s="266"/>
      <c r="I827" s="270"/>
      <c r="J827" s="270"/>
      <c r="K827" s="263"/>
    </row>
    <row r="828">
      <c r="A828" s="269"/>
      <c r="B828" s="264"/>
      <c r="C828" s="266"/>
      <c r="D828" s="266"/>
      <c r="E828" s="270"/>
      <c r="F828" s="270"/>
      <c r="G828" s="270"/>
      <c r="H828" s="266"/>
      <c r="I828" s="270"/>
      <c r="J828" s="270"/>
      <c r="K828" s="263"/>
    </row>
    <row r="829">
      <c r="A829" s="269"/>
      <c r="B829" s="264"/>
      <c r="C829" s="266"/>
      <c r="D829" s="266"/>
      <c r="E829" s="270"/>
      <c r="F829" s="270"/>
      <c r="G829" s="270"/>
      <c r="H829" s="266"/>
      <c r="I829" s="270"/>
      <c r="J829" s="270"/>
      <c r="K829" s="263"/>
    </row>
    <row r="830">
      <c r="A830" s="269"/>
      <c r="B830" s="264"/>
      <c r="C830" s="266"/>
      <c r="D830" s="266"/>
      <c r="E830" s="270"/>
      <c r="F830" s="270"/>
      <c r="G830" s="270"/>
      <c r="H830" s="266"/>
      <c r="I830" s="270"/>
      <c r="J830" s="270"/>
      <c r="K830" s="263"/>
    </row>
    <row r="831">
      <c r="A831" s="269"/>
      <c r="B831" s="264"/>
      <c r="C831" s="266"/>
      <c r="D831" s="266"/>
      <c r="E831" s="270"/>
      <c r="F831" s="270"/>
      <c r="G831" s="270"/>
      <c r="H831" s="266"/>
      <c r="I831" s="270"/>
      <c r="J831" s="270"/>
      <c r="K831" s="263"/>
    </row>
    <row r="832">
      <c r="A832" s="269"/>
      <c r="B832" s="264"/>
      <c r="C832" s="266"/>
      <c r="D832" s="266"/>
      <c r="E832" s="270"/>
      <c r="F832" s="270"/>
      <c r="G832" s="270"/>
      <c r="H832" s="266"/>
      <c r="I832" s="270"/>
      <c r="J832" s="270"/>
      <c r="K832" s="263"/>
    </row>
    <row r="833">
      <c r="A833" s="269"/>
      <c r="B833" s="264"/>
      <c r="C833" s="266"/>
      <c r="D833" s="266"/>
      <c r="E833" s="270"/>
      <c r="F833" s="270"/>
      <c r="G833" s="270"/>
      <c r="H833" s="266"/>
      <c r="I833" s="270"/>
      <c r="J833" s="270"/>
      <c r="K833" s="263"/>
    </row>
    <row r="834">
      <c r="A834" s="269"/>
      <c r="B834" s="264"/>
      <c r="C834" s="266"/>
      <c r="D834" s="266"/>
      <c r="E834" s="270"/>
      <c r="F834" s="270"/>
      <c r="G834" s="270"/>
      <c r="H834" s="266"/>
      <c r="I834" s="270"/>
      <c r="J834" s="270"/>
      <c r="K834" s="263"/>
    </row>
    <row r="835">
      <c r="A835" s="269"/>
      <c r="B835" s="264"/>
      <c r="C835" s="266"/>
      <c r="D835" s="266"/>
      <c r="E835" s="270"/>
      <c r="F835" s="270"/>
      <c r="G835" s="270"/>
      <c r="H835" s="266"/>
      <c r="I835" s="270"/>
      <c r="J835" s="270"/>
      <c r="K835" s="263"/>
    </row>
    <row r="836">
      <c r="A836" s="269"/>
      <c r="B836" s="264"/>
      <c r="C836" s="266"/>
      <c r="D836" s="266"/>
      <c r="E836" s="270"/>
      <c r="F836" s="270"/>
      <c r="G836" s="270"/>
      <c r="H836" s="266"/>
      <c r="I836" s="270"/>
      <c r="J836" s="270"/>
      <c r="K836" s="263"/>
    </row>
    <row r="837">
      <c r="A837" s="269"/>
      <c r="B837" s="264"/>
      <c r="C837" s="266"/>
      <c r="D837" s="266"/>
      <c r="E837" s="270"/>
      <c r="F837" s="270"/>
      <c r="G837" s="270"/>
      <c r="H837" s="266"/>
      <c r="I837" s="270"/>
      <c r="J837" s="270"/>
      <c r="K837" s="263"/>
    </row>
    <row r="838">
      <c r="A838" s="269"/>
      <c r="B838" s="264"/>
      <c r="C838" s="266"/>
      <c r="D838" s="266"/>
      <c r="E838" s="270"/>
      <c r="F838" s="270"/>
      <c r="G838" s="270"/>
      <c r="H838" s="266"/>
      <c r="I838" s="270"/>
      <c r="J838" s="270"/>
      <c r="K838" s="263"/>
    </row>
    <row r="839">
      <c r="A839" s="269"/>
      <c r="B839" s="264"/>
      <c r="C839" s="266"/>
      <c r="D839" s="266"/>
      <c r="E839" s="270"/>
      <c r="F839" s="270"/>
      <c r="G839" s="270"/>
      <c r="H839" s="266"/>
      <c r="I839" s="270"/>
      <c r="J839" s="270"/>
      <c r="K839" s="263"/>
    </row>
    <row r="840">
      <c r="A840" s="269"/>
      <c r="B840" s="264"/>
      <c r="C840" s="266"/>
      <c r="D840" s="266"/>
      <c r="E840" s="270"/>
      <c r="F840" s="270"/>
      <c r="G840" s="270"/>
      <c r="H840" s="266"/>
      <c r="I840" s="270"/>
      <c r="J840" s="270"/>
      <c r="K840" s="263"/>
    </row>
    <row r="841">
      <c r="A841" s="269"/>
      <c r="B841" s="264"/>
      <c r="C841" s="266"/>
      <c r="D841" s="266"/>
      <c r="E841" s="270"/>
      <c r="F841" s="270"/>
      <c r="G841" s="270"/>
      <c r="H841" s="266"/>
      <c r="I841" s="270"/>
      <c r="J841" s="270"/>
      <c r="K841" s="263"/>
    </row>
    <row r="842">
      <c r="A842" s="269"/>
      <c r="B842" s="264"/>
      <c r="C842" s="266"/>
      <c r="D842" s="266"/>
      <c r="E842" s="270"/>
      <c r="F842" s="270"/>
      <c r="G842" s="270"/>
      <c r="H842" s="266"/>
      <c r="I842" s="270"/>
      <c r="J842" s="270"/>
      <c r="K842" s="263"/>
    </row>
    <row r="843">
      <c r="A843" s="269"/>
      <c r="B843" s="264"/>
      <c r="C843" s="266"/>
      <c r="D843" s="266"/>
      <c r="E843" s="270"/>
      <c r="F843" s="270"/>
      <c r="G843" s="270"/>
      <c r="H843" s="266"/>
      <c r="I843" s="270"/>
      <c r="J843" s="270"/>
      <c r="K843" s="263"/>
    </row>
    <row r="844">
      <c r="A844" s="269"/>
      <c r="B844" s="264"/>
      <c r="C844" s="266"/>
      <c r="D844" s="266"/>
      <c r="E844" s="270"/>
      <c r="F844" s="270"/>
      <c r="G844" s="270"/>
      <c r="H844" s="266"/>
      <c r="I844" s="270"/>
      <c r="J844" s="270"/>
      <c r="K844" s="263"/>
    </row>
    <row r="845">
      <c r="A845" s="269"/>
      <c r="B845" s="264"/>
      <c r="C845" s="266"/>
      <c r="D845" s="266"/>
      <c r="E845" s="270"/>
      <c r="F845" s="270"/>
      <c r="G845" s="270"/>
      <c r="H845" s="266"/>
      <c r="I845" s="270"/>
      <c r="J845" s="270"/>
      <c r="K845" s="263"/>
    </row>
    <row r="846">
      <c r="A846" s="269"/>
      <c r="B846" s="264"/>
      <c r="C846" s="266"/>
      <c r="D846" s="266"/>
      <c r="E846" s="270"/>
      <c r="F846" s="270"/>
      <c r="G846" s="270"/>
      <c r="H846" s="266"/>
      <c r="I846" s="270"/>
      <c r="J846" s="270"/>
      <c r="K846" s="263"/>
    </row>
    <row r="847">
      <c r="A847" s="269"/>
      <c r="B847" s="264"/>
      <c r="C847" s="266"/>
      <c r="D847" s="266"/>
      <c r="E847" s="270"/>
      <c r="F847" s="270"/>
      <c r="G847" s="270"/>
      <c r="H847" s="266"/>
      <c r="I847" s="270"/>
      <c r="J847" s="270"/>
      <c r="K847" s="263"/>
    </row>
    <row r="848">
      <c r="A848" s="269"/>
      <c r="B848" s="264"/>
      <c r="C848" s="266"/>
      <c r="D848" s="266"/>
      <c r="E848" s="270"/>
      <c r="F848" s="270"/>
      <c r="G848" s="270"/>
      <c r="H848" s="266"/>
      <c r="I848" s="270"/>
      <c r="J848" s="270"/>
      <c r="K848" s="263"/>
    </row>
    <row r="849">
      <c r="A849" s="269"/>
      <c r="B849" s="264"/>
      <c r="C849" s="266"/>
      <c r="D849" s="266"/>
      <c r="E849" s="270"/>
      <c r="F849" s="270"/>
      <c r="G849" s="270"/>
      <c r="H849" s="266"/>
      <c r="I849" s="270"/>
      <c r="J849" s="270"/>
      <c r="K849" s="263"/>
    </row>
    <row r="850">
      <c r="A850" s="269"/>
      <c r="B850" s="264"/>
      <c r="C850" s="266"/>
      <c r="D850" s="266"/>
      <c r="E850" s="270"/>
      <c r="F850" s="270"/>
      <c r="G850" s="270"/>
      <c r="H850" s="266"/>
      <c r="I850" s="270"/>
      <c r="J850" s="270"/>
      <c r="K850" s="263"/>
    </row>
    <row r="851">
      <c r="A851" s="269"/>
      <c r="B851" s="264"/>
      <c r="C851" s="266"/>
      <c r="D851" s="266"/>
      <c r="E851" s="270"/>
      <c r="F851" s="270"/>
      <c r="G851" s="270"/>
      <c r="H851" s="266"/>
      <c r="I851" s="270"/>
      <c r="J851" s="270"/>
      <c r="K851" s="263"/>
    </row>
    <row r="852">
      <c r="A852" s="269"/>
      <c r="B852" s="264"/>
      <c r="C852" s="266"/>
      <c r="D852" s="266"/>
      <c r="E852" s="270"/>
      <c r="F852" s="270"/>
      <c r="G852" s="270"/>
      <c r="H852" s="266"/>
      <c r="I852" s="270"/>
      <c r="J852" s="270"/>
      <c r="K852" s="263"/>
    </row>
    <row r="853">
      <c r="A853" s="269"/>
      <c r="B853" s="264"/>
      <c r="C853" s="266"/>
      <c r="D853" s="266"/>
      <c r="E853" s="270"/>
      <c r="F853" s="270"/>
      <c r="G853" s="270"/>
      <c r="H853" s="266"/>
      <c r="I853" s="270"/>
      <c r="J853" s="270"/>
      <c r="K853" s="263"/>
    </row>
    <row r="854">
      <c r="A854" s="269"/>
      <c r="B854" s="264"/>
      <c r="C854" s="266"/>
      <c r="D854" s="266"/>
      <c r="E854" s="270"/>
      <c r="F854" s="270"/>
      <c r="G854" s="270"/>
      <c r="H854" s="266"/>
      <c r="I854" s="270"/>
      <c r="J854" s="270"/>
      <c r="K854" s="263"/>
    </row>
    <row r="855">
      <c r="A855" s="269"/>
      <c r="B855" s="264"/>
      <c r="C855" s="266"/>
      <c r="D855" s="266"/>
      <c r="E855" s="270"/>
      <c r="F855" s="270"/>
      <c r="G855" s="270"/>
      <c r="H855" s="266"/>
      <c r="I855" s="270"/>
      <c r="J855" s="270"/>
      <c r="K855" s="263"/>
    </row>
    <row r="856">
      <c r="A856" s="269"/>
      <c r="B856" s="264"/>
      <c r="C856" s="266"/>
      <c r="D856" s="266"/>
      <c r="E856" s="270"/>
      <c r="F856" s="270"/>
      <c r="G856" s="270"/>
      <c r="H856" s="266"/>
      <c r="I856" s="270"/>
      <c r="J856" s="270"/>
      <c r="K856" s="263"/>
    </row>
    <row r="857">
      <c r="A857" s="269"/>
      <c r="B857" s="264"/>
      <c r="C857" s="266"/>
      <c r="D857" s="266"/>
      <c r="E857" s="270"/>
      <c r="F857" s="270"/>
      <c r="G857" s="270"/>
      <c r="H857" s="266"/>
      <c r="I857" s="270"/>
      <c r="J857" s="270"/>
      <c r="K857" s="263"/>
    </row>
    <row r="858">
      <c r="A858" s="269"/>
      <c r="B858" s="264"/>
      <c r="C858" s="266"/>
      <c r="D858" s="266"/>
      <c r="E858" s="270"/>
      <c r="F858" s="270"/>
      <c r="G858" s="270"/>
      <c r="H858" s="266"/>
      <c r="I858" s="270"/>
      <c r="J858" s="270"/>
      <c r="K858" s="263"/>
    </row>
    <row r="859">
      <c r="A859" s="269"/>
      <c r="B859" s="264"/>
      <c r="C859" s="266"/>
      <c r="D859" s="266"/>
      <c r="E859" s="270"/>
      <c r="F859" s="270"/>
      <c r="G859" s="270"/>
      <c r="H859" s="266"/>
      <c r="I859" s="270"/>
      <c r="J859" s="270"/>
      <c r="K859" s="263"/>
    </row>
    <row r="860">
      <c r="A860" s="269"/>
      <c r="B860" s="264"/>
      <c r="C860" s="266"/>
      <c r="D860" s="266"/>
      <c r="E860" s="270"/>
      <c r="F860" s="270"/>
      <c r="G860" s="270"/>
      <c r="H860" s="266"/>
      <c r="I860" s="270"/>
      <c r="J860" s="270"/>
      <c r="K860" s="263"/>
    </row>
    <row r="861">
      <c r="A861" s="269"/>
      <c r="B861" s="264"/>
      <c r="C861" s="266"/>
      <c r="D861" s="266"/>
      <c r="E861" s="270"/>
      <c r="F861" s="270"/>
      <c r="G861" s="270"/>
      <c r="H861" s="266"/>
      <c r="I861" s="270"/>
      <c r="J861" s="270"/>
      <c r="K861" s="263"/>
    </row>
    <row r="862">
      <c r="A862" s="269"/>
      <c r="B862" s="264"/>
      <c r="C862" s="266"/>
      <c r="D862" s="266"/>
      <c r="E862" s="270"/>
      <c r="F862" s="270"/>
      <c r="G862" s="270"/>
      <c r="H862" s="266"/>
      <c r="I862" s="270"/>
      <c r="J862" s="270"/>
      <c r="K862" s="263"/>
    </row>
    <row r="863">
      <c r="A863" s="269"/>
      <c r="B863" s="264"/>
      <c r="C863" s="266"/>
      <c r="D863" s="266"/>
      <c r="E863" s="270"/>
      <c r="F863" s="270"/>
      <c r="G863" s="270"/>
      <c r="H863" s="266"/>
      <c r="I863" s="270"/>
      <c r="J863" s="270"/>
      <c r="K863" s="263"/>
    </row>
    <row r="864">
      <c r="A864" s="269"/>
      <c r="B864" s="264"/>
      <c r="C864" s="266"/>
      <c r="D864" s="266"/>
      <c r="E864" s="270"/>
      <c r="F864" s="270"/>
      <c r="G864" s="270"/>
      <c r="H864" s="266"/>
      <c r="I864" s="270"/>
      <c r="J864" s="270"/>
      <c r="K864" s="263"/>
    </row>
    <row r="865">
      <c r="A865" s="269"/>
      <c r="B865" s="264"/>
      <c r="C865" s="266"/>
      <c r="D865" s="266"/>
      <c r="E865" s="270"/>
      <c r="F865" s="270"/>
      <c r="G865" s="270"/>
      <c r="H865" s="266"/>
      <c r="I865" s="270"/>
      <c r="J865" s="270"/>
      <c r="K865" s="263"/>
    </row>
    <row r="866">
      <c r="A866" s="269"/>
      <c r="B866" s="264"/>
      <c r="C866" s="266"/>
      <c r="D866" s="266"/>
      <c r="E866" s="270"/>
      <c r="F866" s="270"/>
      <c r="G866" s="270"/>
      <c r="H866" s="266"/>
      <c r="I866" s="270"/>
      <c r="J866" s="270"/>
      <c r="K866" s="263"/>
    </row>
    <row r="867">
      <c r="A867" s="269"/>
      <c r="B867" s="264"/>
      <c r="C867" s="266"/>
      <c r="D867" s="266"/>
      <c r="E867" s="270"/>
      <c r="F867" s="270"/>
      <c r="G867" s="270"/>
      <c r="H867" s="266"/>
      <c r="I867" s="270"/>
      <c r="J867" s="270"/>
      <c r="K867" s="263"/>
    </row>
    <row r="868">
      <c r="A868" s="269"/>
      <c r="B868" s="264"/>
      <c r="C868" s="266"/>
      <c r="D868" s="266"/>
      <c r="E868" s="270"/>
      <c r="F868" s="270"/>
      <c r="G868" s="270"/>
      <c r="H868" s="266"/>
      <c r="I868" s="270"/>
      <c r="J868" s="270"/>
      <c r="K868" s="263"/>
    </row>
    <row r="869">
      <c r="A869" s="269"/>
      <c r="B869" s="264"/>
      <c r="C869" s="266"/>
      <c r="D869" s="266"/>
      <c r="E869" s="270"/>
      <c r="F869" s="270"/>
      <c r="G869" s="270"/>
      <c r="H869" s="266"/>
      <c r="I869" s="270"/>
      <c r="J869" s="270"/>
      <c r="K869" s="263"/>
    </row>
    <row r="870">
      <c r="A870" s="269"/>
      <c r="B870" s="264"/>
      <c r="C870" s="266"/>
      <c r="D870" s="266"/>
      <c r="E870" s="270"/>
      <c r="F870" s="270"/>
      <c r="G870" s="270"/>
      <c r="H870" s="266"/>
      <c r="I870" s="270"/>
      <c r="J870" s="270"/>
      <c r="K870" s="263"/>
    </row>
    <row r="871">
      <c r="A871" s="269"/>
      <c r="B871" s="264"/>
      <c r="C871" s="266"/>
      <c r="D871" s="266"/>
      <c r="E871" s="270"/>
      <c r="F871" s="270"/>
      <c r="G871" s="270"/>
      <c r="H871" s="266"/>
      <c r="I871" s="270"/>
      <c r="J871" s="270"/>
      <c r="K871" s="263"/>
    </row>
    <row r="872">
      <c r="A872" s="269"/>
      <c r="B872" s="264"/>
      <c r="C872" s="266"/>
      <c r="D872" s="266"/>
      <c r="E872" s="270"/>
      <c r="F872" s="270"/>
      <c r="G872" s="270"/>
      <c r="H872" s="266"/>
      <c r="I872" s="270"/>
      <c r="J872" s="270"/>
      <c r="K872" s="263"/>
    </row>
    <row r="873">
      <c r="A873" s="269"/>
      <c r="B873" s="264"/>
      <c r="C873" s="266"/>
      <c r="D873" s="266"/>
      <c r="E873" s="270"/>
      <c r="F873" s="270"/>
      <c r="G873" s="270"/>
      <c r="H873" s="266"/>
      <c r="I873" s="270"/>
      <c r="J873" s="270"/>
      <c r="K873" s="263"/>
    </row>
    <row r="874">
      <c r="A874" s="269"/>
      <c r="B874" s="264"/>
      <c r="C874" s="266"/>
      <c r="D874" s="266"/>
      <c r="E874" s="270"/>
      <c r="F874" s="270"/>
      <c r="G874" s="270"/>
      <c r="H874" s="266"/>
      <c r="I874" s="270"/>
      <c r="J874" s="270"/>
      <c r="K874" s="263"/>
    </row>
    <row r="875">
      <c r="A875" s="269"/>
      <c r="B875" s="264"/>
      <c r="C875" s="266"/>
      <c r="D875" s="266"/>
      <c r="E875" s="270"/>
      <c r="F875" s="270"/>
      <c r="G875" s="270"/>
      <c r="H875" s="266"/>
      <c r="I875" s="270"/>
      <c r="J875" s="270"/>
      <c r="K875" s="263"/>
    </row>
    <row r="876">
      <c r="A876" s="269"/>
      <c r="B876" s="264"/>
      <c r="C876" s="266"/>
      <c r="D876" s="266"/>
      <c r="E876" s="270"/>
      <c r="F876" s="270"/>
      <c r="G876" s="270"/>
      <c r="H876" s="266"/>
      <c r="I876" s="270"/>
      <c r="J876" s="270"/>
      <c r="K876" s="263"/>
    </row>
    <row r="877">
      <c r="A877" s="269"/>
      <c r="B877" s="264"/>
      <c r="C877" s="266"/>
      <c r="D877" s="266"/>
      <c r="E877" s="270"/>
      <c r="F877" s="270"/>
      <c r="G877" s="270"/>
      <c r="H877" s="266"/>
      <c r="I877" s="270"/>
      <c r="J877" s="270"/>
      <c r="K877" s="263"/>
    </row>
    <row r="878">
      <c r="A878" s="269"/>
      <c r="B878" s="264"/>
      <c r="C878" s="266"/>
      <c r="D878" s="266"/>
      <c r="E878" s="270"/>
      <c r="F878" s="270"/>
      <c r="G878" s="270"/>
      <c r="H878" s="266"/>
      <c r="I878" s="270"/>
      <c r="J878" s="270"/>
      <c r="K878" s="263"/>
    </row>
    <row r="879">
      <c r="A879" s="269"/>
      <c r="B879" s="264"/>
      <c r="C879" s="266"/>
      <c r="D879" s="266"/>
      <c r="E879" s="270"/>
      <c r="F879" s="270"/>
      <c r="G879" s="270"/>
      <c r="H879" s="266"/>
      <c r="I879" s="270"/>
      <c r="J879" s="270"/>
      <c r="K879" s="263"/>
    </row>
    <row r="880">
      <c r="A880" s="269"/>
      <c r="B880" s="264"/>
      <c r="C880" s="266"/>
      <c r="D880" s="266"/>
      <c r="E880" s="270"/>
      <c r="F880" s="270"/>
      <c r="G880" s="270"/>
      <c r="H880" s="266"/>
      <c r="I880" s="270"/>
      <c r="J880" s="270"/>
      <c r="K880" s="263"/>
    </row>
    <row r="881">
      <c r="A881" s="269"/>
      <c r="B881" s="264"/>
      <c r="C881" s="266"/>
      <c r="D881" s="266"/>
      <c r="E881" s="270"/>
      <c r="F881" s="270"/>
      <c r="G881" s="270"/>
      <c r="H881" s="266"/>
      <c r="I881" s="270"/>
      <c r="J881" s="270"/>
      <c r="K881" s="263"/>
    </row>
    <row r="882">
      <c r="A882" s="269"/>
      <c r="B882" s="264"/>
      <c r="C882" s="266"/>
      <c r="D882" s="266"/>
      <c r="E882" s="270"/>
      <c r="F882" s="270"/>
      <c r="G882" s="270"/>
      <c r="H882" s="266"/>
      <c r="I882" s="270"/>
      <c r="J882" s="270"/>
      <c r="K882" s="263"/>
    </row>
    <row r="883">
      <c r="A883" s="269"/>
      <c r="B883" s="264"/>
      <c r="C883" s="266"/>
      <c r="D883" s="266"/>
      <c r="E883" s="270"/>
      <c r="F883" s="270"/>
      <c r="G883" s="270"/>
      <c r="H883" s="266"/>
      <c r="I883" s="270"/>
      <c r="J883" s="270"/>
      <c r="K883" s="263"/>
    </row>
    <row r="884">
      <c r="A884" s="269"/>
      <c r="B884" s="264"/>
      <c r="C884" s="266"/>
      <c r="D884" s="266"/>
      <c r="E884" s="270"/>
      <c r="F884" s="270"/>
      <c r="G884" s="270"/>
      <c r="H884" s="266"/>
      <c r="I884" s="270"/>
      <c r="J884" s="270"/>
      <c r="K884" s="263"/>
    </row>
    <row r="885">
      <c r="A885" s="269"/>
      <c r="B885" s="264"/>
      <c r="C885" s="266"/>
      <c r="D885" s="266"/>
      <c r="E885" s="270"/>
      <c r="F885" s="270"/>
      <c r="G885" s="270"/>
      <c r="H885" s="266"/>
      <c r="I885" s="270"/>
      <c r="J885" s="270"/>
      <c r="K885" s="263"/>
    </row>
    <row r="886">
      <c r="A886" s="269"/>
      <c r="B886" s="264"/>
      <c r="C886" s="266"/>
      <c r="D886" s="266"/>
      <c r="E886" s="270"/>
      <c r="F886" s="270"/>
      <c r="G886" s="270"/>
      <c r="H886" s="266"/>
      <c r="I886" s="270"/>
      <c r="J886" s="270"/>
      <c r="K886" s="263"/>
    </row>
    <row r="887">
      <c r="A887" s="269"/>
      <c r="B887" s="264"/>
      <c r="C887" s="266"/>
      <c r="D887" s="266"/>
      <c r="E887" s="270"/>
      <c r="F887" s="270"/>
      <c r="G887" s="270"/>
      <c r="H887" s="266"/>
      <c r="I887" s="270"/>
      <c r="J887" s="270"/>
      <c r="K887" s="263"/>
    </row>
    <row r="888">
      <c r="A888" s="269"/>
      <c r="B888" s="264"/>
      <c r="C888" s="266"/>
      <c r="D888" s="266"/>
      <c r="E888" s="270"/>
      <c r="F888" s="270"/>
      <c r="G888" s="270"/>
      <c r="H888" s="266"/>
      <c r="I888" s="270"/>
      <c r="J888" s="270"/>
      <c r="K888" s="263"/>
    </row>
    <row r="889">
      <c r="A889" s="269"/>
      <c r="B889" s="264"/>
      <c r="C889" s="266"/>
      <c r="D889" s="266"/>
      <c r="E889" s="270"/>
      <c r="F889" s="270"/>
      <c r="G889" s="270"/>
      <c r="H889" s="266"/>
      <c r="I889" s="270"/>
      <c r="J889" s="270"/>
      <c r="K889" s="263"/>
    </row>
    <row r="890">
      <c r="A890" s="269"/>
      <c r="B890" s="264"/>
      <c r="C890" s="266"/>
      <c r="D890" s="266"/>
      <c r="E890" s="270"/>
      <c r="F890" s="270"/>
      <c r="G890" s="270"/>
      <c r="H890" s="266"/>
      <c r="I890" s="270"/>
      <c r="J890" s="270"/>
      <c r="K890" s="263"/>
    </row>
    <row r="891">
      <c r="A891" s="269"/>
      <c r="B891" s="264"/>
      <c r="C891" s="266"/>
      <c r="D891" s="266"/>
      <c r="E891" s="270"/>
      <c r="F891" s="270"/>
      <c r="G891" s="270"/>
      <c r="H891" s="266"/>
      <c r="I891" s="270"/>
      <c r="J891" s="270"/>
      <c r="K891" s="263"/>
    </row>
    <row r="892">
      <c r="A892" s="269"/>
      <c r="B892" s="264"/>
      <c r="C892" s="266"/>
      <c r="D892" s="266"/>
      <c r="E892" s="270"/>
      <c r="F892" s="270"/>
      <c r="G892" s="270"/>
      <c r="H892" s="266"/>
      <c r="I892" s="270"/>
      <c r="J892" s="270"/>
      <c r="K892" s="263"/>
    </row>
    <row r="893">
      <c r="A893" s="269"/>
      <c r="B893" s="264"/>
      <c r="C893" s="266"/>
      <c r="D893" s="266"/>
      <c r="E893" s="270"/>
      <c r="F893" s="270"/>
      <c r="G893" s="270"/>
      <c r="H893" s="266"/>
      <c r="I893" s="270"/>
      <c r="J893" s="270"/>
      <c r="K893" s="263"/>
    </row>
    <row r="894">
      <c r="A894" s="269"/>
      <c r="B894" s="264"/>
      <c r="C894" s="266"/>
      <c r="D894" s="266"/>
      <c r="E894" s="270"/>
      <c r="F894" s="270"/>
      <c r="G894" s="270"/>
      <c r="H894" s="266"/>
      <c r="I894" s="270"/>
      <c r="J894" s="270"/>
      <c r="K894" s="263"/>
    </row>
    <row r="895">
      <c r="A895" s="269"/>
      <c r="B895" s="264"/>
      <c r="C895" s="266"/>
      <c r="D895" s="266"/>
      <c r="E895" s="270"/>
      <c r="F895" s="270"/>
      <c r="G895" s="270"/>
      <c r="H895" s="266"/>
      <c r="I895" s="270"/>
      <c r="J895" s="270"/>
      <c r="K895" s="263"/>
    </row>
    <row r="896">
      <c r="A896" s="269"/>
      <c r="B896" s="264"/>
      <c r="C896" s="266"/>
      <c r="D896" s="266"/>
      <c r="E896" s="270"/>
      <c r="F896" s="270"/>
      <c r="G896" s="270"/>
      <c r="H896" s="266"/>
      <c r="I896" s="270"/>
      <c r="J896" s="270"/>
      <c r="K896" s="263"/>
    </row>
    <row r="897">
      <c r="A897" s="269"/>
      <c r="B897" s="264"/>
      <c r="C897" s="266"/>
      <c r="D897" s="266"/>
      <c r="E897" s="270"/>
      <c r="F897" s="270"/>
      <c r="G897" s="270"/>
      <c r="H897" s="266"/>
      <c r="I897" s="270"/>
      <c r="J897" s="270"/>
      <c r="K897" s="263"/>
    </row>
    <row r="898">
      <c r="A898" s="269"/>
      <c r="B898" s="264"/>
      <c r="C898" s="266"/>
      <c r="D898" s="266"/>
      <c r="E898" s="270"/>
      <c r="F898" s="270"/>
      <c r="G898" s="270"/>
      <c r="H898" s="266"/>
      <c r="I898" s="270"/>
      <c r="J898" s="270"/>
      <c r="K898" s="263"/>
    </row>
    <row r="899">
      <c r="A899" s="269"/>
      <c r="B899" s="264"/>
      <c r="C899" s="266"/>
      <c r="D899" s="266"/>
      <c r="E899" s="270"/>
      <c r="F899" s="270"/>
      <c r="G899" s="270"/>
      <c r="H899" s="266"/>
      <c r="I899" s="270"/>
      <c r="J899" s="270"/>
      <c r="K899" s="263"/>
    </row>
    <row r="900">
      <c r="A900" s="269"/>
      <c r="B900" s="264"/>
      <c r="C900" s="266"/>
      <c r="D900" s="266"/>
      <c r="E900" s="270"/>
      <c r="F900" s="270"/>
      <c r="G900" s="270"/>
      <c r="H900" s="266"/>
      <c r="I900" s="270"/>
      <c r="J900" s="270"/>
      <c r="K900" s="263"/>
    </row>
    <row r="901">
      <c r="A901" s="269"/>
      <c r="B901" s="264"/>
      <c r="C901" s="266"/>
      <c r="D901" s="266"/>
      <c r="E901" s="270"/>
      <c r="F901" s="270"/>
      <c r="G901" s="270"/>
      <c r="H901" s="266"/>
      <c r="I901" s="270"/>
      <c r="J901" s="270"/>
      <c r="K901" s="263"/>
    </row>
    <row r="902">
      <c r="A902" s="269"/>
      <c r="B902" s="264"/>
      <c r="C902" s="266"/>
      <c r="D902" s="266"/>
      <c r="E902" s="270"/>
      <c r="F902" s="270"/>
      <c r="G902" s="270"/>
      <c r="H902" s="266"/>
      <c r="I902" s="270"/>
      <c r="J902" s="270"/>
      <c r="K902" s="263"/>
    </row>
    <row r="903">
      <c r="A903" s="269"/>
      <c r="B903" s="264"/>
      <c r="C903" s="266"/>
      <c r="D903" s="266"/>
      <c r="E903" s="270"/>
      <c r="F903" s="270"/>
      <c r="G903" s="270"/>
      <c r="H903" s="266"/>
      <c r="I903" s="270"/>
      <c r="J903" s="270"/>
      <c r="K903" s="263"/>
    </row>
    <row r="904">
      <c r="A904" s="269"/>
      <c r="B904" s="264"/>
      <c r="C904" s="266"/>
      <c r="D904" s="266"/>
      <c r="E904" s="270"/>
      <c r="F904" s="270"/>
      <c r="G904" s="270"/>
      <c r="H904" s="266"/>
      <c r="I904" s="270"/>
      <c r="J904" s="270"/>
      <c r="K904" s="263"/>
    </row>
    <row r="905">
      <c r="A905" s="269"/>
      <c r="B905" s="264"/>
      <c r="C905" s="266"/>
      <c r="D905" s="266"/>
      <c r="E905" s="270"/>
      <c r="F905" s="270"/>
      <c r="G905" s="270"/>
      <c r="H905" s="266"/>
      <c r="I905" s="270"/>
      <c r="J905" s="270"/>
      <c r="K905" s="263"/>
    </row>
    <row r="906">
      <c r="A906" s="269"/>
      <c r="B906" s="264"/>
      <c r="C906" s="266"/>
      <c r="D906" s="266"/>
      <c r="E906" s="270"/>
      <c r="F906" s="270"/>
      <c r="G906" s="270"/>
      <c r="H906" s="266"/>
      <c r="I906" s="270"/>
      <c r="J906" s="270"/>
      <c r="K906" s="263"/>
    </row>
    <row r="907">
      <c r="A907" s="269"/>
      <c r="B907" s="264"/>
      <c r="C907" s="266"/>
      <c r="D907" s="266"/>
      <c r="E907" s="270"/>
      <c r="F907" s="270"/>
      <c r="G907" s="270"/>
      <c r="H907" s="266"/>
      <c r="I907" s="270"/>
      <c r="J907" s="270"/>
      <c r="K907" s="263"/>
    </row>
    <row r="908">
      <c r="A908" s="269"/>
      <c r="B908" s="264"/>
      <c r="C908" s="266"/>
      <c r="D908" s="266"/>
      <c r="E908" s="270"/>
      <c r="F908" s="270"/>
      <c r="G908" s="270"/>
      <c r="H908" s="266"/>
      <c r="I908" s="270"/>
      <c r="J908" s="270"/>
      <c r="K908" s="263"/>
    </row>
    <row r="909">
      <c r="A909" s="269"/>
      <c r="B909" s="264"/>
      <c r="C909" s="266"/>
      <c r="D909" s="266"/>
      <c r="E909" s="270"/>
      <c r="F909" s="270"/>
      <c r="G909" s="270"/>
      <c r="H909" s="266"/>
      <c r="I909" s="270"/>
      <c r="J909" s="270"/>
      <c r="K909" s="263"/>
    </row>
    <row r="910">
      <c r="A910" s="269"/>
      <c r="B910" s="264"/>
      <c r="C910" s="266"/>
      <c r="D910" s="266"/>
      <c r="E910" s="270"/>
      <c r="F910" s="270"/>
      <c r="G910" s="270"/>
      <c r="H910" s="266"/>
      <c r="I910" s="270"/>
      <c r="J910" s="270"/>
      <c r="K910" s="263"/>
    </row>
    <row r="911">
      <c r="A911" s="269"/>
      <c r="B911" s="264"/>
      <c r="C911" s="266"/>
      <c r="D911" s="266"/>
      <c r="E911" s="270"/>
      <c r="F911" s="270"/>
      <c r="G911" s="270"/>
      <c r="H911" s="266"/>
      <c r="I911" s="270"/>
      <c r="J911" s="270"/>
      <c r="K911" s="263"/>
    </row>
    <row r="912">
      <c r="A912" s="269"/>
      <c r="B912" s="264"/>
      <c r="C912" s="266"/>
      <c r="D912" s="266"/>
      <c r="E912" s="270"/>
      <c r="F912" s="270"/>
      <c r="G912" s="270"/>
      <c r="H912" s="266"/>
      <c r="I912" s="270"/>
      <c r="J912" s="270"/>
      <c r="K912" s="263"/>
    </row>
    <row r="913">
      <c r="A913" s="269"/>
      <c r="B913" s="264"/>
      <c r="C913" s="266"/>
      <c r="D913" s="266"/>
      <c r="E913" s="270"/>
      <c r="F913" s="270"/>
      <c r="G913" s="270"/>
      <c r="H913" s="266"/>
      <c r="I913" s="270"/>
      <c r="J913" s="270"/>
      <c r="K913" s="263"/>
    </row>
    <row r="914">
      <c r="A914" s="269"/>
      <c r="B914" s="264"/>
      <c r="C914" s="266"/>
      <c r="D914" s="266"/>
      <c r="E914" s="270"/>
      <c r="F914" s="270"/>
      <c r="G914" s="270"/>
      <c r="H914" s="266"/>
      <c r="I914" s="270"/>
      <c r="J914" s="270"/>
      <c r="K914" s="263"/>
    </row>
    <row r="915">
      <c r="A915" s="269"/>
      <c r="B915" s="264"/>
      <c r="C915" s="266"/>
      <c r="D915" s="266"/>
      <c r="E915" s="270"/>
      <c r="F915" s="270"/>
      <c r="G915" s="270"/>
      <c r="H915" s="266"/>
      <c r="I915" s="270"/>
      <c r="J915" s="270"/>
      <c r="K915" s="263"/>
    </row>
    <row r="916">
      <c r="A916" s="269"/>
      <c r="B916" s="264"/>
      <c r="C916" s="266"/>
      <c r="D916" s="266"/>
      <c r="E916" s="270"/>
      <c r="F916" s="270"/>
      <c r="G916" s="270"/>
      <c r="H916" s="266"/>
      <c r="I916" s="270"/>
      <c r="J916" s="270"/>
      <c r="K916" s="263"/>
    </row>
    <row r="917">
      <c r="A917" s="269"/>
      <c r="B917" s="264"/>
      <c r="C917" s="266"/>
      <c r="D917" s="266"/>
      <c r="E917" s="270"/>
      <c r="F917" s="270"/>
      <c r="G917" s="270"/>
      <c r="H917" s="266"/>
      <c r="I917" s="270"/>
      <c r="J917" s="270"/>
      <c r="K917" s="263"/>
    </row>
    <row r="918">
      <c r="A918" s="269"/>
      <c r="B918" s="264"/>
      <c r="C918" s="266"/>
      <c r="D918" s="266"/>
      <c r="E918" s="270"/>
      <c r="F918" s="270"/>
      <c r="G918" s="270"/>
      <c r="H918" s="266"/>
      <c r="I918" s="270"/>
      <c r="J918" s="270"/>
      <c r="K918" s="263"/>
    </row>
    <row r="919">
      <c r="A919" s="269"/>
      <c r="B919" s="264"/>
      <c r="C919" s="266"/>
      <c r="D919" s="266"/>
      <c r="E919" s="270"/>
      <c r="F919" s="270"/>
      <c r="G919" s="270"/>
      <c r="H919" s="266"/>
      <c r="I919" s="270"/>
      <c r="J919" s="270"/>
      <c r="K919" s="263"/>
    </row>
    <row r="920">
      <c r="A920" s="269"/>
      <c r="B920" s="264"/>
      <c r="C920" s="266"/>
      <c r="D920" s="266"/>
      <c r="E920" s="270"/>
      <c r="F920" s="270"/>
      <c r="G920" s="270"/>
      <c r="H920" s="266"/>
      <c r="I920" s="270"/>
      <c r="J920" s="270"/>
      <c r="K920" s="263"/>
    </row>
    <row r="921">
      <c r="A921" s="269"/>
      <c r="B921" s="264"/>
      <c r="C921" s="266"/>
      <c r="D921" s="266"/>
      <c r="E921" s="270"/>
      <c r="F921" s="270"/>
      <c r="G921" s="270"/>
      <c r="H921" s="266"/>
      <c r="I921" s="270"/>
      <c r="J921" s="270"/>
      <c r="K921" s="263"/>
    </row>
    <row r="922">
      <c r="A922" s="269"/>
      <c r="B922" s="264"/>
      <c r="C922" s="266"/>
      <c r="D922" s="266"/>
      <c r="E922" s="270"/>
      <c r="F922" s="270"/>
      <c r="G922" s="270"/>
      <c r="H922" s="266"/>
      <c r="I922" s="270"/>
      <c r="J922" s="270"/>
      <c r="K922" s="263"/>
    </row>
    <row r="923">
      <c r="A923" s="269"/>
      <c r="B923" s="264"/>
      <c r="C923" s="266"/>
      <c r="D923" s="266"/>
      <c r="E923" s="270"/>
      <c r="F923" s="270"/>
      <c r="G923" s="270"/>
      <c r="H923" s="266"/>
      <c r="I923" s="270"/>
      <c r="J923" s="270"/>
      <c r="K923" s="263"/>
    </row>
    <row r="924">
      <c r="A924" s="269"/>
      <c r="B924" s="264"/>
      <c r="C924" s="266"/>
      <c r="D924" s="266"/>
      <c r="E924" s="270"/>
      <c r="F924" s="270"/>
      <c r="G924" s="270"/>
      <c r="H924" s="266"/>
      <c r="I924" s="270"/>
      <c r="J924" s="270"/>
      <c r="K924" s="263"/>
    </row>
    <row r="925">
      <c r="A925" s="269"/>
      <c r="B925" s="264"/>
      <c r="C925" s="266"/>
      <c r="D925" s="266"/>
      <c r="E925" s="270"/>
      <c r="F925" s="270"/>
      <c r="G925" s="270"/>
      <c r="H925" s="266"/>
      <c r="I925" s="270"/>
      <c r="J925" s="270"/>
      <c r="K925" s="263"/>
    </row>
    <row r="926">
      <c r="A926" s="269"/>
      <c r="B926" s="264"/>
      <c r="C926" s="266"/>
      <c r="D926" s="266"/>
      <c r="E926" s="270"/>
      <c r="F926" s="270"/>
      <c r="G926" s="270"/>
      <c r="H926" s="266"/>
      <c r="I926" s="270"/>
      <c r="J926" s="270"/>
      <c r="K926" s="263"/>
    </row>
    <row r="927">
      <c r="A927" s="269"/>
      <c r="B927" s="264"/>
      <c r="C927" s="266"/>
      <c r="D927" s="266"/>
      <c r="E927" s="270"/>
      <c r="F927" s="270"/>
      <c r="G927" s="270"/>
      <c r="H927" s="266"/>
      <c r="I927" s="270"/>
      <c r="J927" s="270"/>
      <c r="K927" s="263"/>
    </row>
    <row r="928">
      <c r="A928" s="269"/>
      <c r="B928" s="264"/>
      <c r="C928" s="266"/>
      <c r="D928" s="266"/>
      <c r="E928" s="270"/>
      <c r="F928" s="270"/>
      <c r="G928" s="270"/>
      <c r="H928" s="266"/>
      <c r="I928" s="270"/>
      <c r="J928" s="270"/>
      <c r="K928" s="263"/>
    </row>
    <row r="929">
      <c r="A929" s="269"/>
      <c r="B929" s="264"/>
      <c r="C929" s="266"/>
      <c r="D929" s="266"/>
      <c r="E929" s="270"/>
      <c r="F929" s="270"/>
      <c r="G929" s="270"/>
      <c r="H929" s="266"/>
      <c r="I929" s="270"/>
      <c r="J929" s="270"/>
      <c r="K929" s="263"/>
    </row>
    <row r="930">
      <c r="A930" s="269"/>
      <c r="B930" s="264"/>
      <c r="C930" s="266"/>
      <c r="D930" s="266"/>
      <c r="E930" s="270"/>
      <c r="F930" s="270"/>
      <c r="G930" s="270"/>
      <c r="H930" s="266"/>
      <c r="I930" s="270"/>
      <c r="J930" s="270"/>
      <c r="K930" s="263"/>
    </row>
    <row r="931">
      <c r="A931" s="269"/>
      <c r="B931" s="264"/>
      <c r="C931" s="266"/>
      <c r="D931" s="266"/>
      <c r="E931" s="270"/>
      <c r="F931" s="270"/>
      <c r="G931" s="270"/>
      <c r="H931" s="266"/>
      <c r="I931" s="270"/>
      <c r="J931" s="270"/>
      <c r="K931" s="263"/>
    </row>
    <row r="932">
      <c r="A932" s="269"/>
      <c r="B932" s="264"/>
      <c r="C932" s="266"/>
      <c r="D932" s="266"/>
      <c r="E932" s="270"/>
      <c r="F932" s="270"/>
      <c r="G932" s="270"/>
      <c r="H932" s="266"/>
      <c r="I932" s="270"/>
      <c r="J932" s="270"/>
      <c r="K932" s="263"/>
    </row>
    <row r="933">
      <c r="A933" s="269"/>
      <c r="B933" s="264"/>
      <c r="C933" s="266"/>
      <c r="D933" s="266"/>
      <c r="E933" s="270"/>
      <c r="F933" s="270"/>
      <c r="G933" s="270"/>
      <c r="H933" s="266"/>
      <c r="I933" s="270"/>
      <c r="J933" s="270"/>
      <c r="K933" s="263"/>
    </row>
    <row r="934">
      <c r="A934" s="269"/>
      <c r="B934" s="264"/>
      <c r="C934" s="266"/>
      <c r="D934" s="266"/>
      <c r="E934" s="270"/>
      <c r="F934" s="270"/>
      <c r="G934" s="270"/>
      <c r="H934" s="266"/>
      <c r="I934" s="270"/>
      <c r="J934" s="270"/>
      <c r="K934" s="263"/>
    </row>
    <row r="935">
      <c r="A935" s="269"/>
      <c r="B935" s="264"/>
      <c r="C935" s="266"/>
      <c r="D935" s="266"/>
      <c r="E935" s="270"/>
      <c r="F935" s="270"/>
      <c r="G935" s="270"/>
      <c r="H935" s="266"/>
      <c r="I935" s="270"/>
      <c r="J935" s="270"/>
      <c r="K935" s="263"/>
    </row>
    <row r="936">
      <c r="A936" s="269"/>
      <c r="B936" s="264"/>
      <c r="C936" s="266"/>
      <c r="D936" s="266"/>
      <c r="E936" s="270"/>
      <c r="F936" s="270"/>
      <c r="G936" s="270"/>
      <c r="H936" s="266"/>
      <c r="I936" s="270"/>
      <c r="J936" s="270"/>
      <c r="K936" s="263"/>
    </row>
    <row r="937">
      <c r="A937" s="269"/>
      <c r="B937" s="264"/>
      <c r="C937" s="266"/>
      <c r="D937" s="266"/>
      <c r="E937" s="270"/>
      <c r="F937" s="270"/>
      <c r="G937" s="270"/>
      <c r="H937" s="266"/>
      <c r="I937" s="270"/>
      <c r="J937" s="270"/>
      <c r="K937" s="263"/>
    </row>
    <row r="938">
      <c r="A938" s="269"/>
      <c r="B938" s="264"/>
      <c r="C938" s="266"/>
      <c r="D938" s="266"/>
      <c r="E938" s="270"/>
      <c r="F938" s="270"/>
      <c r="G938" s="270"/>
      <c r="H938" s="266"/>
      <c r="I938" s="270"/>
      <c r="J938" s="270"/>
      <c r="K938" s="263"/>
    </row>
    <row r="939">
      <c r="A939" s="269"/>
      <c r="B939" s="264"/>
      <c r="C939" s="266"/>
      <c r="D939" s="266"/>
      <c r="E939" s="270"/>
      <c r="F939" s="270"/>
      <c r="G939" s="270"/>
      <c r="H939" s="266"/>
      <c r="I939" s="270"/>
      <c r="J939" s="270"/>
      <c r="K939" s="263"/>
    </row>
    <row r="940">
      <c r="A940" s="269"/>
      <c r="B940" s="264"/>
      <c r="C940" s="266"/>
      <c r="D940" s="266"/>
      <c r="E940" s="270"/>
      <c r="F940" s="270"/>
      <c r="G940" s="270"/>
      <c r="H940" s="266"/>
      <c r="I940" s="270"/>
      <c r="J940" s="270"/>
      <c r="K940" s="263"/>
    </row>
    <row r="941">
      <c r="A941" s="269"/>
      <c r="B941" s="264"/>
      <c r="C941" s="266"/>
      <c r="D941" s="266"/>
      <c r="E941" s="270"/>
      <c r="F941" s="270"/>
      <c r="G941" s="270"/>
      <c r="H941" s="266"/>
      <c r="I941" s="270"/>
      <c r="J941" s="270"/>
      <c r="K941" s="263"/>
    </row>
    <row r="942">
      <c r="A942" s="269"/>
      <c r="B942" s="264"/>
      <c r="C942" s="266"/>
      <c r="D942" s="266"/>
      <c r="E942" s="270"/>
      <c r="F942" s="270"/>
      <c r="G942" s="270"/>
      <c r="H942" s="266"/>
      <c r="I942" s="270"/>
      <c r="J942" s="270"/>
      <c r="K942" s="263"/>
    </row>
    <row r="943">
      <c r="A943" s="269"/>
      <c r="B943" s="264"/>
      <c r="C943" s="266"/>
      <c r="D943" s="266"/>
      <c r="E943" s="270"/>
      <c r="F943" s="270"/>
      <c r="G943" s="270"/>
      <c r="H943" s="266"/>
      <c r="I943" s="270"/>
      <c r="J943" s="270"/>
      <c r="K943" s="263"/>
    </row>
    <row r="944">
      <c r="A944" s="269"/>
      <c r="B944" s="264"/>
      <c r="C944" s="266"/>
      <c r="D944" s="266"/>
      <c r="E944" s="270"/>
      <c r="F944" s="270"/>
      <c r="G944" s="270"/>
      <c r="H944" s="266"/>
      <c r="I944" s="270"/>
      <c r="J944" s="270"/>
      <c r="K944" s="263"/>
    </row>
    <row r="945">
      <c r="A945" s="269"/>
      <c r="B945" s="264"/>
      <c r="C945" s="266"/>
      <c r="D945" s="266"/>
      <c r="E945" s="270"/>
      <c r="F945" s="270"/>
      <c r="G945" s="270"/>
      <c r="H945" s="266"/>
      <c r="I945" s="270"/>
      <c r="J945" s="270"/>
      <c r="K945" s="263"/>
    </row>
    <row r="946">
      <c r="A946" s="269"/>
      <c r="B946" s="264"/>
      <c r="C946" s="266"/>
      <c r="D946" s="266"/>
      <c r="E946" s="270"/>
      <c r="F946" s="270"/>
      <c r="G946" s="270"/>
      <c r="H946" s="266"/>
      <c r="I946" s="270"/>
      <c r="J946" s="270"/>
      <c r="K946" s="263"/>
    </row>
    <row r="947">
      <c r="A947" s="269"/>
      <c r="B947" s="264"/>
      <c r="C947" s="266"/>
      <c r="D947" s="266"/>
      <c r="E947" s="270"/>
      <c r="F947" s="270"/>
      <c r="G947" s="270"/>
      <c r="H947" s="266"/>
      <c r="I947" s="270"/>
      <c r="J947" s="270"/>
      <c r="K947" s="263"/>
    </row>
    <row r="948">
      <c r="A948" s="269"/>
      <c r="B948" s="264"/>
      <c r="C948" s="266"/>
      <c r="D948" s="266"/>
      <c r="E948" s="270"/>
      <c r="F948" s="270"/>
      <c r="G948" s="270"/>
      <c r="H948" s="266"/>
      <c r="I948" s="270"/>
      <c r="J948" s="270"/>
      <c r="K948" s="263"/>
    </row>
    <row r="949">
      <c r="A949" s="269"/>
      <c r="B949" s="264"/>
      <c r="C949" s="266"/>
      <c r="D949" s="266"/>
      <c r="E949" s="270"/>
      <c r="F949" s="270"/>
      <c r="G949" s="270"/>
      <c r="H949" s="266"/>
      <c r="I949" s="270"/>
      <c r="J949" s="270"/>
      <c r="K949" s="263"/>
    </row>
    <row r="950">
      <c r="A950" s="269"/>
      <c r="B950" s="264"/>
      <c r="C950" s="266"/>
      <c r="D950" s="266"/>
      <c r="E950" s="270"/>
      <c r="F950" s="270"/>
      <c r="G950" s="270"/>
      <c r="H950" s="266"/>
      <c r="I950" s="270"/>
      <c r="J950" s="270"/>
      <c r="K950" s="263"/>
    </row>
    <row r="951">
      <c r="A951" s="269"/>
      <c r="B951" s="264"/>
      <c r="C951" s="266"/>
      <c r="D951" s="266"/>
      <c r="E951" s="270"/>
      <c r="F951" s="270"/>
      <c r="G951" s="270"/>
      <c r="H951" s="266"/>
      <c r="I951" s="270"/>
      <c r="J951" s="270"/>
      <c r="K951" s="263"/>
    </row>
    <row r="952">
      <c r="A952" s="269"/>
      <c r="B952" s="264"/>
      <c r="C952" s="266"/>
      <c r="D952" s="266"/>
      <c r="E952" s="270"/>
      <c r="F952" s="270"/>
      <c r="G952" s="270"/>
      <c r="H952" s="266"/>
      <c r="I952" s="270"/>
      <c r="J952" s="270"/>
      <c r="K952" s="263"/>
    </row>
    <row r="953">
      <c r="A953" s="269"/>
      <c r="B953" s="264"/>
      <c r="C953" s="266"/>
      <c r="D953" s="266"/>
      <c r="E953" s="270"/>
      <c r="F953" s="270"/>
      <c r="G953" s="270"/>
      <c r="H953" s="266"/>
      <c r="I953" s="270"/>
      <c r="J953" s="270"/>
      <c r="K953" s="263"/>
    </row>
    <row r="954">
      <c r="A954" s="269"/>
      <c r="B954" s="264"/>
      <c r="C954" s="266"/>
      <c r="D954" s="266"/>
      <c r="E954" s="270"/>
      <c r="F954" s="270"/>
      <c r="G954" s="270"/>
      <c r="H954" s="266"/>
      <c r="I954" s="270"/>
      <c r="J954" s="270"/>
      <c r="K954" s="263"/>
    </row>
    <row r="955">
      <c r="A955" s="269"/>
      <c r="B955" s="264"/>
      <c r="C955" s="266"/>
      <c r="D955" s="266"/>
      <c r="E955" s="270"/>
      <c r="F955" s="270"/>
      <c r="G955" s="270"/>
      <c r="H955" s="266"/>
      <c r="I955" s="270"/>
      <c r="J955" s="270"/>
      <c r="K955" s="263"/>
    </row>
    <row r="956">
      <c r="A956" s="269"/>
      <c r="B956" s="264"/>
      <c r="C956" s="266"/>
      <c r="D956" s="266"/>
      <c r="E956" s="270"/>
      <c r="F956" s="270"/>
      <c r="G956" s="270"/>
      <c r="H956" s="266"/>
      <c r="I956" s="270"/>
      <c r="J956" s="270"/>
      <c r="K956" s="263"/>
    </row>
    <row r="957">
      <c r="A957" s="269"/>
      <c r="B957" s="264"/>
      <c r="C957" s="266"/>
      <c r="D957" s="266"/>
      <c r="E957" s="270"/>
      <c r="F957" s="270"/>
      <c r="G957" s="270"/>
      <c r="H957" s="266"/>
      <c r="I957" s="270"/>
      <c r="J957" s="270"/>
      <c r="K957" s="263"/>
    </row>
    <row r="958">
      <c r="A958" s="269"/>
      <c r="B958" s="264"/>
      <c r="C958" s="266"/>
      <c r="D958" s="266"/>
      <c r="E958" s="270"/>
      <c r="F958" s="270"/>
      <c r="G958" s="270"/>
      <c r="H958" s="266"/>
      <c r="I958" s="270"/>
      <c r="J958" s="270"/>
      <c r="K958" s="263"/>
    </row>
    <row r="959">
      <c r="A959" s="269"/>
      <c r="B959" s="264"/>
      <c r="C959" s="266"/>
      <c r="D959" s="266"/>
      <c r="E959" s="270"/>
      <c r="F959" s="270"/>
      <c r="G959" s="270"/>
      <c r="H959" s="266"/>
      <c r="I959" s="270"/>
      <c r="J959" s="270"/>
      <c r="K959" s="263"/>
    </row>
    <row r="960">
      <c r="A960" s="269"/>
      <c r="B960" s="264"/>
      <c r="C960" s="266"/>
      <c r="D960" s="266"/>
      <c r="E960" s="270"/>
      <c r="F960" s="270"/>
      <c r="G960" s="270"/>
      <c r="H960" s="266"/>
      <c r="I960" s="270"/>
      <c r="J960" s="270"/>
      <c r="K960" s="263"/>
    </row>
    <row r="961">
      <c r="A961" s="269"/>
      <c r="B961" s="264"/>
      <c r="C961" s="266"/>
      <c r="D961" s="266"/>
      <c r="E961" s="270"/>
      <c r="F961" s="270"/>
      <c r="G961" s="270"/>
      <c r="H961" s="266"/>
      <c r="I961" s="270"/>
      <c r="J961" s="270"/>
      <c r="K961" s="263"/>
    </row>
    <row r="962">
      <c r="A962" s="269"/>
      <c r="B962" s="264"/>
      <c r="C962" s="266"/>
      <c r="D962" s="266"/>
      <c r="E962" s="270"/>
      <c r="F962" s="270"/>
      <c r="G962" s="270"/>
      <c r="H962" s="266"/>
      <c r="I962" s="270"/>
      <c r="J962" s="270"/>
      <c r="K962" s="263"/>
    </row>
    <row r="963">
      <c r="A963" s="269"/>
      <c r="B963" s="264"/>
      <c r="C963" s="266"/>
      <c r="D963" s="266"/>
      <c r="E963" s="270"/>
      <c r="F963" s="270"/>
      <c r="G963" s="270"/>
      <c r="H963" s="266"/>
      <c r="I963" s="270"/>
      <c r="J963" s="270"/>
      <c r="K963" s="263"/>
    </row>
    <row r="964">
      <c r="A964" s="269"/>
      <c r="B964" s="264"/>
      <c r="C964" s="266"/>
      <c r="D964" s="266"/>
      <c r="E964" s="270"/>
      <c r="F964" s="270"/>
      <c r="G964" s="270"/>
      <c r="H964" s="266"/>
      <c r="I964" s="270"/>
      <c r="J964" s="270"/>
      <c r="K964" s="263"/>
    </row>
    <row r="965">
      <c r="A965" s="269"/>
      <c r="B965" s="264"/>
      <c r="C965" s="266"/>
      <c r="D965" s="266"/>
      <c r="E965" s="270"/>
      <c r="F965" s="270"/>
      <c r="G965" s="270"/>
      <c r="H965" s="266"/>
      <c r="I965" s="270"/>
      <c r="J965" s="270"/>
      <c r="K965" s="263"/>
    </row>
    <row r="966">
      <c r="A966" s="269"/>
      <c r="B966" s="264"/>
      <c r="C966" s="266"/>
      <c r="D966" s="266"/>
      <c r="E966" s="270"/>
      <c r="F966" s="270"/>
      <c r="G966" s="270"/>
      <c r="H966" s="266"/>
      <c r="I966" s="270"/>
      <c r="J966" s="270"/>
      <c r="K966" s="263"/>
    </row>
    <row r="967">
      <c r="A967" s="269"/>
      <c r="B967" s="264"/>
      <c r="C967" s="266"/>
      <c r="D967" s="266"/>
      <c r="E967" s="270"/>
      <c r="F967" s="270"/>
      <c r="G967" s="270"/>
      <c r="H967" s="266"/>
      <c r="I967" s="270"/>
      <c r="J967" s="270"/>
      <c r="K967" s="263"/>
    </row>
    <row r="968">
      <c r="A968" s="269"/>
      <c r="B968" s="264"/>
      <c r="C968" s="266"/>
      <c r="D968" s="266"/>
      <c r="E968" s="270"/>
      <c r="F968" s="270"/>
      <c r="G968" s="270"/>
      <c r="H968" s="266"/>
      <c r="I968" s="270"/>
      <c r="J968" s="270"/>
      <c r="K968" s="263"/>
    </row>
    <row r="969">
      <c r="A969" s="269"/>
      <c r="B969" s="264"/>
      <c r="C969" s="266"/>
      <c r="D969" s="266"/>
      <c r="E969" s="270"/>
      <c r="F969" s="270"/>
      <c r="G969" s="270"/>
      <c r="H969" s="266"/>
      <c r="I969" s="270"/>
      <c r="J969" s="270"/>
      <c r="K969" s="263"/>
    </row>
    <row r="970">
      <c r="A970" s="269"/>
      <c r="B970" s="264"/>
      <c r="C970" s="266"/>
      <c r="D970" s="266"/>
      <c r="E970" s="270"/>
      <c r="F970" s="270"/>
      <c r="G970" s="270"/>
      <c r="H970" s="266"/>
      <c r="I970" s="270"/>
      <c r="J970" s="270"/>
      <c r="K970" s="263"/>
    </row>
    <row r="971">
      <c r="A971" s="269"/>
      <c r="B971" s="264"/>
      <c r="C971" s="266"/>
      <c r="D971" s="266"/>
      <c r="E971" s="270"/>
      <c r="F971" s="270"/>
      <c r="G971" s="270"/>
      <c r="H971" s="266"/>
      <c r="I971" s="270"/>
      <c r="J971" s="270"/>
      <c r="K971" s="263"/>
    </row>
    <row r="972">
      <c r="A972" s="269"/>
      <c r="B972" s="264"/>
      <c r="C972" s="266"/>
      <c r="D972" s="266"/>
      <c r="E972" s="270"/>
      <c r="F972" s="270"/>
      <c r="G972" s="270"/>
      <c r="H972" s="266"/>
      <c r="I972" s="270"/>
      <c r="J972" s="270"/>
      <c r="K972" s="263"/>
    </row>
    <row r="973">
      <c r="A973" s="269"/>
      <c r="B973" s="264"/>
      <c r="C973" s="266"/>
      <c r="D973" s="266"/>
      <c r="E973" s="270"/>
      <c r="F973" s="270"/>
      <c r="G973" s="270"/>
      <c r="H973" s="266"/>
      <c r="I973" s="270"/>
      <c r="J973" s="270"/>
      <c r="K973" s="263"/>
    </row>
    <row r="974">
      <c r="A974" s="269"/>
      <c r="B974" s="264"/>
      <c r="C974" s="266"/>
      <c r="D974" s="266"/>
      <c r="E974" s="270"/>
      <c r="F974" s="270"/>
      <c r="G974" s="270"/>
      <c r="H974" s="266"/>
      <c r="I974" s="270"/>
      <c r="J974" s="270"/>
      <c r="K974" s="263"/>
    </row>
    <row r="975">
      <c r="A975" s="269"/>
      <c r="B975" s="264"/>
      <c r="C975" s="266"/>
      <c r="D975" s="266"/>
      <c r="E975" s="270"/>
      <c r="F975" s="270"/>
      <c r="G975" s="270"/>
      <c r="H975" s="266"/>
      <c r="I975" s="270"/>
      <c r="J975" s="270"/>
      <c r="K975" s="263"/>
    </row>
    <row r="976">
      <c r="A976" s="269"/>
      <c r="B976" s="264"/>
      <c r="C976" s="266"/>
      <c r="D976" s="266"/>
      <c r="E976" s="270"/>
      <c r="F976" s="270"/>
      <c r="G976" s="270"/>
      <c r="H976" s="266"/>
      <c r="I976" s="270"/>
      <c r="J976" s="270"/>
      <c r="K976" s="263"/>
    </row>
    <row r="977">
      <c r="A977" s="269"/>
      <c r="B977" s="264"/>
      <c r="C977" s="266"/>
      <c r="D977" s="266"/>
      <c r="E977" s="270"/>
      <c r="F977" s="270"/>
      <c r="G977" s="270"/>
      <c r="H977" s="266"/>
      <c r="I977" s="270"/>
      <c r="J977" s="270"/>
      <c r="K977" s="263"/>
    </row>
    <row r="978">
      <c r="A978" s="269"/>
      <c r="B978" s="264"/>
      <c r="C978" s="266"/>
      <c r="D978" s="266"/>
      <c r="E978" s="270"/>
      <c r="F978" s="270"/>
      <c r="G978" s="270"/>
      <c r="H978" s="266"/>
      <c r="I978" s="270"/>
      <c r="J978" s="270"/>
      <c r="K978" s="263"/>
    </row>
    <row r="979">
      <c r="A979" s="269"/>
      <c r="B979" s="264"/>
      <c r="C979" s="266"/>
      <c r="D979" s="266"/>
      <c r="E979" s="270"/>
      <c r="F979" s="270"/>
      <c r="G979" s="270"/>
      <c r="H979" s="266"/>
      <c r="I979" s="270"/>
      <c r="J979" s="270"/>
      <c r="K979" s="263"/>
    </row>
    <row r="980">
      <c r="A980" s="269"/>
      <c r="B980" s="264"/>
      <c r="C980" s="266"/>
      <c r="D980" s="266"/>
      <c r="E980" s="270"/>
      <c r="F980" s="270"/>
      <c r="G980" s="270"/>
      <c r="H980" s="266"/>
      <c r="I980" s="270"/>
      <c r="J980" s="270"/>
      <c r="K980" s="263"/>
    </row>
    <row r="981">
      <c r="A981" s="269"/>
      <c r="B981" s="264"/>
      <c r="C981" s="266"/>
      <c r="D981" s="266"/>
      <c r="E981" s="270"/>
      <c r="F981" s="270"/>
      <c r="G981" s="270"/>
      <c r="H981" s="266"/>
      <c r="I981" s="270"/>
      <c r="J981" s="270"/>
      <c r="K981" s="263"/>
    </row>
    <row r="982">
      <c r="A982" s="269"/>
      <c r="B982" s="264"/>
      <c r="C982" s="266"/>
      <c r="D982" s="266"/>
      <c r="E982" s="270"/>
      <c r="F982" s="270"/>
      <c r="G982" s="270"/>
      <c r="H982" s="266"/>
      <c r="I982" s="270"/>
      <c r="J982" s="270"/>
      <c r="K982" s="263"/>
    </row>
    <row r="983">
      <c r="A983" s="269"/>
      <c r="B983" s="264"/>
      <c r="C983" s="266"/>
      <c r="D983" s="266"/>
      <c r="E983" s="270"/>
      <c r="F983" s="270"/>
      <c r="G983" s="270"/>
      <c r="H983" s="266"/>
      <c r="I983" s="270"/>
      <c r="J983" s="270"/>
      <c r="K983" s="263"/>
    </row>
    <row r="984">
      <c r="A984" s="269"/>
      <c r="B984" s="264"/>
      <c r="C984" s="266"/>
      <c r="D984" s="266"/>
      <c r="E984" s="270"/>
      <c r="F984" s="270"/>
      <c r="G984" s="270"/>
      <c r="H984" s="266"/>
      <c r="I984" s="270"/>
      <c r="J984" s="270"/>
      <c r="K984" s="263"/>
    </row>
    <row r="985">
      <c r="A985" s="269"/>
      <c r="B985" s="264"/>
      <c r="C985" s="266"/>
      <c r="D985" s="266"/>
      <c r="E985" s="270"/>
      <c r="F985" s="270"/>
      <c r="G985" s="270"/>
      <c r="H985" s="266"/>
      <c r="I985" s="270"/>
      <c r="J985" s="270"/>
      <c r="K985" s="263"/>
    </row>
    <row r="986">
      <c r="A986" s="269"/>
      <c r="B986" s="264"/>
      <c r="C986" s="266"/>
      <c r="D986" s="266"/>
      <c r="E986" s="270"/>
      <c r="F986" s="270"/>
      <c r="G986" s="270"/>
      <c r="H986" s="266"/>
      <c r="I986" s="270"/>
      <c r="J986" s="270"/>
      <c r="K986" s="263"/>
    </row>
    <row r="987">
      <c r="A987" s="269"/>
      <c r="B987" s="264"/>
      <c r="C987" s="266"/>
      <c r="D987" s="266"/>
      <c r="E987" s="270"/>
      <c r="F987" s="270"/>
      <c r="G987" s="270"/>
      <c r="H987" s="266"/>
      <c r="I987" s="270"/>
      <c r="J987" s="270"/>
      <c r="K987" s="263"/>
    </row>
    <row r="988">
      <c r="A988" s="269"/>
      <c r="B988" s="264"/>
      <c r="C988" s="266"/>
      <c r="D988" s="266"/>
      <c r="E988" s="270"/>
      <c r="F988" s="270"/>
      <c r="G988" s="270"/>
      <c r="H988" s="266"/>
      <c r="I988" s="270"/>
      <c r="J988" s="270"/>
      <c r="K988" s="263"/>
    </row>
    <row r="989">
      <c r="A989" s="269"/>
      <c r="B989" s="264"/>
      <c r="C989" s="266"/>
      <c r="D989" s="266"/>
      <c r="E989" s="270"/>
      <c r="F989" s="270"/>
      <c r="G989" s="270"/>
      <c r="H989" s="266"/>
      <c r="I989" s="270"/>
      <c r="J989" s="270"/>
      <c r="K989" s="263"/>
    </row>
    <row r="990">
      <c r="A990" s="269"/>
      <c r="B990" s="264"/>
      <c r="C990" s="266"/>
      <c r="D990" s="266"/>
      <c r="E990" s="270"/>
      <c r="F990" s="270"/>
      <c r="G990" s="270"/>
      <c r="H990" s="266"/>
      <c r="I990" s="270"/>
      <c r="J990" s="270"/>
      <c r="K990" s="263"/>
    </row>
    <row r="991">
      <c r="A991" s="269"/>
      <c r="B991" s="264"/>
      <c r="C991" s="266"/>
      <c r="D991" s="266"/>
      <c r="E991" s="270"/>
      <c r="F991" s="270"/>
      <c r="G991" s="270"/>
      <c r="H991" s="266"/>
      <c r="I991" s="270"/>
      <c r="J991" s="270"/>
      <c r="K991" s="263"/>
    </row>
    <row r="992">
      <c r="A992" s="269"/>
      <c r="B992" s="264"/>
      <c r="C992" s="266"/>
      <c r="D992" s="266"/>
      <c r="E992" s="270"/>
      <c r="F992" s="270"/>
      <c r="G992" s="270"/>
      <c r="H992" s="266"/>
      <c r="I992" s="270"/>
      <c r="J992" s="270"/>
      <c r="K992" s="263"/>
    </row>
    <row r="993">
      <c r="A993" s="269"/>
      <c r="B993" s="264"/>
      <c r="C993" s="266"/>
      <c r="D993" s="266"/>
      <c r="E993" s="270"/>
      <c r="F993" s="270"/>
      <c r="G993" s="270"/>
      <c r="H993" s="266"/>
      <c r="I993" s="270"/>
      <c r="J993" s="270"/>
      <c r="K993" s="263"/>
    </row>
    <row r="994">
      <c r="A994" s="269"/>
      <c r="B994" s="264"/>
      <c r="C994" s="266"/>
      <c r="D994" s="266"/>
      <c r="E994" s="270"/>
      <c r="F994" s="270"/>
      <c r="G994" s="270"/>
      <c r="H994" s="266"/>
      <c r="I994" s="270"/>
      <c r="J994" s="270"/>
      <c r="K994" s="263"/>
    </row>
    <row r="995">
      <c r="A995" s="269"/>
      <c r="B995" s="264"/>
      <c r="C995" s="266"/>
      <c r="D995" s="266"/>
      <c r="E995" s="270"/>
      <c r="F995" s="270"/>
      <c r="G995" s="270"/>
      <c r="H995" s="266"/>
      <c r="I995" s="270"/>
      <c r="J995" s="270"/>
      <c r="K995" s="263"/>
    </row>
    <row r="996">
      <c r="A996" s="269"/>
      <c r="B996" s="264"/>
      <c r="C996" s="266"/>
      <c r="D996" s="266"/>
      <c r="E996" s="270"/>
      <c r="F996" s="270"/>
      <c r="G996" s="270"/>
      <c r="H996" s="266"/>
      <c r="I996" s="270"/>
      <c r="J996" s="270"/>
      <c r="K996" s="263"/>
    </row>
    <row r="997">
      <c r="A997" s="269"/>
      <c r="B997" s="264"/>
      <c r="C997" s="266"/>
      <c r="D997" s="266"/>
      <c r="E997" s="270"/>
      <c r="F997" s="270"/>
      <c r="G997" s="270"/>
      <c r="H997" s="266"/>
      <c r="I997" s="270"/>
      <c r="J997" s="270"/>
      <c r="K997" s="263"/>
    </row>
    <row r="998">
      <c r="A998" s="269"/>
      <c r="B998" s="264"/>
      <c r="C998" s="266"/>
      <c r="D998" s="266"/>
      <c r="E998" s="270"/>
      <c r="F998" s="270"/>
      <c r="G998" s="270"/>
      <c r="H998" s="266"/>
      <c r="I998" s="270"/>
      <c r="J998" s="270"/>
      <c r="K998" s="263"/>
    </row>
    <row r="999">
      <c r="A999" s="269"/>
      <c r="B999" s="264"/>
      <c r="C999" s="266"/>
      <c r="D999" s="266"/>
      <c r="E999" s="270"/>
      <c r="F999" s="270"/>
      <c r="G999" s="270"/>
      <c r="H999" s="266"/>
      <c r="I999" s="270"/>
      <c r="J999" s="270"/>
      <c r="K999" s="263"/>
    </row>
    <row r="1000">
      <c r="A1000" s="269"/>
      <c r="B1000" s="264"/>
      <c r="C1000" s="266"/>
      <c r="D1000" s="266"/>
      <c r="E1000" s="270"/>
      <c r="F1000" s="270"/>
      <c r="G1000" s="270"/>
      <c r="H1000" s="266"/>
      <c r="I1000" s="270"/>
      <c r="J1000" s="270"/>
      <c r="K1000" s="263"/>
    </row>
    <row r="1001">
      <c r="A1001" s="269"/>
      <c r="B1001" s="264"/>
      <c r="C1001" s="266"/>
      <c r="D1001" s="266"/>
      <c r="E1001" s="270"/>
      <c r="F1001" s="270"/>
      <c r="G1001" s="270"/>
      <c r="H1001" s="266"/>
      <c r="I1001" s="270"/>
      <c r="J1001" s="270"/>
      <c r="K1001" s="263"/>
    </row>
    <row r="1002">
      <c r="A1002" s="269"/>
      <c r="B1002" s="264"/>
      <c r="C1002" s="266"/>
      <c r="D1002" s="266"/>
      <c r="E1002" s="270"/>
      <c r="F1002" s="270"/>
      <c r="G1002" s="270"/>
      <c r="H1002" s="266"/>
      <c r="I1002" s="270"/>
      <c r="J1002" s="270"/>
      <c r="K1002" s="263"/>
    </row>
    <row r="1003">
      <c r="A1003" s="269"/>
      <c r="B1003" s="264"/>
      <c r="C1003" s="266"/>
      <c r="D1003" s="266"/>
      <c r="E1003" s="270"/>
      <c r="F1003" s="270"/>
      <c r="G1003" s="270"/>
      <c r="H1003" s="266"/>
      <c r="I1003" s="270"/>
      <c r="J1003" s="270"/>
      <c r="K1003" s="263"/>
    </row>
    <row r="1004">
      <c r="A1004" s="269"/>
      <c r="B1004" s="264"/>
      <c r="C1004" s="266"/>
      <c r="D1004" s="266"/>
      <c r="E1004" s="270"/>
      <c r="F1004" s="270"/>
      <c r="G1004" s="270"/>
      <c r="H1004" s="266"/>
      <c r="I1004" s="270"/>
      <c r="J1004" s="270"/>
      <c r="K1004" s="263"/>
    </row>
    <row r="1005">
      <c r="A1005" s="269"/>
      <c r="B1005" s="264"/>
      <c r="C1005" s="266"/>
      <c r="D1005" s="266"/>
      <c r="E1005" s="270"/>
      <c r="F1005" s="270"/>
      <c r="G1005" s="270"/>
      <c r="H1005" s="266"/>
      <c r="I1005" s="270"/>
      <c r="J1005" s="270"/>
      <c r="K1005" s="263"/>
    </row>
    <row r="1006">
      <c r="A1006" s="269"/>
      <c r="B1006" s="264"/>
      <c r="C1006" s="266"/>
      <c r="D1006" s="266"/>
      <c r="E1006" s="270"/>
      <c r="F1006" s="270"/>
      <c r="G1006" s="270"/>
      <c r="H1006" s="266"/>
      <c r="I1006" s="270"/>
      <c r="J1006" s="270"/>
      <c r="K1006" s="263"/>
    </row>
    <row r="1007">
      <c r="A1007" s="269"/>
      <c r="B1007" s="264"/>
      <c r="C1007" s="266"/>
      <c r="D1007" s="266"/>
      <c r="E1007" s="270"/>
      <c r="F1007" s="270"/>
      <c r="G1007" s="270"/>
      <c r="H1007" s="266"/>
      <c r="I1007" s="270"/>
      <c r="J1007" s="270"/>
      <c r="K1007" s="263"/>
    </row>
    <row r="1008">
      <c r="A1008" s="269"/>
      <c r="B1008" s="264"/>
      <c r="C1008" s="266"/>
      <c r="D1008" s="266"/>
      <c r="E1008" s="270"/>
      <c r="F1008" s="270"/>
      <c r="G1008" s="270"/>
      <c r="H1008" s="266"/>
      <c r="I1008" s="270"/>
      <c r="J1008" s="270"/>
      <c r="K1008" s="263"/>
    </row>
    <row r="1009">
      <c r="A1009" s="269"/>
      <c r="B1009" s="264"/>
      <c r="C1009" s="266"/>
      <c r="D1009" s="266"/>
      <c r="E1009" s="270"/>
      <c r="F1009" s="270"/>
      <c r="G1009" s="270"/>
      <c r="H1009" s="266"/>
      <c r="I1009" s="270"/>
      <c r="J1009" s="270"/>
      <c r="K1009" s="263"/>
    </row>
    <row r="1010">
      <c r="A1010" s="269"/>
      <c r="B1010" s="264"/>
      <c r="C1010" s="266"/>
      <c r="D1010" s="266"/>
      <c r="E1010" s="270"/>
      <c r="F1010" s="270"/>
      <c r="G1010" s="270"/>
      <c r="H1010" s="266"/>
      <c r="I1010" s="270"/>
      <c r="J1010" s="270"/>
      <c r="K1010" s="263"/>
    </row>
    <row r="1011">
      <c r="A1011" s="269"/>
      <c r="B1011" s="264"/>
      <c r="C1011" s="266"/>
      <c r="D1011" s="266"/>
      <c r="E1011" s="270"/>
      <c r="F1011" s="270"/>
      <c r="G1011" s="270"/>
      <c r="H1011" s="266"/>
      <c r="I1011" s="270"/>
      <c r="J1011" s="270"/>
      <c r="K1011" s="263"/>
    </row>
    <row r="1012">
      <c r="A1012" s="269"/>
      <c r="B1012" s="264"/>
      <c r="C1012" s="266"/>
      <c r="D1012" s="266"/>
      <c r="E1012" s="270"/>
      <c r="F1012" s="270"/>
      <c r="G1012" s="270"/>
      <c r="H1012" s="266"/>
      <c r="I1012" s="270"/>
      <c r="J1012" s="270"/>
      <c r="K1012" s="263"/>
    </row>
    <row r="1013">
      <c r="A1013" s="269"/>
      <c r="B1013" s="264"/>
      <c r="C1013" s="266"/>
      <c r="D1013" s="266"/>
      <c r="E1013" s="270"/>
      <c r="F1013" s="270"/>
      <c r="G1013" s="270"/>
      <c r="H1013" s="266"/>
      <c r="I1013" s="270"/>
      <c r="J1013" s="270"/>
      <c r="K1013" s="263"/>
    </row>
    <row r="1014">
      <c r="A1014" s="269"/>
      <c r="B1014" s="264"/>
      <c r="C1014" s="266"/>
      <c r="D1014" s="266"/>
      <c r="E1014" s="270"/>
      <c r="F1014" s="270"/>
      <c r="G1014" s="270"/>
      <c r="H1014" s="266"/>
      <c r="I1014" s="270"/>
      <c r="J1014" s="270"/>
      <c r="K1014" s="263"/>
    </row>
    <row r="1015">
      <c r="A1015" s="269"/>
      <c r="B1015" s="264"/>
      <c r="C1015" s="266"/>
      <c r="D1015" s="266"/>
      <c r="E1015" s="270"/>
      <c r="F1015" s="270"/>
      <c r="G1015" s="270"/>
      <c r="H1015" s="266"/>
      <c r="I1015" s="270"/>
      <c r="J1015" s="270"/>
      <c r="K1015" s="263"/>
    </row>
    <row r="1016">
      <c r="A1016" s="269"/>
      <c r="B1016" s="264"/>
      <c r="C1016" s="266"/>
      <c r="D1016" s="266"/>
      <c r="E1016" s="270"/>
      <c r="F1016" s="270"/>
      <c r="G1016" s="270"/>
      <c r="H1016" s="266"/>
      <c r="I1016" s="270"/>
      <c r="J1016" s="270"/>
      <c r="K1016" s="263"/>
    </row>
    <row r="1017">
      <c r="A1017" s="269"/>
      <c r="B1017" s="264"/>
      <c r="C1017" s="266"/>
      <c r="D1017" s="266"/>
      <c r="E1017" s="270"/>
      <c r="F1017" s="270"/>
      <c r="G1017" s="270"/>
      <c r="H1017" s="266"/>
      <c r="I1017" s="270"/>
      <c r="J1017" s="270"/>
      <c r="K1017" s="263"/>
    </row>
    <row r="1018">
      <c r="A1018" s="269"/>
      <c r="B1018" s="264"/>
      <c r="C1018" s="266"/>
      <c r="D1018" s="266"/>
      <c r="E1018" s="270"/>
      <c r="F1018" s="270"/>
      <c r="G1018" s="270"/>
      <c r="H1018" s="266"/>
      <c r="I1018" s="270"/>
      <c r="J1018" s="270"/>
      <c r="K1018" s="263"/>
    </row>
    <row r="1019">
      <c r="A1019" s="269"/>
      <c r="B1019" s="264"/>
      <c r="C1019" s="266"/>
      <c r="D1019" s="266"/>
      <c r="E1019" s="270"/>
      <c r="F1019" s="270"/>
      <c r="G1019" s="270"/>
      <c r="H1019" s="266"/>
      <c r="I1019" s="270"/>
      <c r="J1019" s="270"/>
      <c r="K1019" s="263"/>
    </row>
    <row r="1020">
      <c r="A1020" s="269"/>
      <c r="B1020" s="264"/>
      <c r="C1020" s="266"/>
      <c r="D1020" s="266"/>
      <c r="E1020" s="270"/>
      <c r="F1020" s="270"/>
      <c r="G1020" s="270"/>
      <c r="H1020" s="266"/>
      <c r="I1020" s="270"/>
      <c r="J1020" s="270"/>
      <c r="K1020" s="263"/>
    </row>
    <row r="1021">
      <c r="A1021" s="269"/>
      <c r="B1021" s="264"/>
      <c r="C1021" s="266"/>
      <c r="D1021" s="266"/>
      <c r="E1021" s="270"/>
      <c r="F1021" s="270"/>
      <c r="G1021" s="270"/>
      <c r="H1021" s="266"/>
      <c r="I1021" s="270"/>
      <c r="J1021" s="270"/>
      <c r="K1021" s="263"/>
    </row>
    <row r="1022">
      <c r="A1022" s="269"/>
      <c r="B1022" s="264"/>
      <c r="C1022" s="266"/>
      <c r="D1022" s="266"/>
      <c r="E1022" s="270"/>
      <c r="F1022" s="270"/>
      <c r="G1022" s="270"/>
      <c r="H1022" s="266"/>
      <c r="I1022" s="270"/>
      <c r="J1022" s="270"/>
      <c r="K1022" s="263"/>
    </row>
    <row r="1023">
      <c r="A1023" s="269"/>
      <c r="B1023" s="264"/>
      <c r="C1023" s="266"/>
      <c r="D1023" s="266"/>
      <c r="E1023" s="270"/>
      <c r="F1023" s="270"/>
      <c r="G1023" s="270"/>
      <c r="H1023" s="266"/>
      <c r="I1023" s="270"/>
      <c r="J1023" s="270"/>
      <c r="K1023" s="263"/>
    </row>
    <row r="1024">
      <c r="A1024" s="269"/>
      <c r="B1024" s="264"/>
      <c r="C1024" s="266"/>
      <c r="D1024" s="266"/>
      <c r="E1024" s="270"/>
      <c r="F1024" s="270"/>
      <c r="G1024" s="270"/>
      <c r="H1024" s="266"/>
      <c r="I1024" s="270"/>
      <c r="J1024" s="270"/>
      <c r="K1024" s="263"/>
    </row>
    <row r="1025">
      <c r="A1025" s="269"/>
      <c r="B1025" s="264"/>
      <c r="C1025" s="266"/>
      <c r="D1025" s="266"/>
      <c r="E1025" s="270"/>
      <c r="F1025" s="270"/>
      <c r="G1025" s="270"/>
      <c r="H1025" s="266"/>
      <c r="I1025" s="270"/>
      <c r="J1025" s="270"/>
      <c r="K1025" s="263"/>
    </row>
    <row r="1026">
      <c r="A1026" s="269"/>
      <c r="B1026" s="264"/>
      <c r="C1026" s="266"/>
      <c r="D1026" s="266"/>
      <c r="E1026" s="270"/>
      <c r="F1026" s="270"/>
      <c r="G1026" s="270"/>
      <c r="H1026" s="266"/>
      <c r="I1026" s="270"/>
      <c r="J1026" s="270"/>
      <c r="K1026" s="263"/>
    </row>
    <row r="1027">
      <c r="A1027" s="269"/>
      <c r="B1027" s="264"/>
      <c r="C1027" s="266"/>
      <c r="D1027" s="266"/>
      <c r="E1027" s="270"/>
      <c r="F1027" s="270"/>
      <c r="G1027" s="270"/>
      <c r="H1027" s="266"/>
      <c r="I1027" s="270"/>
      <c r="J1027" s="270"/>
      <c r="K1027" s="263"/>
    </row>
    <row r="1028">
      <c r="A1028" s="269"/>
      <c r="B1028" s="264"/>
      <c r="C1028" s="266"/>
      <c r="D1028" s="266"/>
      <c r="E1028" s="270"/>
      <c r="F1028" s="270"/>
      <c r="G1028" s="270"/>
      <c r="H1028" s="266"/>
      <c r="I1028" s="270"/>
      <c r="J1028" s="270"/>
      <c r="K1028" s="263"/>
    </row>
    <row r="1029">
      <c r="A1029" s="269"/>
      <c r="B1029" s="264"/>
      <c r="C1029" s="266"/>
      <c r="D1029" s="266"/>
      <c r="E1029" s="270"/>
      <c r="F1029" s="270"/>
      <c r="G1029" s="270"/>
      <c r="H1029" s="266"/>
      <c r="I1029" s="270"/>
      <c r="J1029" s="270"/>
      <c r="K1029" s="263"/>
    </row>
    <row r="1030">
      <c r="A1030" s="269"/>
      <c r="B1030" s="264"/>
      <c r="C1030" s="266"/>
      <c r="D1030" s="266"/>
      <c r="E1030" s="270"/>
      <c r="F1030" s="270"/>
      <c r="G1030" s="270"/>
      <c r="H1030" s="266"/>
      <c r="I1030" s="270"/>
      <c r="J1030" s="270"/>
      <c r="K1030" s="263"/>
    </row>
    <row r="1031">
      <c r="A1031" s="269"/>
      <c r="B1031" s="264"/>
      <c r="C1031" s="266"/>
      <c r="D1031" s="266"/>
      <c r="E1031" s="270"/>
      <c r="F1031" s="270"/>
      <c r="G1031" s="270"/>
      <c r="H1031" s="266"/>
      <c r="I1031" s="270"/>
      <c r="J1031" s="270"/>
      <c r="K1031" s="263"/>
    </row>
    <row r="1032">
      <c r="A1032" s="269"/>
      <c r="B1032" s="264"/>
      <c r="C1032" s="266"/>
      <c r="D1032" s="266"/>
      <c r="E1032" s="270"/>
      <c r="F1032" s="270"/>
      <c r="G1032" s="270"/>
      <c r="H1032" s="266"/>
      <c r="I1032" s="270"/>
      <c r="J1032" s="270"/>
      <c r="K1032" s="263"/>
    </row>
    <row r="1033">
      <c r="A1033" s="269"/>
      <c r="B1033" s="264"/>
      <c r="C1033" s="266"/>
      <c r="D1033" s="266"/>
      <c r="E1033" s="270"/>
      <c r="F1033" s="270"/>
      <c r="G1033" s="270"/>
      <c r="H1033" s="266"/>
      <c r="I1033" s="270"/>
      <c r="J1033" s="270"/>
      <c r="K1033" s="263"/>
    </row>
    <row r="1034">
      <c r="A1034" s="269"/>
      <c r="B1034" s="264"/>
      <c r="C1034" s="266"/>
      <c r="D1034" s="266"/>
      <c r="E1034" s="270"/>
      <c r="F1034" s="270"/>
      <c r="G1034" s="270"/>
      <c r="H1034" s="266"/>
      <c r="I1034" s="270"/>
      <c r="J1034" s="270"/>
      <c r="K1034" s="263"/>
    </row>
    <row r="1035">
      <c r="A1035" s="269"/>
      <c r="B1035" s="264"/>
      <c r="C1035" s="266"/>
      <c r="D1035" s="266"/>
      <c r="E1035" s="270"/>
      <c r="F1035" s="270"/>
      <c r="G1035" s="270"/>
      <c r="H1035" s="266"/>
      <c r="I1035" s="270"/>
      <c r="J1035" s="270"/>
      <c r="K1035" s="263"/>
    </row>
    <row r="1036">
      <c r="A1036" s="269"/>
      <c r="B1036" s="264"/>
      <c r="C1036" s="266"/>
      <c r="D1036" s="266"/>
      <c r="E1036" s="270"/>
      <c r="F1036" s="270"/>
      <c r="G1036" s="270"/>
      <c r="H1036" s="266"/>
      <c r="I1036" s="270"/>
      <c r="J1036" s="270"/>
      <c r="K1036" s="263"/>
    </row>
    <row r="1037">
      <c r="A1037" s="269"/>
      <c r="B1037" s="264"/>
      <c r="C1037" s="266"/>
      <c r="D1037" s="266"/>
      <c r="E1037" s="270"/>
      <c r="F1037" s="270"/>
      <c r="G1037" s="270"/>
      <c r="H1037" s="266"/>
      <c r="I1037" s="270"/>
      <c r="J1037" s="270"/>
      <c r="K1037" s="263"/>
    </row>
    <row r="1038">
      <c r="A1038" s="269"/>
      <c r="B1038" s="264"/>
      <c r="C1038" s="266"/>
      <c r="D1038" s="266"/>
      <c r="E1038" s="270"/>
      <c r="F1038" s="270"/>
      <c r="G1038" s="270"/>
      <c r="H1038" s="266"/>
      <c r="I1038" s="270"/>
      <c r="J1038" s="270"/>
      <c r="K1038" s="263"/>
    </row>
    <row r="1039">
      <c r="A1039" s="269"/>
      <c r="B1039" s="264"/>
      <c r="C1039" s="266"/>
      <c r="D1039" s="266"/>
      <c r="E1039" s="270"/>
      <c r="F1039" s="270"/>
      <c r="G1039" s="270"/>
      <c r="H1039" s="266"/>
      <c r="I1039" s="270"/>
      <c r="J1039" s="270"/>
      <c r="K1039" s="263"/>
    </row>
    <row r="1040">
      <c r="A1040" s="269"/>
      <c r="B1040" s="264"/>
      <c r="C1040" s="266"/>
      <c r="D1040" s="266"/>
      <c r="E1040" s="270"/>
      <c r="F1040" s="270"/>
      <c r="G1040" s="270"/>
      <c r="H1040" s="266"/>
      <c r="I1040" s="270"/>
      <c r="J1040" s="270"/>
      <c r="K1040" s="263"/>
    </row>
    <row r="1041">
      <c r="A1041" s="269"/>
      <c r="B1041" s="264"/>
      <c r="C1041" s="266"/>
      <c r="D1041" s="266"/>
      <c r="E1041" s="270"/>
      <c r="F1041" s="270"/>
      <c r="G1041" s="270"/>
      <c r="H1041" s="266"/>
      <c r="I1041" s="270"/>
      <c r="J1041" s="270"/>
      <c r="K1041" s="263"/>
    </row>
    <row r="1042">
      <c r="A1042" s="269"/>
      <c r="B1042" s="264"/>
      <c r="C1042" s="266"/>
      <c r="D1042" s="266"/>
      <c r="E1042" s="270"/>
      <c r="F1042" s="270"/>
      <c r="G1042" s="270"/>
      <c r="H1042" s="266"/>
      <c r="I1042" s="270"/>
      <c r="J1042" s="270"/>
      <c r="K1042" s="263"/>
    </row>
    <row r="1043">
      <c r="A1043" s="269"/>
      <c r="B1043" s="264"/>
      <c r="C1043" s="266"/>
      <c r="D1043" s="266"/>
      <c r="E1043" s="270"/>
      <c r="F1043" s="270"/>
      <c r="G1043" s="270"/>
      <c r="H1043" s="266"/>
      <c r="I1043" s="270"/>
      <c r="J1043" s="270"/>
      <c r="K1043" s="263"/>
    </row>
    <row r="1044">
      <c r="A1044" s="269"/>
      <c r="B1044" s="264"/>
      <c r="C1044" s="266"/>
      <c r="D1044" s="266"/>
      <c r="E1044" s="270"/>
      <c r="F1044" s="270"/>
      <c r="G1044" s="270"/>
      <c r="H1044" s="266"/>
      <c r="I1044" s="270"/>
      <c r="J1044" s="270"/>
      <c r="K1044" s="263"/>
    </row>
    <row r="1045">
      <c r="A1045" s="269"/>
      <c r="B1045" s="264"/>
      <c r="C1045" s="266"/>
      <c r="D1045" s="266"/>
      <c r="E1045" s="270"/>
      <c r="F1045" s="270"/>
      <c r="G1045" s="270"/>
      <c r="H1045" s="266"/>
      <c r="I1045" s="270"/>
      <c r="J1045" s="270"/>
      <c r="K1045" s="263"/>
    </row>
    <row r="1046">
      <c r="A1046" s="269"/>
      <c r="B1046" s="264"/>
      <c r="C1046" s="266"/>
      <c r="D1046" s="266"/>
      <c r="E1046" s="270"/>
      <c r="F1046" s="270"/>
      <c r="G1046" s="270"/>
      <c r="H1046" s="266"/>
      <c r="I1046" s="270"/>
      <c r="J1046" s="270"/>
      <c r="K1046" s="263"/>
    </row>
    <row r="1047">
      <c r="A1047" s="269"/>
      <c r="B1047" s="264"/>
      <c r="C1047" s="266"/>
      <c r="D1047" s="266"/>
      <c r="E1047" s="270"/>
      <c r="F1047" s="270"/>
      <c r="G1047" s="270"/>
      <c r="H1047" s="266"/>
      <c r="I1047" s="270"/>
      <c r="J1047" s="270"/>
      <c r="K1047" s="263"/>
    </row>
    <row r="1048">
      <c r="A1048" s="269"/>
      <c r="B1048" s="264"/>
      <c r="C1048" s="266"/>
      <c r="D1048" s="266"/>
      <c r="E1048" s="270"/>
      <c r="F1048" s="270"/>
      <c r="G1048" s="270"/>
      <c r="H1048" s="266"/>
      <c r="I1048" s="270"/>
      <c r="J1048" s="270"/>
      <c r="K1048" s="263"/>
    </row>
    <row r="1049">
      <c r="A1049" s="269"/>
      <c r="B1049" s="264"/>
      <c r="C1049" s="266"/>
      <c r="D1049" s="266"/>
      <c r="E1049" s="270"/>
      <c r="F1049" s="270"/>
      <c r="G1049" s="270"/>
      <c r="H1049" s="266"/>
      <c r="I1049" s="270"/>
      <c r="J1049" s="270"/>
      <c r="K1049" s="263"/>
    </row>
    <row r="1050">
      <c r="A1050" s="269"/>
      <c r="B1050" s="264"/>
      <c r="C1050" s="266"/>
      <c r="D1050" s="266"/>
      <c r="E1050" s="270"/>
      <c r="F1050" s="270"/>
      <c r="G1050" s="270"/>
      <c r="H1050" s="266"/>
      <c r="I1050" s="270"/>
      <c r="J1050" s="270"/>
      <c r="K1050" s="263"/>
    </row>
    <row r="1051">
      <c r="A1051" s="269"/>
      <c r="B1051" s="264"/>
      <c r="C1051" s="266"/>
      <c r="D1051" s="266"/>
      <c r="E1051" s="270"/>
      <c r="F1051" s="270"/>
      <c r="G1051" s="270"/>
      <c r="H1051" s="266"/>
      <c r="I1051" s="270"/>
      <c r="J1051" s="270"/>
      <c r="K1051" s="263"/>
    </row>
    <row r="1052">
      <c r="A1052" s="269"/>
      <c r="B1052" s="264"/>
      <c r="C1052" s="266"/>
      <c r="D1052" s="266"/>
      <c r="E1052" s="270"/>
      <c r="F1052" s="270"/>
      <c r="G1052" s="270"/>
      <c r="H1052" s="266"/>
      <c r="I1052" s="270"/>
      <c r="J1052" s="270"/>
      <c r="K1052" s="263"/>
    </row>
    <row r="1053">
      <c r="A1053" s="269"/>
      <c r="B1053" s="264"/>
      <c r="C1053" s="266"/>
      <c r="D1053" s="266"/>
      <c r="E1053" s="270"/>
      <c r="F1053" s="270"/>
      <c r="G1053" s="270"/>
      <c r="H1053" s="266"/>
      <c r="I1053" s="270"/>
      <c r="J1053" s="270"/>
      <c r="K1053" s="263"/>
    </row>
    <row r="1054">
      <c r="A1054" s="269"/>
      <c r="B1054" s="264"/>
      <c r="C1054" s="266"/>
      <c r="D1054" s="266"/>
      <c r="E1054" s="270"/>
      <c r="F1054" s="270"/>
      <c r="G1054" s="270"/>
      <c r="H1054" s="266"/>
      <c r="I1054" s="270"/>
      <c r="J1054" s="270"/>
      <c r="K1054" s="263"/>
    </row>
    <row r="1055">
      <c r="A1055" s="269"/>
      <c r="B1055" s="264"/>
      <c r="C1055" s="266"/>
      <c r="D1055" s="266"/>
      <c r="E1055" s="270"/>
      <c r="F1055" s="270"/>
      <c r="G1055" s="270"/>
      <c r="H1055" s="266"/>
      <c r="I1055" s="270"/>
      <c r="J1055" s="270"/>
      <c r="K1055" s="263"/>
    </row>
    <row r="1056">
      <c r="A1056" s="269"/>
      <c r="B1056" s="264"/>
      <c r="C1056" s="266"/>
      <c r="D1056" s="266"/>
      <c r="E1056" s="270"/>
      <c r="F1056" s="270"/>
      <c r="G1056" s="270"/>
      <c r="H1056" s="266"/>
      <c r="I1056" s="270"/>
      <c r="J1056" s="270"/>
      <c r="K1056" s="263"/>
    </row>
    <row r="1057">
      <c r="A1057" s="269"/>
      <c r="B1057" s="264"/>
      <c r="C1057" s="266"/>
      <c r="D1057" s="266"/>
      <c r="E1057" s="270"/>
      <c r="F1057" s="270"/>
      <c r="G1057" s="270"/>
      <c r="H1057" s="266"/>
      <c r="I1057" s="270"/>
      <c r="J1057" s="270"/>
      <c r="K1057" s="263"/>
    </row>
    <row r="1058">
      <c r="A1058" s="269"/>
      <c r="B1058" s="264"/>
      <c r="C1058" s="266"/>
      <c r="D1058" s="266"/>
      <c r="E1058" s="270"/>
      <c r="F1058" s="270"/>
      <c r="G1058" s="270"/>
      <c r="H1058" s="266"/>
      <c r="I1058" s="270"/>
      <c r="J1058" s="270"/>
      <c r="K1058" s="263"/>
    </row>
    <row r="1059">
      <c r="A1059" s="269"/>
      <c r="B1059" s="264"/>
      <c r="C1059" s="266"/>
      <c r="D1059" s="266"/>
      <c r="E1059" s="270"/>
      <c r="F1059" s="270"/>
      <c r="G1059" s="270"/>
      <c r="H1059" s="266"/>
      <c r="I1059" s="270"/>
      <c r="J1059" s="270"/>
      <c r="K1059" s="263"/>
    </row>
    <row r="1060">
      <c r="A1060" s="269"/>
      <c r="B1060" s="264"/>
      <c r="C1060" s="266"/>
      <c r="D1060" s="266"/>
      <c r="E1060" s="270"/>
      <c r="F1060" s="270"/>
      <c r="G1060" s="270"/>
      <c r="H1060" s="266"/>
      <c r="I1060" s="270"/>
      <c r="J1060" s="270"/>
      <c r="K1060" s="263"/>
    </row>
    <row r="1061">
      <c r="A1061" s="269"/>
      <c r="B1061" s="264"/>
      <c r="C1061" s="266"/>
      <c r="D1061" s="266"/>
      <c r="E1061" s="270"/>
      <c r="F1061" s="270"/>
      <c r="G1061" s="270"/>
      <c r="H1061" s="266"/>
      <c r="I1061" s="270"/>
      <c r="J1061" s="270"/>
      <c r="K1061" s="263"/>
    </row>
    <row r="1062">
      <c r="A1062" s="269"/>
      <c r="B1062" s="264"/>
      <c r="C1062" s="266"/>
      <c r="D1062" s="266"/>
      <c r="E1062" s="270"/>
      <c r="F1062" s="270"/>
      <c r="G1062" s="270"/>
      <c r="H1062" s="266"/>
      <c r="I1062" s="270"/>
      <c r="J1062" s="270"/>
      <c r="K1062" s="263"/>
    </row>
    <row r="1063">
      <c r="A1063" s="269"/>
      <c r="B1063" s="264"/>
      <c r="C1063" s="266"/>
      <c r="D1063" s="266"/>
      <c r="E1063" s="270"/>
      <c r="F1063" s="270"/>
      <c r="G1063" s="270"/>
      <c r="H1063" s="266"/>
      <c r="I1063" s="270"/>
      <c r="J1063" s="270"/>
      <c r="K1063" s="263"/>
    </row>
    <row r="1064">
      <c r="A1064" s="269"/>
      <c r="B1064" s="264"/>
      <c r="C1064" s="266"/>
      <c r="D1064" s="266"/>
      <c r="E1064" s="270"/>
      <c r="F1064" s="270"/>
      <c r="G1064" s="270"/>
      <c r="H1064" s="266"/>
      <c r="I1064" s="270"/>
      <c r="J1064" s="270"/>
      <c r="K1064" s="263"/>
    </row>
    <row r="1065">
      <c r="A1065" s="269"/>
      <c r="B1065" s="264"/>
      <c r="C1065" s="266"/>
      <c r="D1065" s="266"/>
      <c r="E1065" s="270"/>
      <c r="F1065" s="270"/>
      <c r="G1065" s="270"/>
      <c r="H1065" s="266"/>
      <c r="I1065" s="270"/>
      <c r="J1065" s="270"/>
      <c r="K1065" s="263"/>
    </row>
    <row r="1066">
      <c r="A1066" s="269"/>
      <c r="B1066" s="264"/>
      <c r="C1066" s="266"/>
      <c r="D1066" s="266"/>
      <c r="E1066" s="270"/>
      <c r="F1066" s="270"/>
      <c r="G1066" s="270"/>
      <c r="H1066" s="266"/>
      <c r="I1066" s="270"/>
      <c r="J1066" s="270"/>
      <c r="K1066" s="263"/>
    </row>
    <row r="1067">
      <c r="A1067" s="269"/>
      <c r="B1067" s="264"/>
      <c r="C1067" s="266"/>
      <c r="D1067" s="266"/>
      <c r="E1067" s="270"/>
      <c r="F1067" s="270"/>
      <c r="G1067" s="270"/>
      <c r="H1067" s="266"/>
      <c r="I1067" s="270"/>
      <c r="J1067" s="270"/>
      <c r="K1067" s="263"/>
    </row>
    <row r="1068">
      <c r="A1068" s="269"/>
      <c r="B1068" s="264"/>
      <c r="C1068" s="266"/>
      <c r="D1068" s="266"/>
      <c r="E1068" s="270"/>
      <c r="F1068" s="270"/>
      <c r="G1068" s="270"/>
      <c r="H1068" s="266"/>
      <c r="I1068" s="270"/>
      <c r="J1068" s="270"/>
      <c r="K1068" s="263"/>
    </row>
    <row r="1069">
      <c r="A1069" s="269"/>
      <c r="B1069" s="264"/>
      <c r="C1069" s="266"/>
      <c r="D1069" s="266"/>
      <c r="E1069" s="270"/>
      <c r="F1069" s="270"/>
      <c r="G1069" s="270"/>
      <c r="H1069" s="266"/>
      <c r="I1069" s="270"/>
      <c r="J1069" s="270"/>
      <c r="K1069" s="263"/>
    </row>
    <row r="1070">
      <c r="A1070" s="269"/>
      <c r="B1070" s="264"/>
      <c r="C1070" s="266"/>
      <c r="D1070" s="266"/>
      <c r="E1070" s="270"/>
      <c r="F1070" s="270"/>
      <c r="G1070" s="270"/>
      <c r="H1070" s="266"/>
      <c r="I1070" s="270"/>
      <c r="J1070" s="270"/>
      <c r="K1070" s="263"/>
    </row>
    <row r="1071">
      <c r="A1071" s="269"/>
      <c r="B1071" s="264"/>
      <c r="C1071" s="266"/>
      <c r="D1071" s="266"/>
      <c r="E1071" s="270"/>
      <c r="F1071" s="270"/>
      <c r="G1071" s="270"/>
      <c r="H1071" s="266"/>
      <c r="I1071" s="270"/>
      <c r="J1071" s="270"/>
      <c r="K1071" s="263"/>
    </row>
    <row r="1072">
      <c r="A1072" s="269"/>
      <c r="B1072" s="264"/>
      <c r="C1072" s="266"/>
      <c r="D1072" s="266"/>
      <c r="E1072" s="270"/>
      <c r="F1072" s="270"/>
      <c r="G1072" s="270"/>
      <c r="H1072" s="266"/>
      <c r="I1072" s="270"/>
      <c r="J1072" s="270"/>
      <c r="K1072" s="263"/>
    </row>
    <row r="1073">
      <c r="A1073" s="269"/>
      <c r="B1073" s="264"/>
      <c r="C1073" s="266"/>
      <c r="D1073" s="266"/>
      <c r="E1073" s="270"/>
      <c r="F1073" s="270"/>
      <c r="G1073" s="270"/>
      <c r="H1073" s="266"/>
      <c r="I1073" s="270"/>
      <c r="J1073" s="270"/>
      <c r="K1073" s="263"/>
    </row>
    <row r="1074">
      <c r="A1074" s="269"/>
      <c r="B1074" s="264"/>
      <c r="C1074" s="266"/>
      <c r="D1074" s="266"/>
      <c r="E1074" s="270"/>
      <c r="F1074" s="270"/>
      <c r="G1074" s="270"/>
      <c r="H1074" s="266"/>
      <c r="I1074" s="270"/>
      <c r="J1074" s="270"/>
      <c r="K1074" s="263"/>
    </row>
    <row r="1075">
      <c r="A1075" s="269"/>
      <c r="B1075" s="264"/>
      <c r="C1075" s="266"/>
      <c r="D1075" s="266"/>
      <c r="E1075" s="270"/>
      <c r="F1075" s="270"/>
      <c r="G1075" s="270"/>
      <c r="H1075" s="266"/>
      <c r="I1075" s="270"/>
      <c r="J1075" s="270"/>
      <c r="K1075" s="263"/>
    </row>
    <row r="1076">
      <c r="A1076" s="269"/>
      <c r="B1076" s="264"/>
      <c r="C1076" s="266"/>
      <c r="D1076" s="266"/>
      <c r="E1076" s="270"/>
      <c r="F1076" s="270"/>
      <c r="G1076" s="270"/>
      <c r="H1076" s="266"/>
      <c r="I1076" s="270"/>
      <c r="J1076" s="270"/>
      <c r="K1076" s="263"/>
    </row>
    <row r="1077">
      <c r="A1077" s="269"/>
      <c r="B1077" s="264"/>
      <c r="C1077" s="266"/>
      <c r="D1077" s="266"/>
      <c r="E1077" s="270"/>
      <c r="F1077" s="270"/>
      <c r="G1077" s="270"/>
      <c r="H1077" s="266"/>
      <c r="I1077" s="270"/>
      <c r="J1077" s="270"/>
      <c r="K1077" s="263"/>
    </row>
    <row r="1078">
      <c r="A1078" s="269"/>
      <c r="B1078" s="264"/>
      <c r="C1078" s="266"/>
      <c r="D1078" s="266"/>
      <c r="E1078" s="270"/>
      <c r="F1078" s="270"/>
      <c r="G1078" s="270"/>
      <c r="H1078" s="266"/>
      <c r="I1078" s="270"/>
      <c r="J1078" s="270"/>
      <c r="K1078" s="263"/>
    </row>
    <row r="1079">
      <c r="A1079" s="269"/>
      <c r="B1079" s="264"/>
      <c r="C1079" s="266"/>
      <c r="D1079" s="266"/>
      <c r="E1079" s="270"/>
      <c r="F1079" s="270"/>
      <c r="G1079" s="270"/>
      <c r="H1079" s="266"/>
      <c r="I1079" s="270"/>
      <c r="J1079" s="270"/>
      <c r="K1079" s="263"/>
    </row>
    <row r="1080">
      <c r="A1080" s="269"/>
      <c r="B1080" s="264"/>
      <c r="C1080" s="266"/>
      <c r="D1080" s="266"/>
      <c r="E1080" s="270"/>
      <c r="F1080" s="270"/>
      <c r="G1080" s="270"/>
      <c r="H1080" s="266"/>
      <c r="I1080" s="270"/>
      <c r="J1080" s="270"/>
      <c r="K1080" s="263"/>
    </row>
    <row r="1081">
      <c r="A1081" s="269"/>
      <c r="B1081" s="264"/>
      <c r="C1081" s="266"/>
      <c r="D1081" s="266"/>
      <c r="E1081" s="270"/>
      <c r="F1081" s="270"/>
      <c r="G1081" s="270"/>
      <c r="H1081" s="266"/>
      <c r="I1081" s="270"/>
      <c r="J1081" s="270"/>
      <c r="K1081" s="263"/>
    </row>
    <row r="1082">
      <c r="A1082" s="269"/>
      <c r="B1082" s="264"/>
      <c r="C1082" s="266"/>
      <c r="D1082" s="266"/>
      <c r="E1082" s="270"/>
      <c r="F1082" s="270"/>
      <c r="G1082" s="270"/>
      <c r="H1082" s="266"/>
      <c r="I1082" s="270"/>
      <c r="J1082" s="270"/>
      <c r="K1082" s="263"/>
    </row>
    <row r="1083">
      <c r="A1083" s="269"/>
      <c r="B1083" s="264"/>
      <c r="C1083" s="266"/>
      <c r="D1083" s="266"/>
      <c r="E1083" s="270"/>
      <c r="F1083" s="270"/>
      <c r="G1083" s="270"/>
      <c r="H1083" s="266"/>
      <c r="I1083" s="270"/>
      <c r="J1083" s="270"/>
      <c r="K1083" s="263"/>
    </row>
    <row r="1084">
      <c r="A1084" s="269"/>
      <c r="B1084" s="264"/>
      <c r="C1084" s="266"/>
      <c r="D1084" s="266"/>
      <c r="E1084" s="270"/>
      <c r="F1084" s="270"/>
      <c r="G1084" s="270"/>
      <c r="H1084" s="266"/>
      <c r="I1084" s="270"/>
      <c r="J1084" s="270"/>
      <c r="K1084" s="263"/>
    </row>
    <row r="1085">
      <c r="A1085" s="269"/>
      <c r="B1085" s="264"/>
      <c r="C1085" s="266"/>
      <c r="D1085" s="266"/>
      <c r="E1085" s="270"/>
      <c r="F1085" s="270"/>
      <c r="G1085" s="270"/>
      <c r="H1085" s="266"/>
      <c r="I1085" s="270"/>
      <c r="J1085" s="270"/>
      <c r="K1085" s="263"/>
    </row>
    <row r="1086">
      <c r="A1086" s="269"/>
      <c r="B1086" s="264"/>
      <c r="C1086" s="266"/>
      <c r="D1086" s="266"/>
      <c r="E1086" s="270"/>
      <c r="F1086" s="270"/>
      <c r="G1086" s="270"/>
      <c r="H1086" s="266"/>
      <c r="I1086" s="270"/>
      <c r="J1086" s="270"/>
      <c r="K1086" s="263"/>
    </row>
    <row r="1087">
      <c r="A1087" s="269"/>
      <c r="B1087" s="264"/>
      <c r="C1087" s="266"/>
      <c r="D1087" s="266"/>
      <c r="E1087" s="270"/>
      <c r="F1087" s="270"/>
      <c r="G1087" s="270"/>
      <c r="H1087" s="266"/>
      <c r="I1087" s="270"/>
      <c r="J1087" s="270"/>
      <c r="K1087" s="263"/>
    </row>
    <row r="1088">
      <c r="A1088" s="269"/>
      <c r="B1088" s="264"/>
      <c r="C1088" s="266"/>
      <c r="D1088" s="266"/>
      <c r="E1088" s="270"/>
      <c r="F1088" s="270"/>
      <c r="G1088" s="270"/>
      <c r="H1088" s="266"/>
      <c r="I1088" s="270"/>
      <c r="J1088" s="270"/>
      <c r="K1088" s="263"/>
    </row>
    <row r="1089">
      <c r="A1089" s="269"/>
      <c r="B1089" s="264"/>
      <c r="C1089" s="266"/>
      <c r="D1089" s="266"/>
      <c r="E1089" s="270"/>
      <c r="F1089" s="270"/>
      <c r="G1089" s="270"/>
      <c r="H1089" s="266"/>
      <c r="I1089" s="270"/>
      <c r="J1089" s="270"/>
      <c r="K1089" s="263"/>
    </row>
    <row r="1090">
      <c r="A1090" s="269"/>
      <c r="B1090" s="264"/>
      <c r="C1090" s="266"/>
      <c r="D1090" s="266"/>
      <c r="E1090" s="270"/>
      <c r="F1090" s="270"/>
      <c r="G1090" s="270"/>
      <c r="H1090" s="266"/>
      <c r="I1090" s="270"/>
      <c r="J1090" s="270"/>
      <c r="K1090" s="263"/>
    </row>
    <row r="1091">
      <c r="A1091" s="269"/>
      <c r="B1091" s="264"/>
      <c r="C1091" s="266"/>
      <c r="D1091" s="266"/>
      <c r="E1091" s="270"/>
      <c r="F1091" s="270"/>
      <c r="G1091" s="270"/>
      <c r="H1091" s="266"/>
      <c r="I1091" s="270"/>
      <c r="J1091" s="270"/>
      <c r="K1091" s="263"/>
    </row>
    <row r="1092">
      <c r="A1092" s="269"/>
      <c r="B1092" s="264"/>
      <c r="C1092" s="266"/>
      <c r="D1092" s="266"/>
      <c r="E1092" s="270"/>
      <c r="F1092" s="270"/>
      <c r="G1092" s="270"/>
      <c r="H1092" s="266"/>
      <c r="I1092" s="270"/>
      <c r="J1092" s="270"/>
      <c r="K1092" s="263"/>
    </row>
    <row r="1093">
      <c r="A1093" s="269"/>
      <c r="B1093" s="264"/>
      <c r="C1093" s="266"/>
      <c r="D1093" s="266"/>
      <c r="E1093" s="270"/>
      <c r="F1093" s="270"/>
      <c r="G1093" s="270"/>
      <c r="H1093" s="266"/>
      <c r="I1093" s="270"/>
      <c r="J1093" s="270"/>
      <c r="K1093" s="263"/>
    </row>
    <row r="1094">
      <c r="A1094" s="269"/>
      <c r="B1094" s="264"/>
      <c r="C1094" s="266"/>
      <c r="D1094" s="266"/>
      <c r="E1094" s="270"/>
      <c r="F1094" s="270"/>
      <c r="G1094" s="270"/>
      <c r="H1094" s="266"/>
      <c r="I1094" s="270"/>
      <c r="J1094" s="270"/>
      <c r="K1094" s="263"/>
    </row>
    <row r="1095">
      <c r="A1095" s="269"/>
      <c r="B1095" s="264"/>
      <c r="C1095" s="266"/>
      <c r="D1095" s="266"/>
      <c r="E1095" s="270"/>
      <c r="F1095" s="270"/>
      <c r="G1095" s="270"/>
      <c r="H1095" s="266"/>
      <c r="I1095" s="270"/>
      <c r="J1095" s="270"/>
      <c r="K1095" s="263"/>
    </row>
    <row r="1096">
      <c r="A1096" s="269"/>
      <c r="B1096" s="264"/>
      <c r="C1096" s="266"/>
      <c r="D1096" s="266"/>
      <c r="E1096" s="270"/>
      <c r="F1096" s="270"/>
      <c r="G1096" s="270"/>
      <c r="H1096" s="266"/>
      <c r="I1096" s="270"/>
      <c r="J1096" s="270"/>
      <c r="K1096" s="263"/>
    </row>
    <row r="1097">
      <c r="A1097" s="269"/>
      <c r="B1097" s="264"/>
      <c r="C1097" s="266"/>
      <c r="D1097" s="266"/>
      <c r="E1097" s="270"/>
      <c r="F1097" s="270"/>
      <c r="G1097" s="270"/>
      <c r="H1097" s="266"/>
      <c r="I1097" s="270"/>
      <c r="J1097" s="270"/>
      <c r="K1097" s="263"/>
    </row>
    <row r="1098">
      <c r="A1098" s="269"/>
      <c r="B1098" s="264"/>
      <c r="C1098" s="266"/>
      <c r="D1098" s="266"/>
      <c r="E1098" s="270"/>
      <c r="F1098" s="270"/>
      <c r="G1098" s="270"/>
      <c r="H1098" s="266"/>
      <c r="I1098" s="270"/>
      <c r="J1098" s="270"/>
      <c r="K1098" s="263"/>
    </row>
    <row r="1099">
      <c r="A1099" s="269"/>
      <c r="B1099" s="264"/>
      <c r="C1099" s="266"/>
      <c r="D1099" s="266"/>
      <c r="E1099" s="270"/>
      <c r="F1099" s="270"/>
      <c r="G1099" s="270"/>
      <c r="H1099" s="266"/>
      <c r="I1099" s="270"/>
      <c r="J1099" s="270"/>
      <c r="K1099" s="263"/>
    </row>
    <row r="1100">
      <c r="A1100" s="269"/>
      <c r="B1100" s="264"/>
      <c r="C1100" s="266"/>
      <c r="D1100" s="266"/>
      <c r="E1100" s="270"/>
      <c r="F1100" s="270"/>
      <c r="G1100" s="270"/>
      <c r="H1100" s="266"/>
      <c r="I1100" s="270"/>
      <c r="J1100" s="270"/>
      <c r="K1100" s="263"/>
    </row>
    <row r="1101">
      <c r="A1101" s="269"/>
      <c r="B1101" s="264"/>
      <c r="C1101" s="266"/>
      <c r="D1101" s="266"/>
      <c r="E1101" s="270"/>
      <c r="F1101" s="270"/>
      <c r="G1101" s="270"/>
      <c r="H1101" s="266"/>
      <c r="I1101" s="270"/>
      <c r="J1101" s="270"/>
      <c r="K1101" s="263"/>
    </row>
    <row r="1102">
      <c r="A1102" s="269"/>
      <c r="B1102" s="264"/>
      <c r="C1102" s="266"/>
      <c r="D1102" s="266"/>
      <c r="E1102" s="270"/>
      <c r="F1102" s="270"/>
      <c r="G1102" s="270"/>
      <c r="H1102" s="266"/>
      <c r="I1102" s="270"/>
      <c r="J1102" s="270"/>
      <c r="K1102" s="263"/>
    </row>
    <row r="1103">
      <c r="A1103" s="269"/>
      <c r="B1103" s="264"/>
      <c r="C1103" s="266"/>
      <c r="D1103" s="266"/>
      <c r="E1103" s="270"/>
      <c r="F1103" s="270"/>
      <c r="G1103" s="270"/>
      <c r="H1103" s="266"/>
      <c r="I1103" s="270"/>
      <c r="J1103" s="270"/>
      <c r="K1103" s="263"/>
    </row>
    <row r="1104">
      <c r="A1104" s="269"/>
      <c r="B1104" s="264"/>
      <c r="C1104" s="266"/>
      <c r="D1104" s="266"/>
      <c r="E1104" s="270"/>
      <c r="F1104" s="270"/>
      <c r="G1104" s="270"/>
      <c r="H1104" s="266"/>
      <c r="I1104" s="270"/>
      <c r="J1104" s="270"/>
      <c r="K1104" s="263"/>
    </row>
    <row r="1105">
      <c r="A1105" s="269"/>
      <c r="B1105" s="264"/>
      <c r="C1105" s="266"/>
      <c r="D1105" s="266"/>
      <c r="E1105" s="270"/>
      <c r="F1105" s="270"/>
      <c r="G1105" s="270"/>
      <c r="H1105" s="266"/>
      <c r="I1105" s="270"/>
      <c r="J1105" s="270"/>
      <c r="K1105" s="263"/>
    </row>
    <row r="1106">
      <c r="A1106" s="269"/>
      <c r="B1106" s="264"/>
      <c r="C1106" s="266"/>
      <c r="D1106" s="266"/>
      <c r="E1106" s="270"/>
      <c r="F1106" s="270"/>
      <c r="G1106" s="270"/>
      <c r="H1106" s="266"/>
      <c r="I1106" s="270"/>
      <c r="J1106" s="270"/>
      <c r="K1106" s="263"/>
    </row>
    <row r="1107">
      <c r="A1107" s="269"/>
      <c r="B1107" s="264"/>
      <c r="C1107" s="266"/>
      <c r="D1107" s="266"/>
      <c r="E1107" s="270"/>
      <c r="F1107" s="270"/>
      <c r="G1107" s="270"/>
      <c r="H1107" s="266"/>
      <c r="I1107" s="270"/>
      <c r="J1107" s="270"/>
      <c r="K1107" s="263"/>
    </row>
    <row r="1108">
      <c r="A1108" s="269"/>
      <c r="B1108" s="264"/>
      <c r="C1108" s="266"/>
      <c r="D1108" s="266"/>
      <c r="E1108" s="270"/>
      <c r="F1108" s="270"/>
      <c r="G1108" s="270"/>
      <c r="H1108" s="266"/>
      <c r="I1108" s="270"/>
      <c r="J1108" s="270"/>
      <c r="K1108" s="263"/>
    </row>
    <row r="1109">
      <c r="A1109" s="269"/>
      <c r="B1109" s="264"/>
      <c r="C1109" s="266"/>
      <c r="D1109" s="266"/>
      <c r="E1109" s="270"/>
      <c r="F1109" s="270"/>
      <c r="G1109" s="270"/>
      <c r="H1109" s="266"/>
      <c r="I1109" s="270"/>
      <c r="J1109" s="270"/>
      <c r="K1109" s="263"/>
    </row>
    <row r="1110">
      <c r="A1110" s="269"/>
      <c r="B1110" s="264"/>
      <c r="C1110" s="266"/>
      <c r="D1110" s="266"/>
      <c r="E1110" s="270"/>
      <c r="F1110" s="270"/>
      <c r="G1110" s="270"/>
      <c r="H1110" s="266"/>
      <c r="I1110" s="270"/>
      <c r="J1110" s="270"/>
      <c r="K1110" s="263"/>
    </row>
    <row r="1111">
      <c r="A1111" s="269"/>
      <c r="B1111" s="264"/>
      <c r="C1111" s="266"/>
      <c r="D1111" s="266"/>
      <c r="E1111" s="270"/>
      <c r="F1111" s="270"/>
      <c r="G1111" s="270"/>
      <c r="H1111" s="266"/>
      <c r="I1111" s="270"/>
      <c r="J1111" s="270"/>
      <c r="K1111" s="263"/>
    </row>
    <row r="1112">
      <c r="A1112" s="269"/>
      <c r="B1112" s="264"/>
      <c r="C1112" s="266"/>
      <c r="D1112" s="266"/>
      <c r="E1112" s="270"/>
      <c r="F1112" s="270"/>
      <c r="G1112" s="270"/>
      <c r="H1112" s="266"/>
      <c r="I1112" s="270"/>
      <c r="J1112" s="270"/>
      <c r="K1112" s="263"/>
    </row>
    <row r="1113">
      <c r="A1113" s="269"/>
      <c r="B1113" s="264"/>
      <c r="C1113" s="266"/>
      <c r="D1113" s="266"/>
      <c r="E1113" s="270"/>
      <c r="F1113" s="270"/>
      <c r="G1113" s="270"/>
      <c r="H1113" s="266"/>
      <c r="I1113" s="270"/>
      <c r="J1113" s="270"/>
      <c r="K1113" s="263"/>
    </row>
    <row r="1114">
      <c r="A1114" s="269"/>
      <c r="B1114" s="264"/>
      <c r="C1114" s="266"/>
      <c r="D1114" s="266"/>
      <c r="E1114" s="270"/>
      <c r="F1114" s="270"/>
      <c r="G1114" s="270"/>
      <c r="H1114" s="266"/>
      <c r="I1114" s="270"/>
      <c r="J1114" s="270"/>
      <c r="K1114" s="263"/>
    </row>
    <row r="1115">
      <c r="A1115" s="269"/>
      <c r="B1115" s="264"/>
      <c r="C1115" s="266"/>
      <c r="D1115" s="266"/>
      <c r="E1115" s="270"/>
      <c r="F1115" s="270"/>
      <c r="G1115" s="270"/>
      <c r="H1115" s="266"/>
      <c r="I1115" s="270"/>
      <c r="J1115" s="270"/>
      <c r="K1115" s="263"/>
    </row>
    <row r="1116">
      <c r="A1116" s="269"/>
      <c r="B1116" s="264"/>
      <c r="C1116" s="266"/>
      <c r="D1116" s="266"/>
      <c r="E1116" s="270"/>
      <c r="F1116" s="270"/>
      <c r="G1116" s="270"/>
      <c r="H1116" s="266"/>
      <c r="I1116" s="270"/>
      <c r="J1116" s="270"/>
      <c r="K1116" s="263"/>
    </row>
    <row r="1117">
      <c r="A1117" s="269"/>
      <c r="B1117" s="264"/>
      <c r="C1117" s="266"/>
      <c r="D1117" s="266"/>
      <c r="E1117" s="270"/>
      <c r="F1117" s="270"/>
      <c r="G1117" s="270"/>
      <c r="H1117" s="266"/>
      <c r="I1117" s="270"/>
      <c r="J1117" s="270"/>
      <c r="K1117" s="263"/>
    </row>
    <row r="1118">
      <c r="A1118" s="269"/>
      <c r="B1118" s="264"/>
      <c r="C1118" s="266"/>
      <c r="D1118" s="266"/>
      <c r="E1118" s="270"/>
      <c r="F1118" s="270"/>
      <c r="G1118" s="270"/>
      <c r="H1118" s="266"/>
      <c r="I1118" s="270"/>
      <c r="J1118" s="270"/>
      <c r="K1118" s="263"/>
    </row>
    <row r="1119">
      <c r="A1119" s="269"/>
      <c r="B1119" s="264"/>
      <c r="C1119" s="266"/>
      <c r="D1119" s="266"/>
      <c r="E1119" s="270"/>
      <c r="F1119" s="270"/>
      <c r="G1119" s="270"/>
      <c r="H1119" s="266"/>
      <c r="I1119" s="270"/>
      <c r="J1119" s="270"/>
      <c r="K1119" s="263"/>
    </row>
    <row r="1120">
      <c r="A1120" s="269"/>
      <c r="B1120" s="264"/>
      <c r="C1120" s="266"/>
      <c r="D1120" s="266"/>
      <c r="E1120" s="270"/>
      <c r="F1120" s="270"/>
      <c r="G1120" s="270"/>
      <c r="H1120" s="266"/>
      <c r="I1120" s="270"/>
      <c r="J1120" s="270"/>
      <c r="K1120" s="263"/>
    </row>
    <row r="1121">
      <c r="A1121" s="269"/>
      <c r="B1121" s="264"/>
      <c r="C1121" s="266"/>
      <c r="D1121" s="266"/>
      <c r="E1121" s="270"/>
      <c r="F1121" s="270"/>
      <c r="G1121" s="270"/>
      <c r="H1121" s="266"/>
      <c r="I1121" s="270"/>
      <c r="J1121" s="270"/>
      <c r="K1121" s="263"/>
    </row>
    <row r="1122">
      <c r="A1122" s="269"/>
      <c r="B1122" s="264"/>
      <c r="C1122" s="266"/>
      <c r="D1122" s="266"/>
      <c r="E1122" s="270"/>
      <c r="F1122" s="270"/>
      <c r="G1122" s="270"/>
      <c r="H1122" s="266"/>
      <c r="I1122" s="270"/>
      <c r="J1122" s="270"/>
      <c r="K1122" s="263"/>
    </row>
    <row r="1123">
      <c r="A1123" s="269"/>
      <c r="B1123" s="264"/>
      <c r="C1123" s="266"/>
      <c r="D1123" s="266"/>
      <c r="E1123" s="270"/>
      <c r="F1123" s="270"/>
      <c r="G1123" s="270"/>
      <c r="H1123" s="266"/>
      <c r="I1123" s="270"/>
      <c r="J1123" s="270"/>
      <c r="K1123" s="263"/>
    </row>
    <row r="1124">
      <c r="A1124" s="269"/>
      <c r="B1124" s="264"/>
      <c r="C1124" s="266"/>
      <c r="D1124" s="266"/>
      <c r="E1124" s="270"/>
      <c r="F1124" s="270"/>
      <c r="G1124" s="270"/>
      <c r="H1124" s="266"/>
      <c r="I1124" s="270"/>
      <c r="J1124" s="270"/>
      <c r="K1124" s="263"/>
    </row>
    <row r="1125">
      <c r="A1125" s="269"/>
      <c r="B1125" s="264"/>
      <c r="C1125" s="266"/>
      <c r="D1125" s="266"/>
      <c r="E1125" s="270"/>
      <c r="F1125" s="270"/>
      <c r="G1125" s="270"/>
      <c r="H1125" s="266"/>
      <c r="I1125" s="270"/>
      <c r="J1125" s="270"/>
      <c r="K1125" s="263"/>
    </row>
    <row r="1126">
      <c r="A1126" s="269"/>
      <c r="B1126" s="264"/>
      <c r="C1126" s="266"/>
      <c r="D1126" s="266"/>
      <c r="E1126" s="270"/>
      <c r="F1126" s="270"/>
      <c r="G1126" s="270"/>
      <c r="H1126" s="266"/>
      <c r="I1126" s="270"/>
      <c r="J1126" s="270"/>
      <c r="K1126" s="263"/>
    </row>
    <row r="1127">
      <c r="A1127" s="269"/>
      <c r="B1127" s="264"/>
      <c r="C1127" s="266"/>
      <c r="D1127" s="266"/>
      <c r="E1127" s="270"/>
      <c r="F1127" s="270"/>
      <c r="G1127" s="270"/>
      <c r="H1127" s="266"/>
      <c r="I1127" s="270"/>
      <c r="J1127" s="270"/>
      <c r="K1127" s="263"/>
    </row>
    <row r="1128">
      <c r="A1128" s="269"/>
      <c r="B1128" s="264"/>
      <c r="C1128" s="266"/>
      <c r="D1128" s="266"/>
      <c r="E1128" s="270"/>
      <c r="F1128" s="270"/>
      <c r="G1128" s="270"/>
      <c r="H1128" s="266"/>
      <c r="I1128" s="270"/>
      <c r="J1128" s="270"/>
      <c r="K1128" s="263"/>
    </row>
    <row r="1129">
      <c r="A1129" s="269"/>
      <c r="B1129" s="264"/>
      <c r="C1129" s="266"/>
      <c r="D1129" s="266"/>
      <c r="E1129" s="270"/>
      <c r="F1129" s="270"/>
      <c r="G1129" s="270"/>
      <c r="H1129" s="266"/>
      <c r="I1129" s="270"/>
      <c r="J1129" s="270"/>
      <c r="K1129" s="263"/>
    </row>
    <row r="1130">
      <c r="A1130" s="269"/>
      <c r="B1130" s="264"/>
      <c r="C1130" s="266"/>
      <c r="D1130" s="266"/>
      <c r="E1130" s="270"/>
      <c r="F1130" s="270"/>
      <c r="G1130" s="270"/>
      <c r="H1130" s="266"/>
      <c r="I1130" s="270"/>
      <c r="J1130" s="270"/>
      <c r="K1130" s="263"/>
    </row>
    <row r="1131">
      <c r="A1131" s="269"/>
      <c r="B1131" s="264"/>
      <c r="C1131" s="266"/>
      <c r="D1131" s="266"/>
      <c r="E1131" s="270"/>
      <c r="F1131" s="270"/>
      <c r="G1131" s="270"/>
      <c r="H1131" s="266"/>
      <c r="I1131" s="270"/>
      <c r="J1131" s="270"/>
      <c r="K1131" s="263"/>
    </row>
    <row r="1132">
      <c r="A1132" s="269"/>
      <c r="B1132" s="264"/>
      <c r="C1132" s="266"/>
      <c r="D1132" s="266"/>
      <c r="E1132" s="270"/>
      <c r="F1132" s="270"/>
      <c r="G1132" s="270"/>
      <c r="H1132" s="266"/>
      <c r="I1132" s="270"/>
      <c r="J1132" s="270"/>
      <c r="K1132" s="263"/>
    </row>
    <row r="1133">
      <c r="A1133" s="269"/>
      <c r="B1133" s="264"/>
      <c r="C1133" s="266"/>
      <c r="D1133" s="266"/>
      <c r="E1133" s="270"/>
      <c r="F1133" s="270"/>
      <c r="G1133" s="270"/>
      <c r="H1133" s="266"/>
      <c r="I1133" s="270"/>
      <c r="J1133" s="270"/>
      <c r="K1133" s="263"/>
    </row>
    <row r="1134">
      <c r="A1134" s="269"/>
      <c r="B1134" s="264"/>
      <c r="C1134" s="266"/>
      <c r="D1134" s="266"/>
      <c r="E1134" s="270"/>
      <c r="F1134" s="270"/>
      <c r="G1134" s="270"/>
      <c r="H1134" s="266"/>
      <c r="I1134" s="270"/>
      <c r="J1134" s="270"/>
      <c r="K1134" s="263"/>
    </row>
    <row r="1135">
      <c r="A1135" s="269"/>
      <c r="B1135" s="264"/>
      <c r="C1135" s="266"/>
      <c r="D1135" s="266"/>
      <c r="E1135" s="270"/>
      <c r="F1135" s="270"/>
      <c r="G1135" s="270"/>
      <c r="H1135" s="266"/>
      <c r="I1135" s="270"/>
      <c r="J1135" s="270"/>
      <c r="K1135" s="263"/>
    </row>
    <row r="1136">
      <c r="A1136" s="269"/>
      <c r="B1136" s="264"/>
      <c r="C1136" s="266"/>
      <c r="D1136" s="266"/>
      <c r="E1136" s="270"/>
      <c r="F1136" s="270"/>
      <c r="G1136" s="270"/>
      <c r="H1136" s="266"/>
      <c r="I1136" s="270"/>
      <c r="J1136" s="270"/>
      <c r="K1136" s="263"/>
    </row>
    <row r="1137">
      <c r="A1137" s="269"/>
      <c r="B1137" s="264"/>
      <c r="C1137" s="266"/>
      <c r="D1137" s="266"/>
      <c r="E1137" s="270"/>
      <c r="F1137" s="270"/>
      <c r="G1137" s="270"/>
      <c r="H1137" s="266"/>
      <c r="I1137" s="270"/>
      <c r="J1137" s="270"/>
      <c r="K1137" s="263"/>
    </row>
    <row r="1138">
      <c r="A1138" s="269"/>
      <c r="B1138" s="264"/>
      <c r="C1138" s="266"/>
      <c r="D1138" s="266"/>
      <c r="E1138" s="270"/>
      <c r="F1138" s="270"/>
      <c r="G1138" s="270"/>
      <c r="H1138" s="266"/>
      <c r="I1138" s="270"/>
      <c r="J1138" s="270"/>
      <c r="K1138" s="263"/>
    </row>
    <row r="1139">
      <c r="A1139" s="269"/>
      <c r="B1139" s="264"/>
      <c r="C1139" s="266"/>
      <c r="D1139" s="266"/>
      <c r="E1139" s="270"/>
      <c r="F1139" s="270"/>
      <c r="G1139" s="270"/>
      <c r="H1139" s="266"/>
      <c r="I1139" s="270"/>
      <c r="J1139" s="270"/>
      <c r="K1139" s="263"/>
    </row>
    <row r="1140">
      <c r="A1140" s="269"/>
      <c r="B1140" s="264"/>
      <c r="C1140" s="266"/>
      <c r="D1140" s="266"/>
      <c r="E1140" s="270"/>
      <c r="F1140" s="270"/>
      <c r="G1140" s="270"/>
      <c r="H1140" s="266"/>
      <c r="I1140" s="270"/>
      <c r="J1140" s="270"/>
      <c r="K1140" s="263"/>
    </row>
    <row r="1141">
      <c r="A1141" s="269"/>
      <c r="B1141" s="264"/>
      <c r="C1141" s="266"/>
      <c r="D1141" s="266"/>
      <c r="E1141" s="270"/>
      <c r="F1141" s="270"/>
      <c r="G1141" s="270"/>
      <c r="H1141" s="266"/>
      <c r="I1141" s="270"/>
      <c r="J1141" s="270"/>
      <c r="K1141" s="263"/>
    </row>
    <row r="1142">
      <c r="A1142" s="269"/>
      <c r="B1142" s="264"/>
      <c r="C1142" s="266"/>
      <c r="D1142" s="266"/>
      <c r="E1142" s="270"/>
      <c r="F1142" s="270"/>
      <c r="G1142" s="270"/>
      <c r="H1142" s="266"/>
      <c r="I1142" s="270"/>
      <c r="J1142" s="270"/>
      <c r="K1142" s="263"/>
    </row>
    <row r="1143">
      <c r="A1143" s="269"/>
      <c r="B1143" s="264"/>
      <c r="C1143" s="266"/>
      <c r="D1143" s="266"/>
      <c r="E1143" s="270"/>
      <c r="F1143" s="270"/>
      <c r="G1143" s="270"/>
      <c r="H1143" s="266"/>
      <c r="I1143" s="270"/>
      <c r="J1143" s="270"/>
      <c r="K1143" s="263"/>
    </row>
    <row r="1144">
      <c r="A1144" s="269"/>
      <c r="B1144" s="264"/>
      <c r="C1144" s="266"/>
      <c r="D1144" s="266"/>
      <c r="E1144" s="270"/>
      <c r="F1144" s="270"/>
      <c r="G1144" s="270"/>
      <c r="H1144" s="266"/>
      <c r="I1144" s="270"/>
      <c r="J1144" s="270"/>
      <c r="K1144" s="263"/>
    </row>
    <row r="1145">
      <c r="A1145" s="269"/>
      <c r="B1145" s="264"/>
      <c r="C1145" s="266"/>
      <c r="D1145" s="266"/>
      <c r="E1145" s="270"/>
      <c r="F1145" s="270"/>
      <c r="G1145" s="270"/>
      <c r="H1145" s="266"/>
      <c r="I1145" s="270"/>
      <c r="J1145" s="270"/>
      <c r="K1145" s="263"/>
    </row>
    <row r="1146">
      <c r="A1146" s="269"/>
      <c r="B1146" s="264"/>
      <c r="C1146" s="266"/>
      <c r="D1146" s="266"/>
      <c r="E1146" s="270"/>
      <c r="F1146" s="270"/>
      <c r="G1146" s="270"/>
      <c r="H1146" s="266"/>
      <c r="I1146" s="270"/>
      <c r="J1146" s="270"/>
      <c r="K1146" s="263"/>
    </row>
    <row r="1147">
      <c r="A1147" s="269"/>
      <c r="B1147" s="264"/>
      <c r="C1147" s="266"/>
      <c r="D1147" s="266"/>
      <c r="E1147" s="270"/>
      <c r="F1147" s="270"/>
      <c r="G1147" s="270"/>
      <c r="H1147" s="266"/>
      <c r="I1147" s="270"/>
      <c r="J1147" s="270"/>
      <c r="K1147" s="263"/>
    </row>
    <row r="1148">
      <c r="A1148" s="269"/>
      <c r="B1148" s="264"/>
      <c r="C1148" s="266"/>
      <c r="D1148" s="266"/>
      <c r="E1148" s="270"/>
      <c r="F1148" s="270"/>
      <c r="G1148" s="270"/>
      <c r="H1148" s="266"/>
      <c r="I1148" s="270"/>
      <c r="J1148" s="270"/>
      <c r="K1148" s="263"/>
    </row>
    <row r="1149">
      <c r="A1149" s="269"/>
      <c r="B1149" s="264"/>
      <c r="C1149" s="266"/>
      <c r="D1149" s="266"/>
      <c r="E1149" s="270"/>
      <c r="F1149" s="270"/>
      <c r="G1149" s="270"/>
      <c r="H1149" s="266"/>
      <c r="I1149" s="270"/>
      <c r="J1149" s="270"/>
      <c r="K1149" s="263"/>
    </row>
    <row r="1150">
      <c r="A1150" s="269"/>
      <c r="B1150" s="264"/>
      <c r="C1150" s="266"/>
      <c r="D1150" s="266"/>
      <c r="E1150" s="270"/>
      <c r="F1150" s="270"/>
      <c r="G1150" s="270"/>
      <c r="H1150" s="266"/>
      <c r="I1150" s="270"/>
      <c r="J1150" s="270"/>
      <c r="K1150" s="263"/>
    </row>
    <row r="1151">
      <c r="A1151" s="269"/>
      <c r="B1151" s="264"/>
      <c r="C1151" s="266"/>
      <c r="D1151" s="266"/>
      <c r="E1151" s="270"/>
      <c r="F1151" s="270"/>
      <c r="G1151" s="270"/>
      <c r="H1151" s="266"/>
      <c r="I1151" s="270"/>
      <c r="J1151" s="270"/>
      <c r="K1151" s="263"/>
    </row>
    <row r="1152">
      <c r="A1152" s="269"/>
      <c r="B1152" s="264"/>
      <c r="C1152" s="266"/>
      <c r="D1152" s="266"/>
      <c r="E1152" s="270"/>
      <c r="F1152" s="270"/>
      <c r="G1152" s="270"/>
      <c r="H1152" s="266"/>
      <c r="I1152" s="270"/>
      <c r="J1152" s="270"/>
      <c r="K1152" s="263"/>
    </row>
    <row r="1153">
      <c r="A1153" s="269"/>
      <c r="B1153" s="264"/>
      <c r="C1153" s="266"/>
      <c r="D1153" s="266"/>
      <c r="E1153" s="270"/>
      <c r="F1153" s="270"/>
      <c r="G1153" s="270"/>
      <c r="H1153" s="266"/>
      <c r="I1153" s="270"/>
      <c r="J1153" s="270"/>
      <c r="K1153" s="263"/>
    </row>
    <row r="1154">
      <c r="A1154" s="269"/>
      <c r="B1154" s="264"/>
      <c r="C1154" s="266"/>
      <c r="D1154" s="266"/>
      <c r="E1154" s="270"/>
      <c r="F1154" s="270"/>
      <c r="G1154" s="270"/>
      <c r="H1154" s="266"/>
      <c r="I1154" s="270"/>
      <c r="J1154" s="270"/>
      <c r="K1154" s="263"/>
    </row>
    <row r="1155">
      <c r="A1155" s="269"/>
      <c r="B1155" s="264"/>
      <c r="C1155" s="266"/>
      <c r="D1155" s="266"/>
      <c r="E1155" s="270"/>
      <c r="F1155" s="270"/>
      <c r="G1155" s="270"/>
      <c r="H1155" s="266"/>
      <c r="I1155" s="270"/>
      <c r="J1155" s="270"/>
      <c r="K1155" s="263"/>
    </row>
    <row r="1156">
      <c r="A1156" s="269"/>
      <c r="B1156" s="264"/>
      <c r="C1156" s="266"/>
      <c r="D1156" s="266"/>
      <c r="E1156" s="270"/>
      <c r="F1156" s="270"/>
      <c r="G1156" s="270"/>
      <c r="H1156" s="266"/>
      <c r="I1156" s="270"/>
      <c r="J1156" s="270"/>
      <c r="K1156" s="263"/>
    </row>
    <row r="1157">
      <c r="A1157" s="269"/>
      <c r="B1157" s="264"/>
      <c r="C1157" s="266"/>
      <c r="D1157" s="266"/>
      <c r="E1157" s="270"/>
      <c r="F1157" s="270"/>
      <c r="G1157" s="270"/>
      <c r="H1157" s="266"/>
      <c r="I1157" s="270"/>
      <c r="J1157" s="270"/>
      <c r="K1157" s="263"/>
    </row>
    <row r="1158">
      <c r="A1158" s="269"/>
      <c r="B1158" s="264"/>
      <c r="C1158" s="266"/>
      <c r="D1158" s="266"/>
      <c r="E1158" s="270"/>
      <c r="F1158" s="270"/>
      <c r="G1158" s="270"/>
      <c r="H1158" s="266"/>
      <c r="I1158" s="270"/>
      <c r="J1158" s="270"/>
      <c r="K1158" s="263"/>
    </row>
    <row r="1159">
      <c r="A1159" s="269"/>
      <c r="B1159" s="264"/>
      <c r="C1159" s="266"/>
      <c r="D1159" s="266"/>
      <c r="E1159" s="270"/>
      <c r="F1159" s="270"/>
      <c r="G1159" s="270"/>
      <c r="H1159" s="266"/>
      <c r="I1159" s="270"/>
      <c r="J1159" s="270"/>
      <c r="K1159" s="263"/>
    </row>
    <row r="1160">
      <c r="A1160" s="269"/>
      <c r="B1160" s="264"/>
      <c r="C1160" s="266"/>
      <c r="D1160" s="266"/>
      <c r="E1160" s="270"/>
      <c r="F1160" s="270"/>
      <c r="G1160" s="270"/>
      <c r="H1160" s="266"/>
      <c r="I1160" s="270"/>
      <c r="J1160" s="270"/>
      <c r="K1160" s="263"/>
    </row>
    <row r="1161">
      <c r="A1161" s="269"/>
      <c r="B1161" s="264"/>
      <c r="C1161" s="266"/>
      <c r="D1161" s="266"/>
      <c r="E1161" s="270"/>
      <c r="F1161" s="270"/>
      <c r="G1161" s="270"/>
      <c r="H1161" s="266"/>
      <c r="I1161" s="270"/>
      <c r="J1161" s="270"/>
      <c r="K1161" s="263"/>
    </row>
    <row r="1162">
      <c r="A1162" s="269"/>
      <c r="B1162" s="264"/>
      <c r="C1162" s="266"/>
      <c r="D1162" s="266"/>
      <c r="E1162" s="270"/>
      <c r="F1162" s="270"/>
      <c r="G1162" s="270"/>
      <c r="H1162" s="266"/>
      <c r="I1162" s="270"/>
      <c r="J1162" s="270"/>
      <c r="K1162" s="263"/>
    </row>
    <row r="1163">
      <c r="A1163" s="269"/>
      <c r="B1163" s="264"/>
      <c r="C1163" s="266"/>
      <c r="D1163" s="266"/>
      <c r="E1163" s="270"/>
      <c r="F1163" s="270"/>
      <c r="G1163" s="270"/>
      <c r="H1163" s="266"/>
      <c r="I1163" s="270"/>
      <c r="J1163" s="270"/>
      <c r="K1163" s="263"/>
    </row>
    <row r="1164">
      <c r="A1164" s="269"/>
      <c r="B1164" s="264"/>
      <c r="C1164" s="266"/>
      <c r="D1164" s="266"/>
      <c r="E1164" s="270"/>
      <c r="F1164" s="270"/>
      <c r="G1164" s="270"/>
      <c r="H1164" s="266"/>
      <c r="I1164" s="270"/>
      <c r="J1164" s="270"/>
      <c r="K1164" s="263"/>
    </row>
    <row r="1165">
      <c r="A1165" s="269"/>
      <c r="B1165" s="264"/>
      <c r="C1165" s="266"/>
      <c r="D1165" s="266"/>
      <c r="E1165" s="270"/>
      <c r="F1165" s="270"/>
      <c r="G1165" s="270"/>
      <c r="H1165" s="266"/>
      <c r="I1165" s="270"/>
      <c r="J1165" s="270"/>
      <c r="K1165" s="263"/>
    </row>
    <row r="1166">
      <c r="A1166" s="269"/>
      <c r="B1166" s="264"/>
      <c r="C1166" s="266"/>
      <c r="D1166" s="266"/>
      <c r="E1166" s="270"/>
      <c r="F1166" s="270"/>
      <c r="G1166" s="270"/>
      <c r="H1166" s="266"/>
      <c r="I1166" s="270"/>
      <c r="J1166" s="270"/>
      <c r="K1166" s="263"/>
    </row>
    <row r="1167">
      <c r="A1167" s="269"/>
      <c r="B1167" s="264"/>
      <c r="C1167" s="266"/>
      <c r="D1167" s="266"/>
      <c r="E1167" s="270"/>
      <c r="F1167" s="270"/>
      <c r="G1167" s="270"/>
      <c r="H1167" s="266"/>
      <c r="I1167" s="270"/>
      <c r="J1167" s="270"/>
      <c r="K1167" s="263"/>
    </row>
    <row r="1168">
      <c r="A1168" s="269"/>
      <c r="B1168" s="264"/>
      <c r="C1168" s="266"/>
      <c r="D1168" s="266"/>
      <c r="E1168" s="270"/>
      <c r="F1168" s="270"/>
      <c r="G1168" s="270"/>
      <c r="H1168" s="266"/>
      <c r="I1168" s="270"/>
      <c r="J1168" s="270"/>
      <c r="K1168" s="263"/>
    </row>
    <row r="1169">
      <c r="A1169" s="269"/>
      <c r="B1169" s="264"/>
      <c r="C1169" s="266"/>
      <c r="D1169" s="266"/>
      <c r="E1169" s="270"/>
      <c r="F1169" s="270"/>
      <c r="G1169" s="270"/>
      <c r="H1169" s="266"/>
      <c r="I1169" s="270"/>
      <c r="J1169" s="270"/>
      <c r="K1169" s="263"/>
    </row>
    <row r="1170">
      <c r="A1170" s="269"/>
      <c r="B1170" s="264"/>
      <c r="C1170" s="266"/>
      <c r="D1170" s="266"/>
      <c r="E1170" s="270"/>
      <c r="F1170" s="270"/>
      <c r="G1170" s="270"/>
      <c r="H1170" s="266"/>
      <c r="I1170" s="270"/>
      <c r="J1170" s="270"/>
      <c r="K1170" s="263"/>
    </row>
    <row r="1171">
      <c r="A1171" s="269"/>
      <c r="B1171" s="264"/>
      <c r="C1171" s="266"/>
      <c r="D1171" s="266"/>
      <c r="E1171" s="270"/>
      <c r="F1171" s="270"/>
      <c r="G1171" s="270"/>
      <c r="H1171" s="266"/>
      <c r="I1171" s="270"/>
      <c r="J1171" s="270"/>
      <c r="K1171" s="263"/>
    </row>
    <row r="1172">
      <c r="A1172" s="269"/>
      <c r="B1172" s="264"/>
      <c r="C1172" s="266"/>
      <c r="D1172" s="266"/>
      <c r="E1172" s="270"/>
      <c r="F1172" s="270"/>
      <c r="G1172" s="270"/>
      <c r="H1172" s="266"/>
      <c r="I1172" s="270"/>
      <c r="J1172" s="270"/>
      <c r="K1172" s="263"/>
    </row>
    <row r="1173">
      <c r="A1173" s="269"/>
      <c r="B1173" s="264"/>
      <c r="C1173" s="266"/>
      <c r="D1173" s="266"/>
      <c r="E1173" s="270"/>
      <c r="F1173" s="270"/>
      <c r="G1173" s="270"/>
      <c r="H1173" s="266"/>
      <c r="I1173" s="270"/>
      <c r="J1173" s="270"/>
      <c r="K1173" s="263"/>
    </row>
    <row r="1174">
      <c r="A1174" s="269"/>
      <c r="B1174" s="264"/>
      <c r="C1174" s="266"/>
      <c r="D1174" s="266"/>
      <c r="E1174" s="270"/>
      <c r="F1174" s="270"/>
      <c r="G1174" s="270"/>
      <c r="H1174" s="266"/>
      <c r="I1174" s="270"/>
      <c r="J1174" s="270"/>
      <c r="K1174" s="263"/>
    </row>
    <row r="1175">
      <c r="A1175" s="269"/>
      <c r="B1175" s="264"/>
      <c r="C1175" s="266"/>
      <c r="D1175" s="266"/>
      <c r="E1175" s="270"/>
      <c r="F1175" s="270"/>
      <c r="G1175" s="270"/>
      <c r="H1175" s="266"/>
      <c r="I1175" s="270"/>
      <c r="J1175" s="270"/>
      <c r="K1175" s="263"/>
    </row>
    <row r="1176">
      <c r="A1176" s="269"/>
      <c r="B1176" s="264"/>
      <c r="C1176" s="266"/>
      <c r="D1176" s="266"/>
      <c r="E1176" s="270"/>
      <c r="F1176" s="270"/>
      <c r="G1176" s="270"/>
      <c r="H1176" s="266"/>
      <c r="I1176" s="270"/>
      <c r="J1176" s="270"/>
      <c r="K1176" s="263"/>
    </row>
    <row r="1177">
      <c r="A1177" s="269"/>
      <c r="B1177" s="264"/>
      <c r="C1177" s="266"/>
      <c r="D1177" s="266"/>
      <c r="E1177" s="270"/>
      <c r="F1177" s="270"/>
      <c r="G1177" s="270"/>
      <c r="H1177" s="266"/>
      <c r="I1177" s="270"/>
      <c r="J1177" s="270"/>
      <c r="K1177" s="263"/>
    </row>
    <row r="1178">
      <c r="A1178" s="269"/>
      <c r="B1178" s="264"/>
      <c r="C1178" s="266"/>
      <c r="D1178" s="266"/>
      <c r="E1178" s="270"/>
      <c r="F1178" s="270"/>
      <c r="G1178" s="270"/>
      <c r="H1178" s="266"/>
      <c r="I1178" s="270"/>
      <c r="J1178" s="270"/>
      <c r="K1178" s="263"/>
    </row>
    <row r="1179">
      <c r="A1179" s="269"/>
      <c r="B1179" s="264"/>
      <c r="C1179" s="266"/>
      <c r="D1179" s="266"/>
      <c r="E1179" s="270"/>
      <c r="F1179" s="270"/>
      <c r="G1179" s="270"/>
      <c r="H1179" s="266"/>
      <c r="I1179" s="270"/>
      <c r="J1179" s="270"/>
      <c r="K1179" s="263"/>
    </row>
    <row r="1180">
      <c r="A1180" s="269"/>
      <c r="B1180" s="264"/>
      <c r="C1180" s="266"/>
      <c r="D1180" s="266"/>
      <c r="E1180" s="270"/>
      <c r="F1180" s="270"/>
      <c r="G1180" s="270"/>
      <c r="H1180" s="266"/>
      <c r="I1180" s="270"/>
      <c r="J1180" s="270"/>
      <c r="K1180" s="263"/>
    </row>
    <row r="1181">
      <c r="A1181" s="269"/>
      <c r="B1181" s="264"/>
      <c r="C1181" s="266"/>
      <c r="D1181" s="266"/>
      <c r="E1181" s="270"/>
      <c r="F1181" s="270"/>
      <c r="G1181" s="270"/>
      <c r="H1181" s="266"/>
      <c r="I1181" s="270"/>
      <c r="J1181" s="270"/>
      <c r="K1181" s="263"/>
    </row>
    <row r="1182">
      <c r="A1182" s="269"/>
      <c r="B1182" s="264"/>
      <c r="C1182" s="266"/>
      <c r="D1182" s="266"/>
      <c r="E1182" s="270"/>
      <c r="F1182" s="270"/>
      <c r="G1182" s="270"/>
      <c r="H1182" s="266"/>
      <c r="I1182" s="270"/>
      <c r="J1182" s="270"/>
      <c r="K1182" s="263"/>
    </row>
    <row r="1183">
      <c r="A1183" s="269"/>
      <c r="B1183" s="264"/>
      <c r="C1183" s="266"/>
      <c r="D1183" s="266"/>
      <c r="E1183" s="270"/>
      <c r="F1183" s="270"/>
      <c r="G1183" s="270"/>
      <c r="H1183" s="266"/>
      <c r="I1183" s="270"/>
      <c r="J1183" s="270"/>
      <c r="K1183" s="263"/>
    </row>
    <row r="1184">
      <c r="A1184" s="269"/>
      <c r="B1184" s="264"/>
      <c r="C1184" s="266"/>
      <c r="D1184" s="266"/>
      <c r="E1184" s="270"/>
      <c r="F1184" s="270"/>
      <c r="G1184" s="270"/>
      <c r="H1184" s="266"/>
      <c r="I1184" s="270"/>
      <c r="J1184" s="270"/>
      <c r="K1184" s="263"/>
    </row>
    <row r="1185">
      <c r="A1185" s="269"/>
      <c r="B1185" s="264"/>
      <c r="C1185" s="266"/>
      <c r="D1185" s="266"/>
      <c r="E1185" s="270"/>
      <c r="F1185" s="270"/>
      <c r="G1185" s="270"/>
      <c r="H1185" s="266"/>
      <c r="I1185" s="270"/>
      <c r="J1185" s="270"/>
      <c r="K1185" s="263"/>
    </row>
    <row r="1186">
      <c r="A1186" s="269"/>
      <c r="B1186" s="264"/>
      <c r="C1186" s="266"/>
      <c r="D1186" s="266"/>
      <c r="E1186" s="270"/>
      <c r="F1186" s="270"/>
      <c r="G1186" s="270"/>
      <c r="H1186" s="266"/>
      <c r="I1186" s="270"/>
      <c r="J1186" s="270"/>
      <c r="K1186" s="263"/>
    </row>
    <row r="1187">
      <c r="A1187" s="269"/>
      <c r="B1187" s="264"/>
      <c r="C1187" s="266"/>
      <c r="D1187" s="266"/>
      <c r="E1187" s="270"/>
      <c r="F1187" s="270"/>
      <c r="G1187" s="270"/>
      <c r="H1187" s="266"/>
      <c r="I1187" s="270"/>
      <c r="J1187" s="270"/>
      <c r="K1187" s="263"/>
    </row>
    <row r="1188">
      <c r="A1188" s="269"/>
      <c r="B1188" s="264"/>
      <c r="C1188" s="266"/>
      <c r="D1188" s="266"/>
      <c r="E1188" s="270"/>
      <c r="F1188" s="270"/>
      <c r="G1188" s="270"/>
      <c r="H1188" s="266"/>
      <c r="I1188" s="270"/>
      <c r="J1188" s="270"/>
      <c r="K1188" s="263"/>
    </row>
    <row r="1189">
      <c r="A1189" s="269"/>
      <c r="B1189" s="264"/>
      <c r="C1189" s="266"/>
      <c r="D1189" s="266"/>
      <c r="E1189" s="270"/>
      <c r="F1189" s="270"/>
      <c r="G1189" s="270"/>
      <c r="H1189" s="266"/>
      <c r="I1189" s="270"/>
      <c r="J1189" s="270"/>
      <c r="K1189" s="263"/>
    </row>
    <row r="1190">
      <c r="A1190" s="269"/>
      <c r="B1190" s="264"/>
      <c r="C1190" s="266"/>
      <c r="D1190" s="266"/>
      <c r="E1190" s="270"/>
      <c r="F1190" s="270"/>
      <c r="G1190" s="270"/>
      <c r="H1190" s="266"/>
      <c r="I1190" s="270"/>
      <c r="J1190" s="270"/>
      <c r="K1190" s="263"/>
    </row>
    <row r="1191">
      <c r="A1191" s="269"/>
      <c r="B1191" s="264"/>
      <c r="C1191" s="266"/>
      <c r="D1191" s="266"/>
      <c r="E1191" s="270"/>
      <c r="F1191" s="270"/>
      <c r="G1191" s="270"/>
      <c r="H1191" s="266"/>
      <c r="I1191" s="270"/>
      <c r="J1191" s="270"/>
      <c r="K1191" s="263"/>
    </row>
    <row r="1192">
      <c r="A1192" s="269"/>
      <c r="B1192" s="264"/>
      <c r="C1192" s="266"/>
      <c r="D1192" s="266"/>
      <c r="E1192" s="270"/>
      <c r="F1192" s="270"/>
      <c r="G1192" s="270"/>
      <c r="H1192" s="266"/>
      <c r="I1192" s="270"/>
      <c r="J1192" s="270"/>
      <c r="K1192" s="263"/>
    </row>
    <row r="1193">
      <c r="A1193" s="269"/>
      <c r="B1193" s="264"/>
      <c r="C1193" s="266"/>
      <c r="D1193" s="266"/>
      <c r="E1193" s="270"/>
      <c r="F1193" s="270"/>
      <c r="G1193" s="270"/>
      <c r="H1193" s="266"/>
      <c r="I1193" s="270"/>
      <c r="J1193" s="270"/>
      <c r="K1193" s="263"/>
    </row>
    <row r="1194">
      <c r="A1194" s="269"/>
      <c r="B1194" s="264"/>
      <c r="C1194" s="266"/>
      <c r="D1194" s="266"/>
      <c r="E1194" s="270"/>
      <c r="F1194" s="270"/>
      <c r="G1194" s="270"/>
      <c r="H1194" s="266"/>
      <c r="I1194" s="270"/>
      <c r="J1194" s="270"/>
      <c r="K1194" s="263"/>
    </row>
    <row r="1195">
      <c r="A1195" s="269"/>
      <c r="B1195" s="264"/>
      <c r="C1195" s="266"/>
      <c r="D1195" s="266"/>
      <c r="E1195" s="270"/>
      <c r="F1195" s="270"/>
      <c r="G1195" s="270"/>
      <c r="H1195" s="266"/>
      <c r="I1195" s="270"/>
      <c r="J1195" s="270"/>
      <c r="K1195" s="263"/>
    </row>
    <row r="1196">
      <c r="A1196" s="269"/>
      <c r="B1196" s="264"/>
      <c r="C1196" s="266"/>
      <c r="D1196" s="266"/>
      <c r="E1196" s="270"/>
      <c r="F1196" s="270"/>
      <c r="G1196" s="270"/>
      <c r="H1196" s="266"/>
      <c r="I1196" s="270"/>
      <c r="J1196" s="270"/>
      <c r="K1196" s="263"/>
    </row>
    <row r="1197">
      <c r="A1197" s="269"/>
      <c r="B1197" s="264"/>
      <c r="C1197" s="266"/>
      <c r="D1197" s="266"/>
      <c r="E1197" s="270"/>
      <c r="F1197" s="270"/>
      <c r="G1197" s="270"/>
      <c r="H1197" s="266"/>
      <c r="I1197" s="270"/>
      <c r="J1197" s="270"/>
      <c r="K1197" s="263"/>
    </row>
    <row r="1198">
      <c r="A1198" s="269"/>
      <c r="B1198" s="264"/>
      <c r="C1198" s="266"/>
      <c r="D1198" s="266"/>
      <c r="E1198" s="270"/>
      <c r="F1198" s="270"/>
      <c r="G1198" s="270"/>
      <c r="H1198" s="266"/>
      <c r="I1198" s="270"/>
      <c r="J1198" s="270"/>
      <c r="K1198" s="263"/>
    </row>
    <row r="1199">
      <c r="A1199" s="269"/>
      <c r="B1199" s="264"/>
      <c r="C1199" s="266"/>
      <c r="D1199" s="266"/>
      <c r="E1199" s="270"/>
      <c r="F1199" s="270"/>
      <c r="G1199" s="270"/>
      <c r="H1199" s="266"/>
      <c r="I1199" s="270"/>
      <c r="J1199" s="270"/>
      <c r="K1199" s="263"/>
    </row>
    <row r="1200">
      <c r="A1200" s="269"/>
      <c r="B1200" s="264"/>
      <c r="C1200" s="266"/>
      <c r="D1200" s="266"/>
      <c r="E1200" s="270"/>
      <c r="F1200" s="270"/>
      <c r="G1200" s="270"/>
      <c r="H1200" s="266"/>
      <c r="I1200" s="270"/>
      <c r="J1200" s="270"/>
      <c r="K1200" s="263"/>
    </row>
    <row r="1201">
      <c r="A1201" s="269"/>
      <c r="B1201" s="264"/>
      <c r="C1201" s="266"/>
      <c r="D1201" s="266"/>
      <c r="E1201" s="270"/>
      <c r="F1201" s="270"/>
      <c r="G1201" s="270"/>
      <c r="H1201" s="266"/>
      <c r="I1201" s="270"/>
      <c r="J1201" s="270"/>
      <c r="K1201" s="263"/>
    </row>
    <row r="1202">
      <c r="A1202" s="269"/>
      <c r="B1202" s="264"/>
      <c r="C1202" s="266"/>
      <c r="D1202" s="266"/>
      <c r="E1202" s="270"/>
      <c r="F1202" s="270"/>
      <c r="G1202" s="270"/>
      <c r="H1202" s="266"/>
      <c r="I1202" s="270"/>
      <c r="J1202" s="270"/>
      <c r="K1202" s="263"/>
    </row>
    <row r="1203">
      <c r="A1203" s="269"/>
      <c r="B1203" s="264"/>
      <c r="C1203" s="266"/>
      <c r="D1203" s="266"/>
      <c r="E1203" s="270"/>
      <c r="F1203" s="270"/>
      <c r="G1203" s="270"/>
      <c r="H1203" s="266"/>
      <c r="I1203" s="270"/>
      <c r="J1203" s="270"/>
      <c r="K1203" s="263"/>
    </row>
    <row r="1204">
      <c r="A1204" s="269"/>
      <c r="B1204" s="264"/>
      <c r="C1204" s="266"/>
      <c r="D1204" s="266"/>
      <c r="E1204" s="270"/>
      <c r="F1204" s="270"/>
      <c r="G1204" s="270"/>
      <c r="H1204" s="266"/>
      <c r="I1204" s="270"/>
      <c r="J1204" s="270"/>
      <c r="K1204" s="263"/>
    </row>
    <row r="1205">
      <c r="A1205" s="269"/>
      <c r="B1205" s="264"/>
      <c r="C1205" s="266"/>
      <c r="D1205" s="266"/>
      <c r="E1205" s="270"/>
      <c r="F1205" s="270"/>
      <c r="G1205" s="270"/>
      <c r="H1205" s="266"/>
      <c r="I1205" s="270"/>
      <c r="J1205" s="270"/>
      <c r="K1205" s="263"/>
    </row>
    <row r="1206">
      <c r="A1206" s="269"/>
      <c r="B1206" s="264"/>
      <c r="C1206" s="266"/>
      <c r="D1206" s="266"/>
      <c r="E1206" s="270"/>
      <c r="F1206" s="270"/>
      <c r="G1206" s="270"/>
      <c r="H1206" s="266"/>
      <c r="I1206" s="270"/>
      <c r="J1206" s="270"/>
      <c r="K1206" s="263"/>
    </row>
    <row r="1207">
      <c r="A1207" s="269"/>
      <c r="B1207" s="264"/>
      <c r="C1207" s="266"/>
      <c r="D1207" s="266"/>
      <c r="E1207" s="270"/>
      <c r="F1207" s="270"/>
      <c r="G1207" s="270"/>
      <c r="H1207" s="266"/>
      <c r="I1207" s="270"/>
      <c r="J1207" s="270"/>
      <c r="K1207" s="263"/>
    </row>
    <row r="1208">
      <c r="A1208" s="269"/>
      <c r="B1208" s="264"/>
      <c r="C1208" s="266"/>
      <c r="D1208" s="266"/>
      <c r="E1208" s="270"/>
      <c r="F1208" s="270"/>
      <c r="G1208" s="270"/>
      <c r="H1208" s="266"/>
      <c r="I1208" s="270"/>
      <c r="J1208" s="270"/>
      <c r="K1208" s="263"/>
    </row>
    <row r="1209">
      <c r="A1209" s="269"/>
      <c r="B1209" s="264"/>
      <c r="C1209" s="266"/>
      <c r="D1209" s="266"/>
      <c r="E1209" s="270"/>
      <c r="F1209" s="270"/>
      <c r="G1209" s="270"/>
      <c r="H1209" s="266"/>
      <c r="I1209" s="270"/>
      <c r="J1209" s="270"/>
      <c r="K1209" s="263"/>
    </row>
    <row r="1210">
      <c r="A1210" s="269"/>
      <c r="B1210" s="264"/>
      <c r="C1210" s="266"/>
      <c r="D1210" s="266"/>
      <c r="E1210" s="270"/>
      <c r="F1210" s="270"/>
      <c r="G1210" s="270"/>
      <c r="H1210" s="266"/>
      <c r="I1210" s="270"/>
      <c r="J1210" s="270"/>
      <c r="K1210" s="263"/>
    </row>
    <row r="1211">
      <c r="A1211" s="269"/>
      <c r="B1211" s="264"/>
      <c r="C1211" s="266"/>
      <c r="D1211" s="266"/>
      <c r="E1211" s="270"/>
      <c r="F1211" s="270"/>
      <c r="G1211" s="270"/>
      <c r="H1211" s="266"/>
      <c r="I1211" s="270"/>
      <c r="J1211" s="270"/>
      <c r="K1211" s="263"/>
    </row>
    <row r="1212">
      <c r="A1212" s="269"/>
      <c r="B1212" s="264"/>
      <c r="C1212" s="266"/>
      <c r="D1212" s="266"/>
      <c r="E1212" s="270"/>
      <c r="F1212" s="270"/>
      <c r="G1212" s="270"/>
      <c r="H1212" s="266"/>
      <c r="I1212" s="270"/>
      <c r="J1212" s="270"/>
      <c r="K1212" s="263"/>
    </row>
    <row r="1213">
      <c r="A1213" s="269"/>
      <c r="B1213" s="264"/>
      <c r="C1213" s="266"/>
      <c r="D1213" s="266"/>
      <c r="E1213" s="270"/>
      <c r="F1213" s="270"/>
      <c r="G1213" s="270"/>
      <c r="H1213" s="266"/>
      <c r="I1213" s="270"/>
      <c r="J1213" s="270"/>
      <c r="K1213" s="263"/>
    </row>
    <row r="1214">
      <c r="A1214" s="269"/>
      <c r="B1214" s="264"/>
      <c r="C1214" s="266"/>
      <c r="D1214" s="266"/>
      <c r="E1214" s="270"/>
      <c r="F1214" s="270"/>
      <c r="G1214" s="270"/>
      <c r="H1214" s="266"/>
      <c r="I1214" s="270"/>
      <c r="J1214" s="270"/>
      <c r="K1214" s="263"/>
    </row>
    <row r="1215">
      <c r="A1215" s="269"/>
      <c r="B1215" s="264"/>
      <c r="C1215" s="266"/>
      <c r="D1215" s="266"/>
      <c r="E1215" s="270"/>
      <c r="F1215" s="270"/>
      <c r="G1215" s="270"/>
      <c r="H1215" s="266"/>
      <c r="I1215" s="270"/>
      <c r="J1215" s="270"/>
      <c r="K1215" s="263"/>
    </row>
    <row r="1216">
      <c r="A1216" s="269"/>
      <c r="B1216" s="264"/>
      <c r="C1216" s="266"/>
      <c r="D1216" s="266"/>
      <c r="E1216" s="270"/>
      <c r="F1216" s="270"/>
      <c r="G1216" s="270"/>
      <c r="H1216" s="266"/>
      <c r="I1216" s="270"/>
      <c r="J1216" s="270"/>
      <c r="K1216" s="263"/>
    </row>
    <row r="1217">
      <c r="A1217" s="269"/>
      <c r="B1217" s="264"/>
      <c r="C1217" s="266"/>
      <c r="D1217" s="266"/>
      <c r="E1217" s="270"/>
      <c r="F1217" s="270"/>
      <c r="G1217" s="270"/>
      <c r="H1217" s="266"/>
      <c r="I1217" s="270"/>
      <c r="J1217" s="270"/>
      <c r="K1217" s="263"/>
    </row>
    <row r="1218">
      <c r="A1218" s="269"/>
      <c r="B1218" s="264"/>
      <c r="C1218" s="266"/>
      <c r="D1218" s="266"/>
      <c r="E1218" s="270"/>
      <c r="F1218" s="270"/>
      <c r="G1218" s="270"/>
      <c r="H1218" s="266"/>
      <c r="I1218" s="270"/>
      <c r="J1218" s="270"/>
      <c r="K1218" s="263"/>
    </row>
    <row r="1219">
      <c r="A1219" s="269"/>
      <c r="B1219" s="264"/>
      <c r="C1219" s="266"/>
      <c r="D1219" s="266"/>
      <c r="E1219" s="270"/>
      <c r="F1219" s="270"/>
      <c r="G1219" s="270"/>
      <c r="H1219" s="266"/>
      <c r="I1219" s="270"/>
      <c r="J1219" s="270"/>
      <c r="K1219" s="263"/>
    </row>
    <row r="1220">
      <c r="A1220" s="269"/>
      <c r="B1220" s="264"/>
      <c r="C1220" s="266"/>
      <c r="D1220" s="266"/>
      <c r="E1220" s="270"/>
      <c r="F1220" s="270"/>
      <c r="G1220" s="270"/>
      <c r="H1220" s="266"/>
      <c r="I1220" s="270"/>
      <c r="J1220" s="270"/>
      <c r="K1220" s="263"/>
    </row>
    <row r="1221">
      <c r="A1221" s="269"/>
      <c r="B1221" s="264"/>
      <c r="C1221" s="266"/>
      <c r="D1221" s="266"/>
      <c r="E1221" s="270"/>
      <c r="F1221" s="270"/>
      <c r="G1221" s="270"/>
      <c r="H1221" s="266"/>
      <c r="I1221" s="270"/>
      <c r="J1221" s="270"/>
      <c r="K1221" s="263"/>
    </row>
    <row r="1222">
      <c r="A1222" s="269"/>
      <c r="B1222" s="264"/>
      <c r="C1222" s="266"/>
      <c r="D1222" s="266"/>
      <c r="E1222" s="270"/>
      <c r="F1222" s="270"/>
      <c r="G1222" s="270"/>
      <c r="H1222" s="266"/>
      <c r="I1222" s="270"/>
      <c r="J1222" s="270"/>
      <c r="K1222" s="263"/>
    </row>
    <row r="1223">
      <c r="A1223" s="269"/>
      <c r="B1223" s="264"/>
      <c r="C1223" s="266"/>
      <c r="D1223" s="266"/>
      <c r="E1223" s="270"/>
      <c r="F1223" s="270"/>
      <c r="G1223" s="270"/>
      <c r="H1223" s="266"/>
      <c r="I1223" s="270"/>
      <c r="J1223" s="270"/>
      <c r="K1223" s="263"/>
    </row>
    <row r="1224">
      <c r="A1224" s="269"/>
      <c r="B1224" s="264"/>
      <c r="C1224" s="266"/>
      <c r="D1224" s="266"/>
      <c r="E1224" s="270"/>
      <c r="F1224" s="270"/>
      <c r="G1224" s="270"/>
      <c r="H1224" s="266"/>
      <c r="I1224" s="270"/>
      <c r="J1224" s="270"/>
      <c r="K1224" s="263"/>
    </row>
    <row r="1225">
      <c r="A1225" s="269"/>
      <c r="B1225" s="264"/>
      <c r="C1225" s="266"/>
      <c r="D1225" s="266"/>
      <c r="E1225" s="270"/>
      <c r="F1225" s="270"/>
      <c r="G1225" s="270"/>
      <c r="H1225" s="266"/>
      <c r="I1225" s="270"/>
      <c r="J1225" s="270"/>
      <c r="K1225" s="263"/>
    </row>
    <row r="1226">
      <c r="A1226" s="269"/>
      <c r="B1226" s="264"/>
      <c r="C1226" s="266"/>
      <c r="D1226" s="266"/>
      <c r="E1226" s="270"/>
      <c r="F1226" s="270"/>
      <c r="G1226" s="270"/>
      <c r="H1226" s="266"/>
      <c r="I1226" s="270"/>
      <c r="J1226" s="270"/>
      <c r="K1226" s="263"/>
    </row>
    <row r="1227">
      <c r="A1227" s="269"/>
      <c r="B1227" s="264"/>
      <c r="C1227" s="266"/>
      <c r="D1227" s="266"/>
      <c r="E1227" s="270"/>
      <c r="F1227" s="270"/>
      <c r="G1227" s="270"/>
      <c r="H1227" s="266"/>
      <c r="I1227" s="270"/>
      <c r="J1227" s="270"/>
      <c r="K1227" s="263"/>
    </row>
    <row r="1228">
      <c r="A1228" s="269"/>
      <c r="B1228" s="264"/>
      <c r="C1228" s="266"/>
      <c r="D1228" s="266"/>
      <c r="E1228" s="270"/>
      <c r="F1228" s="270"/>
      <c r="G1228" s="270"/>
      <c r="H1228" s="266"/>
      <c r="I1228" s="270"/>
      <c r="J1228" s="270"/>
      <c r="K1228" s="263"/>
    </row>
    <row r="1229">
      <c r="A1229" s="269"/>
      <c r="B1229" s="264"/>
      <c r="C1229" s="266"/>
      <c r="D1229" s="266"/>
      <c r="E1229" s="270"/>
      <c r="F1229" s="270"/>
      <c r="G1229" s="270"/>
      <c r="H1229" s="266"/>
      <c r="I1229" s="270"/>
      <c r="J1229" s="270"/>
      <c r="K1229" s="263"/>
    </row>
    <row r="1230">
      <c r="A1230" s="269"/>
      <c r="B1230" s="264"/>
      <c r="C1230" s="266"/>
      <c r="D1230" s="266"/>
      <c r="E1230" s="270"/>
      <c r="F1230" s="270"/>
      <c r="G1230" s="270"/>
      <c r="H1230" s="266"/>
      <c r="I1230" s="270"/>
      <c r="J1230" s="270"/>
      <c r="K1230" s="263"/>
    </row>
    <row r="1231">
      <c r="A1231" s="269"/>
      <c r="B1231" s="264"/>
      <c r="C1231" s="266"/>
      <c r="D1231" s="266"/>
      <c r="E1231" s="270"/>
      <c r="F1231" s="270"/>
      <c r="G1231" s="270"/>
      <c r="H1231" s="266"/>
      <c r="I1231" s="270"/>
      <c r="J1231" s="270"/>
      <c r="K1231" s="263"/>
    </row>
    <row r="1232">
      <c r="A1232" s="269"/>
      <c r="B1232" s="264"/>
      <c r="C1232" s="266"/>
      <c r="D1232" s="266"/>
      <c r="E1232" s="270"/>
      <c r="F1232" s="270"/>
      <c r="G1232" s="270"/>
      <c r="H1232" s="266"/>
      <c r="I1232" s="270"/>
      <c r="J1232" s="270"/>
      <c r="K1232" s="263"/>
    </row>
    <row r="1233">
      <c r="A1233" s="269"/>
      <c r="B1233" s="264"/>
      <c r="C1233" s="266"/>
      <c r="D1233" s="266"/>
      <c r="E1233" s="270"/>
      <c r="F1233" s="270"/>
      <c r="G1233" s="270"/>
      <c r="H1233" s="266"/>
      <c r="I1233" s="270"/>
      <c r="J1233" s="270"/>
      <c r="K1233" s="263"/>
    </row>
    <row r="1234">
      <c r="A1234" s="269"/>
      <c r="B1234" s="264"/>
      <c r="C1234" s="266"/>
      <c r="D1234" s="266"/>
      <c r="E1234" s="270"/>
      <c r="F1234" s="270"/>
      <c r="G1234" s="270"/>
      <c r="H1234" s="266"/>
      <c r="I1234" s="270"/>
      <c r="J1234" s="270"/>
      <c r="K1234" s="263"/>
    </row>
    <row r="1235">
      <c r="A1235" s="269"/>
      <c r="B1235" s="264"/>
      <c r="C1235" s="266"/>
      <c r="D1235" s="266"/>
      <c r="E1235" s="270"/>
      <c r="F1235" s="270"/>
      <c r="G1235" s="270"/>
      <c r="H1235" s="266"/>
      <c r="I1235" s="270"/>
      <c r="J1235" s="270"/>
      <c r="K1235" s="263"/>
    </row>
    <row r="1236">
      <c r="A1236" s="269"/>
      <c r="B1236" s="264"/>
      <c r="C1236" s="266"/>
      <c r="D1236" s="266"/>
      <c r="E1236" s="270"/>
      <c r="F1236" s="270"/>
      <c r="G1236" s="270"/>
      <c r="H1236" s="266"/>
      <c r="I1236" s="270"/>
      <c r="J1236" s="270"/>
      <c r="K1236" s="263"/>
    </row>
    <row r="1237">
      <c r="A1237" s="269"/>
      <c r="B1237" s="264"/>
      <c r="C1237" s="266"/>
      <c r="D1237" s="266"/>
      <c r="E1237" s="270"/>
      <c r="F1237" s="270"/>
      <c r="G1237" s="270"/>
      <c r="H1237" s="266"/>
      <c r="I1237" s="270"/>
      <c r="J1237" s="270"/>
      <c r="K1237" s="263"/>
    </row>
    <row r="1238">
      <c r="A1238" s="269"/>
      <c r="B1238" s="264"/>
      <c r="C1238" s="266"/>
      <c r="D1238" s="266"/>
      <c r="E1238" s="270"/>
      <c r="F1238" s="270"/>
      <c r="G1238" s="270"/>
      <c r="H1238" s="266"/>
      <c r="I1238" s="270"/>
      <c r="J1238" s="270"/>
      <c r="K1238" s="263"/>
    </row>
    <row r="1239">
      <c r="A1239" s="269"/>
      <c r="B1239" s="264"/>
      <c r="C1239" s="266"/>
      <c r="D1239" s="266"/>
      <c r="E1239" s="270"/>
      <c r="F1239" s="270"/>
      <c r="G1239" s="270"/>
      <c r="H1239" s="266"/>
      <c r="I1239" s="270"/>
      <c r="J1239" s="270"/>
      <c r="K1239" s="263"/>
    </row>
    <row r="1240">
      <c r="A1240" s="269"/>
      <c r="B1240" s="264"/>
      <c r="C1240" s="266"/>
      <c r="D1240" s="266"/>
      <c r="E1240" s="270"/>
      <c r="F1240" s="270"/>
      <c r="G1240" s="270"/>
      <c r="H1240" s="266"/>
      <c r="I1240" s="270"/>
      <c r="J1240" s="270"/>
      <c r="K1240" s="263"/>
    </row>
    <row r="1241">
      <c r="A1241" s="269"/>
      <c r="B1241" s="264"/>
      <c r="C1241" s="266"/>
      <c r="D1241" s="266"/>
      <c r="E1241" s="270"/>
      <c r="F1241" s="270"/>
      <c r="G1241" s="270"/>
      <c r="H1241" s="266"/>
      <c r="I1241" s="270"/>
      <c r="J1241" s="270"/>
      <c r="K1241" s="263"/>
    </row>
    <row r="1242">
      <c r="A1242" s="269"/>
      <c r="B1242" s="264"/>
      <c r="C1242" s="266"/>
      <c r="D1242" s="266"/>
      <c r="E1242" s="270"/>
      <c r="F1242" s="270"/>
      <c r="G1242" s="270"/>
      <c r="H1242" s="266"/>
      <c r="I1242" s="270"/>
      <c r="J1242" s="270"/>
      <c r="K1242" s="263"/>
    </row>
    <row r="1243">
      <c r="A1243" s="269"/>
      <c r="B1243" s="264"/>
      <c r="C1243" s="266"/>
      <c r="D1243" s="266"/>
      <c r="E1243" s="270"/>
      <c r="F1243" s="270"/>
      <c r="G1243" s="270"/>
      <c r="H1243" s="266"/>
      <c r="I1243" s="270"/>
      <c r="J1243" s="270"/>
      <c r="K1243" s="263"/>
    </row>
    <row r="1244">
      <c r="A1244" s="269"/>
      <c r="B1244" s="264"/>
      <c r="C1244" s="266"/>
      <c r="D1244" s="266"/>
      <c r="E1244" s="270"/>
      <c r="F1244" s="270"/>
      <c r="G1244" s="270"/>
      <c r="H1244" s="266"/>
      <c r="I1244" s="270"/>
      <c r="J1244" s="270"/>
      <c r="K1244" s="263"/>
    </row>
    <row r="1245">
      <c r="A1245" s="269"/>
      <c r="B1245" s="264"/>
      <c r="C1245" s="266"/>
      <c r="D1245" s="266"/>
      <c r="E1245" s="270"/>
      <c r="F1245" s="270"/>
      <c r="G1245" s="270"/>
      <c r="H1245" s="266"/>
      <c r="I1245" s="270"/>
      <c r="J1245" s="270"/>
      <c r="K1245" s="263"/>
    </row>
    <row r="1246">
      <c r="A1246" s="269"/>
      <c r="B1246" s="264"/>
      <c r="C1246" s="266"/>
      <c r="D1246" s="266"/>
      <c r="E1246" s="270"/>
      <c r="F1246" s="270"/>
      <c r="G1246" s="270"/>
      <c r="H1246" s="266"/>
      <c r="I1246" s="270"/>
      <c r="J1246" s="270"/>
      <c r="K1246" s="263"/>
    </row>
    <row r="1247">
      <c r="A1247" s="269"/>
      <c r="B1247" s="264"/>
      <c r="C1247" s="266"/>
      <c r="D1247" s="266"/>
      <c r="E1247" s="270"/>
      <c r="F1247" s="270"/>
      <c r="G1247" s="270"/>
      <c r="H1247" s="266"/>
      <c r="I1247" s="270"/>
      <c r="J1247" s="270"/>
      <c r="K1247" s="263"/>
    </row>
    <row r="1248">
      <c r="A1248" s="269"/>
      <c r="B1248" s="264"/>
      <c r="C1248" s="266"/>
      <c r="D1248" s="266"/>
      <c r="E1248" s="270"/>
      <c r="F1248" s="270"/>
      <c r="G1248" s="270"/>
      <c r="H1248" s="266"/>
      <c r="I1248" s="270"/>
      <c r="J1248" s="270"/>
      <c r="K1248" s="263"/>
    </row>
    <row r="1249">
      <c r="A1249" s="269"/>
      <c r="B1249" s="264"/>
      <c r="C1249" s="266"/>
      <c r="D1249" s="266"/>
      <c r="E1249" s="270"/>
      <c r="F1249" s="270"/>
      <c r="G1249" s="270"/>
      <c r="H1249" s="266"/>
      <c r="I1249" s="270"/>
      <c r="J1249" s="270"/>
      <c r="K1249" s="263"/>
    </row>
    <row r="1250">
      <c r="A1250" s="269"/>
      <c r="B1250" s="264"/>
      <c r="C1250" s="266"/>
      <c r="D1250" s="266"/>
      <c r="E1250" s="270"/>
      <c r="F1250" s="270"/>
      <c r="G1250" s="270"/>
      <c r="H1250" s="266"/>
      <c r="I1250" s="270"/>
      <c r="J1250" s="270"/>
      <c r="K1250" s="263"/>
    </row>
    <row r="1251">
      <c r="A1251" s="269"/>
      <c r="B1251" s="264"/>
      <c r="C1251" s="266"/>
      <c r="D1251" s="266"/>
      <c r="E1251" s="270"/>
      <c r="F1251" s="270"/>
      <c r="G1251" s="270"/>
      <c r="H1251" s="266"/>
      <c r="I1251" s="270"/>
      <c r="J1251" s="270"/>
      <c r="K1251" s="263"/>
    </row>
    <row r="1252">
      <c r="A1252" s="269"/>
      <c r="B1252" s="264"/>
      <c r="C1252" s="266"/>
      <c r="D1252" s="266"/>
      <c r="E1252" s="270"/>
      <c r="F1252" s="270"/>
      <c r="G1252" s="270"/>
      <c r="H1252" s="266"/>
      <c r="I1252" s="270"/>
      <c r="J1252" s="270"/>
      <c r="K1252" s="263"/>
    </row>
    <row r="1253">
      <c r="A1253" s="269"/>
      <c r="B1253" s="264"/>
      <c r="C1253" s="266"/>
      <c r="D1253" s="266"/>
      <c r="E1253" s="270"/>
      <c r="F1253" s="270"/>
      <c r="G1253" s="270"/>
      <c r="H1253" s="266"/>
      <c r="I1253" s="270"/>
      <c r="J1253" s="270"/>
      <c r="K1253" s="263"/>
    </row>
    <row r="1254">
      <c r="A1254" s="269"/>
      <c r="B1254" s="264"/>
      <c r="C1254" s="266"/>
      <c r="D1254" s="266"/>
      <c r="E1254" s="270"/>
      <c r="F1254" s="270"/>
      <c r="G1254" s="270"/>
      <c r="H1254" s="266"/>
      <c r="I1254" s="270"/>
      <c r="J1254" s="270"/>
      <c r="K1254" s="263"/>
    </row>
    <row r="1255">
      <c r="A1255" s="269"/>
      <c r="B1255" s="264"/>
      <c r="C1255" s="266"/>
      <c r="D1255" s="266"/>
      <c r="E1255" s="270"/>
      <c r="F1255" s="270"/>
      <c r="G1255" s="270"/>
      <c r="H1255" s="266"/>
      <c r="I1255" s="270"/>
      <c r="J1255" s="270"/>
      <c r="K1255" s="263"/>
    </row>
    <row r="1256">
      <c r="A1256" s="269"/>
      <c r="B1256" s="264"/>
      <c r="C1256" s="266"/>
      <c r="D1256" s="266"/>
      <c r="E1256" s="270"/>
      <c r="F1256" s="270"/>
      <c r="G1256" s="270"/>
      <c r="H1256" s="266"/>
      <c r="I1256" s="270"/>
      <c r="J1256" s="270"/>
      <c r="K1256" s="263"/>
    </row>
    <row r="1257">
      <c r="A1257" s="269"/>
      <c r="B1257" s="264"/>
      <c r="C1257" s="266"/>
      <c r="D1257" s="266"/>
      <c r="E1257" s="270"/>
      <c r="F1257" s="270"/>
      <c r="G1257" s="270"/>
      <c r="H1257" s="266"/>
      <c r="I1257" s="270"/>
      <c r="J1257" s="270"/>
      <c r="K1257" s="263"/>
    </row>
    <row r="1258">
      <c r="A1258" s="269"/>
      <c r="B1258" s="264"/>
      <c r="C1258" s="266"/>
      <c r="D1258" s="266"/>
      <c r="E1258" s="270"/>
      <c r="F1258" s="270"/>
      <c r="G1258" s="270"/>
      <c r="H1258" s="266"/>
      <c r="I1258" s="270"/>
      <c r="J1258" s="270"/>
      <c r="K1258" s="263"/>
    </row>
    <row r="1259">
      <c r="A1259" s="269"/>
      <c r="B1259" s="264"/>
      <c r="C1259" s="266"/>
      <c r="D1259" s="266"/>
      <c r="E1259" s="270"/>
      <c r="F1259" s="270"/>
      <c r="G1259" s="270"/>
      <c r="H1259" s="266"/>
      <c r="I1259" s="270"/>
      <c r="J1259" s="270"/>
      <c r="K1259" s="263"/>
    </row>
    <row r="1260">
      <c r="A1260" s="269"/>
      <c r="B1260" s="264"/>
      <c r="C1260" s="266"/>
      <c r="D1260" s="266"/>
      <c r="E1260" s="270"/>
      <c r="F1260" s="270"/>
      <c r="G1260" s="270"/>
      <c r="H1260" s="266"/>
      <c r="I1260" s="270"/>
      <c r="J1260" s="270"/>
      <c r="K1260" s="263"/>
    </row>
    <row r="1261">
      <c r="A1261" s="269"/>
      <c r="B1261" s="264"/>
      <c r="C1261" s="266"/>
      <c r="D1261" s="266"/>
      <c r="E1261" s="270"/>
      <c r="F1261" s="270"/>
      <c r="G1261" s="270"/>
      <c r="H1261" s="266"/>
      <c r="I1261" s="270"/>
      <c r="J1261" s="270"/>
      <c r="K1261" s="263"/>
    </row>
    <row r="1262">
      <c r="A1262" s="269"/>
      <c r="B1262" s="264"/>
      <c r="C1262" s="266"/>
      <c r="D1262" s="266"/>
      <c r="E1262" s="270"/>
      <c r="F1262" s="270"/>
      <c r="G1262" s="270"/>
      <c r="H1262" s="266"/>
      <c r="I1262" s="270"/>
      <c r="J1262" s="270"/>
      <c r="K1262" s="263"/>
    </row>
    <row r="1263">
      <c r="A1263" s="269"/>
      <c r="B1263" s="264"/>
      <c r="C1263" s="266"/>
      <c r="D1263" s="266"/>
      <c r="E1263" s="270"/>
      <c r="F1263" s="270"/>
      <c r="G1263" s="270"/>
      <c r="H1263" s="266"/>
      <c r="I1263" s="270"/>
      <c r="J1263" s="270"/>
      <c r="K1263" s="263"/>
    </row>
    <row r="1264">
      <c r="A1264" s="269"/>
      <c r="B1264" s="264"/>
      <c r="C1264" s="266"/>
      <c r="D1264" s="266"/>
      <c r="E1264" s="270"/>
      <c r="F1264" s="270"/>
      <c r="G1264" s="270"/>
      <c r="H1264" s="266"/>
      <c r="I1264" s="270"/>
      <c r="J1264" s="270"/>
      <c r="K1264" s="263"/>
    </row>
    <row r="1265">
      <c r="A1265" s="269"/>
      <c r="B1265" s="264"/>
      <c r="C1265" s="266"/>
      <c r="D1265" s="266"/>
      <c r="E1265" s="270"/>
      <c r="F1265" s="270"/>
      <c r="G1265" s="270"/>
      <c r="H1265" s="266"/>
      <c r="I1265" s="270"/>
      <c r="J1265" s="270"/>
      <c r="K1265" s="263"/>
    </row>
    <row r="1266">
      <c r="A1266" s="269"/>
      <c r="B1266" s="264"/>
      <c r="C1266" s="266"/>
      <c r="D1266" s="266"/>
      <c r="E1266" s="270"/>
      <c r="F1266" s="270"/>
      <c r="G1266" s="270"/>
      <c r="H1266" s="266"/>
      <c r="I1266" s="270"/>
      <c r="J1266" s="270"/>
      <c r="K1266" s="263"/>
    </row>
    <row r="1267">
      <c r="A1267" s="269"/>
      <c r="B1267" s="264"/>
      <c r="C1267" s="266"/>
      <c r="D1267" s="266"/>
      <c r="E1267" s="270"/>
      <c r="F1267" s="270"/>
      <c r="G1267" s="270"/>
      <c r="H1267" s="266"/>
      <c r="I1267" s="270"/>
      <c r="J1267" s="270"/>
      <c r="K1267" s="263"/>
    </row>
    <row r="1268">
      <c r="A1268" s="269"/>
      <c r="B1268" s="264"/>
      <c r="C1268" s="266"/>
      <c r="D1268" s="266"/>
      <c r="E1268" s="270"/>
      <c r="F1268" s="270"/>
      <c r="G1268" s="270"/>
      <c r="H1268" s="266"/>
      <c r="I1268" s="270"/>
      <c r="J1268" s="270"/>
      <c r="K1268" s="263"/>
    </row>
    <row r="1269">
      <c r="A1269" s="269"/>
      <c r="B1269" s="264"/>
      <c r="C1269" s="266"/>
      <c r="D1269" s="266"/>
      <c r="E1269" s="270"/>
      <c r="F1269" s="270"/>
      <c r="G1269" s="270"/>
      <c r="H1269" s="266"/>
      <c r="I1269" s="270"/>
      <c r="J1269" s="270"/>
      <c r="K1269" s="263"/>
    </row>
    <row r="1270">
      <c r="A1270" s="269"/>
      <c r="B1270" s="264"/>
      <c r="C1270" s="266"/>
      <c r="D1270" s="266"/>
      <c r="E1270" s="270"/>
      <c r="F1270" s="270"/>
      <c r="G1270" s="270"/>
      <c r="H1270" s="266"/>
      <c r="I1270" s="270"/>
      <c r="J1270" s="270"/>
      <c r="K1270" s="263"/>
    </row>
    <row r="1271">
      <c r="A1271" s="269"/>
      <c r="B1271" s="264"/>
      <c r="C1271" s="266"/>
      <c r="D1271" s="266"/>
      <c r="E1271" s="270"/>
      <c r="F1271" s="270"/>
      <c r="G1271" s="270"/>
      <c r="H1271" s="266"/>
      <c r="I1271" s="270"/>
      <c r="J1271" s="270"/>
      <c r="K1271" s="263"/>
    </row>
    <row r="1272">
      <c r="A1272" s="269"/>
      <c r="B1272" s="264"/>
      <c r="C1272" s="266"/>
      <c r="D1272" s="266"/>
      <c r="E1272" s="270"/>
      <c r="F1272" s="270"/>
      <c r="G1272" s="270"/>
      <c r="H1272" s="266"/>
      <c r="I1272" s="270"/>
      <c r="J1272" s="270"/>
      <c r="K1272" s="263"/>
    </row>
    <row r="1273">
      <c r="A1273" s="269"/>
      <c r="B1273" s="264"/>
      <c r="C1273" s="266"/>
      <c r="D1273" s="266"/>
      <c r="E1273" s="270"/>
      <c r="F1273" s="270"/>
      <c r="G1273" s="270"/>
      <c r="H1273" s="266"/>
      <c r="I1273" s="270"/>
      <c r="J1273" s="270"/>
      <c r="K1273" s="263"/>
    </row>
    <row r="1274">
      <c r="A1274" s="269"/>
      <c r="B1274" s="264"/>
      <c r="C1274" s="266"/>
      <c r="D1274" s="266"/>
      <c r="E1274" s="270"/>
      <c r="F1274" s="270"/>
      <c r="G1274" s="270"/>
      <c r="H1274" s="266"/>
      <c r="I1274" s="270"/>
      <c r="J1274" s="270"/>
      <c r="K1274" s="263"/>
    </row>
    <row r="1275">
      <c r="A1275" s="269"/>
      <c r="B1275" s="264"/>
      <c r="C1275" s="266"/>
      <c r="D1275" s="266"/>
      <c r="E1275" s="270"/>
      <c r="F1275" s="270"/>
      <c r="G1275" s="270"/>
      <c r="H1275" s="266"/>
      <c r="I1275" s="270"/>
      <c r="J1275" s="270"/>
      <c r="K1275" s="263"/>
    </row>
    <row r="1276">
      <c r="A1276" s="269"/>
      <c r="B1276" s="264"/>
      <c r="C1276" s="266"/>
      <c r="D1276" s="266"/>
      <c r="E1276" s="270"/>
      <c r="F1276" s="270"/>
      <c r="G1276" s="270"/>
      <c r="H1276" s="266"/>
      <c r="I1276" s="270"/>
      <c r="J1276" s="270"/>
      <c r="K1276" s="263"/>
    </row>
    <row r="1277">
      <c r="A1277" s="269"/>
      <c r="B1277" s="264"/>
      <c r="C1277" s="266"/>
      <c r="D1277" s="266"/>
      <c r="E1277" s="270"/>
      <c r="F1277" s="270"/>
      <c r="G1277" s="270"/>
      <c r="H1277" s="266"/>
      <c r="I1277" s="270"/>
      <c r="J1277" s="270"/>
      <c r="K1277" s="263"/>
    </row>
    <row r="1278">
      <c r="A1278" s="269"/>
      <c r="B1278" s="264"/>
      <c r="C1278" s="266"/>
      <c r="D1278" s="266"/>
      <c r="E1278" s="270"/>
      <c r="F1278" s="270"/>
      <c r="G1278" s="270"/>
      <c r="H1278" s="266"/>
      <c r="I1278" s="270"/>
      <c r="J1278" s="270"/>
      <c r="K1278" s="263"/>
    </row>
    <row r="1279">
      <c r="A1279" s="269"/>
      <c r="B1279" s="264"/>
      <c r="C1279" s="266"/>
      <c r="D1279" s="266"/>
      <c r="E1279" s="270"/>
      <c r="F1279" s="270"/>
      <c r="G1279" s="270"/>
      <c r="H1279" s="266"/>
      <c r="I1279" s="270"/>
      <c r="J1279" s="270"/>
      <c r="K1279" s="263"/>
    </row>
    <row r="1280">
      <c r="A1280" s="269"/>
      <c r="B1280" s="264"/>
      <c r="C1280" s="266"/>
      <c r="D1280" s="266"/>
      <c r="E1280" s="270"/>
      <c r="F1280" s="270"/>
      <c r="G1280" s="270"/>
      <c r="H1280" s="266"/>
      <c r="I1280" s="270"/>
      <c r="J1280" s="270"/>
      <c r="K1280" s="263"/>
    </row>
    <row r="1281">
      <c r="A1281" s="269"/>
      <c r="B1281" s="264"/>
      <c r="C1281" s="266"/>
      <c r="D1281" s="266"/>
      <c r="E1281" s="270"/>
      <c r="F1281" s="270"/>
      <c r="G1281" s="270"/>
      <c r="H1281" s="266"/>
      <c r="I1281" s="270"/>
      <c r="J1281" s="270"/>
      <c r="K1281" s="263"/>
    </row>
    <row r="1282">
      <c r="A1282" s="269"/>
      <c r="B1282" s="264"/>
      <c r="C1282" s="266"/>
      <c r="D1282" s="266"/>
      <c r="E1282" s="270"/>
      <c r="F1282" s="270"/>
      <c r="G1282" s="270"/>
      <c r="H1282" s="266"/>
      <c r="I1282" s="270"/>
      <c r="J1282" s="270"/>
      <c r="K1282" s="263"/>
    </row>
    <row r="1283">
      <c r="A1283" s="269"/>
      <c r="B1283" s="264"/>
      <c r="C1283" s="266"/>
      <c r="D1283" s="266"/>
      <c r="E1283" s="270"/>
      <c r="F1283" s="270"/>
      <c r="G1283" s="270"/>
      <c r="H1283" s="266"/>
      <c r="I1283" s="270"/>
      <c r="J1283" s="270"/>
      <c r="K1283" s="263"/>
    </row>
    <row r="1284">
      <c r="A1284" s="269"/>
      <c r="B1284" s="264"/>
      <c r="C1284" s="266"/>
      <c r="D1284" s="266"/>
      <c r="E1284" s="270"/>
      <c r="F1284" s="270"/>
      <c r="G1284" s="270"/>
      <c r="H1284" s="266"/>
      <c r="I1284" s="270"/>
      <c r="J1284" s="270"/>
      <c r="K1284" s="263"/>
    </row>
    <row r="1285">
      <c r="A1285" s="269"/>
      <c r="B1285" s="264"/>
      <c r="C1285" s="266"/>
      <c r="D1285" s="266"/>
      <c r="E1285" s="270"/>
      <c r="F1285" s="270"/>
      <c r="G1285" s="270"/>
      <c r="H1285" s="266"/>
      <c r="I1285" s="270"/>
      <c r="J1285" s="270"/>
      <c r="K1285" s="263"/>
    </row>
    <row r="1286">
      <c r="A1286" s="269"/>
      <c r="B1286" s="264"/>
      <c r="C1286" s="266"/>
      <c r="D1286" s="266"/>
      <c r="E1286" s="270"/>
      <c r="F1286" s="270"/>
      <c r="G1286" s="270"/>
      <c r="H1286" s="266"/>
      <c r="I1286" s="270"/>
      <c r="J1286" s="270"/>
      <c r="K1286" s="263"/>
    </row>
    <row r="1287">
      <c r="A1287" s="269"/>
      <c r="B1287" s="264"/>
      <c r="C1287" s="266"/>
      <c r="D1287" s="266"/>
      <c r="E1287" s="270"/>
      <c r="F1287" s="270"/>
      <c r="G1287" s="270"/>
      <c r="H1287" s="266"/>
      <c r="I1287" s="270"/>
      <c r="J1287" s="270"/>
      <c r="K1287" s="263"/>
    </row>
    <row r="1288">
      <c r="A1288" s="269"/>
      <c r="B1288" s="264"/>
      <c r="C1288" s="266"/>
      <c r="D1288" s="266"/>
      <c r="E1288" s="270"/>
      <c r="F1288" s="270"/>
      <c r="G1288" s="270"/>
      <c r="H1288" s="266"/>
      <c r="I1288" s="270"/>
      <c r="J1288" s="270"/>
      <c r="K1288" s="263"/>
    </row>
    <row r="1289">
      <c r="A1289" s="269"/>
      <c r="B1289" s="264"/>
      <c r="C1289" s="266"/>
      <c r="D1289" s="266"/>
      <c r="E1289" s="270"/>
      <c r="F1289" s="270"/>
      <c r="G1289" s="270"/>
      <c r="H1289" s="266"/>
      <c r="I1289" s="270"/>
      <c r="J1289" s="270"/>
      <c r="K1289" s="263"/>
    </row>
    <row r="1290">
      <c r="A1290" s="269"/>
      <c r="B1290" s="264"/>
      <c r="C1290" s="266"/>
      <c r="D1290" s="266"/>
      <c r="E1290" s="270"/>
      <c r="F1290" s="270"/>
      <c r="G1290" s="270"/>
      <c r="H1290" s="266"/>
      <c r="I1290" s="270"/>
      <c r="J1290" s="270"/>
      <c r="K1290" s="263"/>
    </row>
    <row r="1291">
      <c r="A1291" s="269"/>
      <c r="B1291" s="264"/>
      <c r="C1291" s="266"/>
      <c r="D1291" s="266"/>
      <c r="E1291" s="270"/>
      <c r="F1291" s="270"/>
      <c r="G1291" s="270"/>
      <c r="H1291" s="266"/>
      <c r="I1291" s="270"/>
      <c r="J1291" s="270"/>
      <c r="K1291" s="263"/>
    </row>
    <row r="1292">
      <c r="A1292" s="269"/>
      <c r="B1292" s="264"/>
      <c r="C1292" s="266"/>
      <c r="D1292" s="266"/>
      <c r="E1292" s="270"/>
      <c r="F1292" s="270"/>
      <c r="G1292" s="270"/>
      <c r="H1292" s="266"/>
      <c r="I1292" s="270"/>
      <c r="J1292" s="270"/>
      <c r="K1292" s="263"/>
    </row>
    <row r="1293">
      <c r="A1293" s="269"/>
      <c r="B1293" s="264"/>
      <c r="C1293" s="266"/>
      <c r="D1293" s="266"/>
      <c r="E1293" s="270"/>
      <c r="F1293" s="270"/>
      <c r="G1293" s="270"/>
      <c r="H1293" s="266"/>
      <c r="I1293" s="270"/>
      <c r="J1293" s="270"/>
      <c r="K1293" s="263"/>
    </row>
    <row r="1294">
      <c r="A1294" s="269"/>
      <c r="B1294" s="264"/>
      <c r="C1294" s="266"/>
      <c r="D1294" s="266"/>
      <c r="E1294" s="270"/>
      <c r="F1294" s="270"/>
      <c r="G1294" s="270"/>
      <c r="H1294" s="266"/>
      <c r="I1294" s="270"/>
      <c r="J1294" s="270"/>
      <c r="K1294" s="263"/>
    </row>
    <row r="1295">
      <c r="A1295" s="269"/>
      <c r="B1295" s="264"/>
      <c r="C1295" s="266"/>
      <c r="D1295" s="266"/>
      <c r="E1295" s="270"/>
      <c r="F1295" s="270"/>
      <c r="G1295" s="270"/>
      <c r="H1295" s="266"/>
      <c r="I1295" s="270"/>
      <c r="J1295" s="270"/>
      <c r="K1295" s="263"/>
    </row>
    <row r="1296">
      <c r="A1296" s="269"/>
      <c r="B1296" s="264"/>
      <c r="C1296" s="266"/>
      <c r="D1296" s="266"/>
      <c r="E1296" s="270"/>
      <c r="F1296" s="270"/>
      <c r="G1296" s="270"/>
      <c r="H1296" s="266"/>
      <c r="I1296" s="270"/>
      <c r="J1296" s="270"/>
      <c r="K1296" s="263"/>
    </row>
    <row r="1297">
      <c r="A1297" s="269"/>
      <c r="B1297" s="264"/>
      <c r="C1297" s="266"/>
      <c r="D1297" s="266"/>
      <c r="E1297" s="270"/>
      <c r="F1297" s="270"/>
      <c r="G1297" s="270"/>
      <c r="H1297" s="266"/>
      <c r="I1297" s="270"/>
      <c r="J1297" s="270"/>
      <c r="K1297" s="263"/>
    </row>
    <row r="1298">
      <c r="A1298" s="269"/>
      <c r="B1298" s="264"/>
      <c r="C1298" s="266"/>
      <c r="D1298" s="266"/>
      <c r="E1298" s="270"/>
      <c r="F1298" s="270"/>
      <c r="G1298" s="270"/>
      <c r="H1298" s="266"/>
      <c r="I1298" s="270"/>
      <c r="J1298" s="270"/>
      <c r="K1298" s="263"/>
    </row>
    <row r="1299">
      <c r="A1299" s="269"/>
      <c r="B1299" s="264"/>
      <c r="C1299" s="266"/>
      <c r="D1299" s="266"/>
      <c r="E1299" s="270"/>
      <c r="F1299" s="270"/>
      <c r="G1299" s="270"/>
      <c r="H1299" s="266"/>
      <c r="I1299" s="270"/>
      <c r="J1299" s="270"/>
      <c r="K1299" s="263"/>
    </row>
    <row r="1300">
      <c r="A1300" s="269"/>
      <c r="B1300" s="264"/>
      <c r="C1300" s="266"/>
      <c r="D1300" s="266"/>
      <c r="E1300" s="270"/>
      <c r="F1300" s="270"/>
      <c r="G1300" s="270"/>
      <c r="H1300" s="266"/>
      <c r="I1300" s="270"/>
      <c r="J1300" s="270"/>
      <c r="K1300" s="263"/>
    </row>
    <row r="1301">
      <c r="A1301" s="269"/>
      <c r="B1301" s="264"/>
      <c r="C1301" s="266"/>
      <c r="D1301" s="266"/>
      <c r="E1301" s="270"/>
      <c r="F1301" s="270"/>
      <c r="G1301" s="270"/>
      <c r="H1301" s="266"/>
      <c r="I1301" s="270"/>
      <c r="J1301" s="270"/>
      <c r="K1301" s="263"/>
    </row>
    <row r="1302">
      <c r="A1302" s="269"/>
      <c r="B1302" s="264"/>
      <c r="C1302" s="266"/>
      <c r="D1302" s="266"/>
      <c r="E1302" s="270"/>
      <c r="F1302" s="270"/>
      <c r="G1302" s="270"/>
      <c r="H1302" s="266"/>
      <c r="I1302" s="270"/>
      <c r="J1302" s="270"/>
      <c r="K1302" s="263"/>
    </row>
    <row r="1303">
      <c r="A1303" s="269"/>
      <c r="B1303" s="264"/>
      <c r="C1303" s="266"/>
      <c r="D1303" s="266"/>
      <c r="E1303" s="270"/>
      <c r="F1303" s="270"/>
      <c r="G1303" s="270"/>
      <c r="H1303" s="266"/>
      <c r="I1303" s="270"/>
      <c r="J1303" s="270"/>
      <c r="K1303" s="263"/>
    </row>
    <row r="1304">
      <c r="A1304" s="269"/>
      <c r="B1304" s="264"/>
      <c r="C1304" s="266"/>
      <c r="D1304" s="266"/>
      <c r="E1304" s="270"/>
      <c r="F1304" s="270"/>
      <c r="G1304" s="270"/>
      <c r="H1304" s="266"/>
      <c r="I1304" s="270"/>
      <c r="J1304" s="270"/>
      <c r="K1304" s="263"/>
    </row>
    <row r="1305">
      <c r="A1305" s="269"/>
      <c r="B1305" s="264"/>
      <c r="C1305" s="266"/>
      <c r="D1305" s="266"/>
      <c r="E1305" s="270"/>
      <c r="F1305" s="270"/>
      <c r="G1305" s="270"/>
      <c r="H1305" s="266"/>
      <c r="I1305" s="270"/>
      <c r="J1305" s="270"/>
      <c r="K1305" s="263"/>
    </row>
    <row r="1306">
      <c r="A1306" s="269"/>
      <c r="B1306" s="264"/>
      <c r="C1306" s="266"/>
      <c r="D1306" s="266"/>
      <c r="E1306" s="270"/>
      <c r="F1306" s="270"/>
      <c r="G1306" s="270"/>
      <c r="H1306" s="266"/>
      <c r="I1306" s="270"/>
      <c r="J1306" s="270"/>
      <c r="K1306" s="263"/>
    </row>
    <row r="1307">
      <c r="A1307" s="269"/>
      <c r="B1307" s="264"/>
      <c r="C1307" s="266"/>
      <c r="D1307" s="266"/>
      <c r="E1307" s="270"/>
      <c r="F1307" s="270"/>
      <c r="G1307" s="270"/>
      <c r="H1307" s="266"/>
      <c r="I1307" s="270"/>
      <c r="J1307" s="270"/>
      <c r="K1307" s="263"/>
    </row>
    <row r="1308">
      <c r="A1308" s="269"/>
      <c r="B1308" s="264"/>
      <c r="C1308" s="266"/>
      <c r="D1308" s="266"/>
      <c r="E1308" s="270"/>
      <c r="F1308" s="270"/>
      <c r="G1308" s="270"/>
      <c r="H1308" s="266"/>
      <c r="I1308" s="270"/>
      <c r="J1308" s="270"/>
      <c r="K1308" s="263"/>
    </row>
    <row r="1309">
      <c r="A1309" s="269"/>
      <c r="B1309" s="264"/>
      <c r="C1309" s="266"/>
      <c r="D1309" s="266"/>
      <c r="E1309" s="270"/>
      <c r="F1309" s="270"/>
      <c r="G1309" s="270"/>
      <c r="H1309" s="266"/>
      <c r="I1309" s="270"/>
      <c r="J1309" s="270"/>
      <c r="K1309" s="263"/>
    </row>
    <row r="1310">
      <c r="A1310" s="269"/>
      <c r="B1310" s="264"/>
      <c r="C1310" s="266"/>
      <c r="D1310" s="266"/>
      <c r="E1310" s="270"/>
      <c r="F1310" s="270"/>
      <c r="G1310" s="270"/>
      <c r="H1310" s="266"/>
      <c r="I1310" s="270"/>
      <c r="J1310" s="270"/>
      <c r="K1310" s="263"/>
    </row>
    <row r="1311">
      <c r="A1311" s="269"/>
      <c r="B1311" s="264"/>
      <c r="C1311" s="266"/>
      <c r="D1311" s="266"/>
      <c r="E1311" s="270"/>
      <c r="F1311" s="270"/>
      <c r="G1311" s="270"/>
      <c r="H1311" s="266"/>
      <c r="I1311" s="270"/>
      <c r="J1311" s="270"/>
      <c r="K1311" s="263"/>
    </row>
    <row r="1312">
      <c r="A1312" s="269"/>
      <c r="B1312" s="264"/>
      <c r="C1312" s="266"/>
      <c r="D1312" s="266"/>
      <c r="E1312" s="270"/>
      <c r="F1312" s="270"/>
      <c r="G1312" s="270"/>
      <c r="H1312" s="266"/>
      <c r="I1312" s="270"/>
      <c r="J1312" s="270"/>
      <c r="K1312" s="263"/>
    </row>
    <row r="1313">
      <c r="A1313" s="269"/>
      <c r="B1313" s="264"/>
      <c r="C1313" s="266"/>
      <c r="D1313" s="266"/>
      <c r="E1313" s="270"/>
      <c r="F1313" s="270"/>
      <c r="G1313" s="270"/>
      <c r="H1313" s="266"/>
      <c r="I1313" s="270"/>
      <c r="J1313" s="270"/>
      <c r="K1313" s="263"/>
    </row>
    <row r="1314">
      <c r="A1314" s="269"/>
      <c r="B1314" s="264"/>
      <c r="C1314" s="266"/>
      <c r="D1314" s="266"/>
      <c r="E1314" s="270"/>
      <c r="F1314" s="270"/>
      <c r="G1314" s="270"/>
      <c r="H1314" s="266"/>
      <c r="I1314" s="270"/>
      <c r="J1314" s="270"/>
      <c r="K1314" s="263"/>
    </row>
    <row r="1315">
      <c r="A1315" s="269"/>
      <c r="B1315" s="264"/>
      <c r="C1315" s="266"/>
      <c r="D1315" s="266"/>
      <c r="E1315" s="270"/>
      <c r="F1315" s="270"/>
      <c r="G1315" s="270"/>
      <c r="H1315" s="266"/>
      <c r="I1315" s="270"/>
      <c r="J1315" s="270"/>
      <c r="K1315" s="263"/>
    </row>
    <row r="1316">
      <c r="A1316" s="269"/>
      <c r="B1316" s="264"/>
      <c r="C1316" s="266"/>
      <c r="D1316" s="266"/>
      <c r="E1316" s="270"/>
      <c r="F1316" s="270"/>
      <c r="G1316" s="270"/>
      <c r="H1316" s="266"/>
      <c r="I1316" s="270"/>
      <c r="J1316" s="270"/>
      <c r="K1316" s="263"/>
    </row>
    <row r="1317">
      <c r="A1317" s="269"/>
      <c r="B1317" s="264"/>
      <c r="C1317" s="266"/>
      <c r="D1317" s="266"/>
      <c r="E1317" s="270"/>
      <c r="F1317" s="270"/>
      <c r="G1317" s="270"/>
      <c r="H1317" s="266"/>
      <c r="I1317" s="270"/>
      <c r="J1317" s="270"/>
      <c r="K1317" s="263"/>
    </row>
    <row r="1318">
      <c r="A1318" s="269"/>
      <c r="B1318" s="264"/>
      <c r="C1318" s="266"/>
      <c r="D1318" s="266"/>
      <c r="E1318" s="270"/>
      <c r="F1318" s="270"/>
      <c r="G1318" s="270"/>
      <c r="H1318" s="266"/>
      <c r="I1318" s="270"/>
      <c r="J1318" s="270"/>
      <c r="K1318" s="263"/>
    </row>
    <row r="1319">
      <c r="A1319" s="269"/>
      <c r="B1319" s="264"/>
      <c r="C1319" s="266"/>
      <c r="D1319" s="266"/>
      <c r="E1319" s="270"/>
      <c r="F1319" s="270"/>
      <c r="G1319" s="270"/>
      <c r="H1319" s="266"/>
      <c r="I1319" s="270"/>
      <c r="J1319" s="270"/>
      <c r="K1319" s="263"/>
    </row>
    <row r="1320">
      <c r="A1320" s="269"/>
      <c r="B1320" s="264"/>
      <c r="C1320" s="266"/>
      <c r="D1320" s="266"/>
      <c r="E1320" s="270"/>
      <c r="F1320" s="270"/>
      <c r="G1320" s="270"/>
      <c r="H1320" s="266"/>
      <c r="I1320" s="270"/>
      <c r="J1320" s="270"/>
      <c r="K1320" s="263"/>
    </row>
    <row r="1321">
      <c r="A1321" s="269"/>
      <c r="B1321" s="264"/>
      <c r="C1321" s="266"/>
      <c r="D1321" s="266"/>
      <c r="E1321" s="270"/>
      <c r="F1321" s="270"/>
      <c r="G1321" s="270"/>
      <c r="H1321" s="266"/>
      <c r="I1321" s="270"/>
      <c r="J1321" s="270"/>
      <c r="K1321" s="263"/>
    </row>
    <row r="1322">
      <c r="A1322" s="269"/>
      <c r="B1322" s="264"/>
      <c r="C1322" s="266"/>
      <c r="D1322" s="266"/>
      <c r="E1322" s="270"/>
      <c r="F1322" s="270"/>
      <c r="G1322" s="270"/>
      <c r="H1322" s="266"/>
      <c r="I1322" s="270"/>
      <c r="J1322" s="270"/>
      <c r="K1322" s="263"/>
    </row>
    <row r="1323">
      <c r="A1323" s="269"/>
      <c r="B1323" s="264"/>
      <c r="C1323" s="266"/>
      <c r="D1323" s="266"/>
      <c r="E1323" s="270"/>
      <c r="F1323" s="270"/>
      <c r="G1323" s="270"/>
      <c r="H1323" s="266"/>
      <c r="I1323" s="270"/>
      <c r="J1323" s="270"/>
      <c r="K1323" s="263"/>
    </row>
    <row r="1324">
      <c r="A1324" s="269"/>
      <c r="B1324" s="264"/>
      <c r="C1324" s="266"/>
      <c r="D1324" s="266"/>
      <c r="E1324" s="270"/>
      <c r="F1324" s="270"/>
      <c r="G1324" s="270"/>
      <c r="H1324" s="266"/>
      <c r="I1324" s="270"/>
      <c r="J1324" s="270"/>
      <c r="K1324" s="263"/>
    </row>
    <row r="1325">
      <c r="A1325" s="269"/>
      <c r="B1325" s="264"/>
      <c r="C1325" s="266"/>
      <c r="D1325" s="266"/>
      <c r="E1325" s="270"/>
      <c r="F1325" s="270"/>
      <c r="G1325" s="270"/>
      <c r="H1325" s="266"/>
      <c r="I1325" s="270"/>
      <c r="J1325" s="270"/>
      <c r="K1325" s="263"/>
    </row>
    <row r="1326">
      <c r="A1326" s="269"/>
      <c r="B1326" s="264"/>
      <c r="C1326" s="266"/>
      <c r="D1326" s="266"/>
      <c r="E1326" s="270"/>
      <c r="F1326" s="270"/>
      <c r="G1326" s="270"/>
      <c r="H1326" s="266"/>
      <c r="I1326" s="270"/>
      <c r="J1326" s="270"/>
      <c r="K1326" s="263"/>
    </row>
    <row r="1327">
      <c r="A1327" s="269"/>
      <c r="B1327" s="264"/>
      <c r="C1327" s="266"/>
      <c r="D1327" s="266"/>
      <c r="E1327" s="270"/>
      <c r="F1327" s="270"/>
      <c r="G1327" s="270"/>
      <c r="H1327" s="266"/>
      <c r="I1327" s="270"/>
      <c r="J1327" s="270"/>
      <c r="K1327" s="263"/>
    </row>
    <row r="1328">
      <c r="A1328" s="269"/>
      <c r="B1328" s="264"/>
      <c r="C1328" s="266"/>
      <c r="D1328" s="266"/>
      <c r="E1328" s="270"/>
      <c r="F1328" s="270"/>
      <c r="G1328" s="270"/>
      <c r="H1328" s="266"/>
      <c r="I1328" s="270"/>
      <c r="J1328" s="270"/>
      <c r="K1328" s="263"/>
    </row>
    <row r="1329">
      <c r="A1329" s="269"/>
      <c r="B1329" s="264"/>
      <c r="C1329" s="266"/>
      <c r="D1329" s="266"/>
      <c r="E1329" s="270"/>
      <c r="F1329" s="270"/>
      <c r="G1329" s="270"/>
      <c r="H1329" s="266"/>
      <c r="I1329" s="270"/>
      <c r="J1329" s="270"/>
      <c r="K1329" s="263"/>
    </row>
    <row r="1330">
      <c r="A1330" s="269"/>
      <c r="B1330" s="264"/>
      <c r="C1330" s="266"/>
      <c r="D1330" s="266"/>
      <c r="E1330" s="270"/>
      <c r="F1330" s="270"/>
      <c r="G1330" s="270"/>
      <c r="H1330" s="266"/>
      <c r="I1330" s="270"/>
      <c r="J1330" s="270"/>
      <c r="K1330" s="263"/>
    </row>
    <row r="1331">
      <c r="A1331" s="269"/>
      <c r="B1331" s="264"/>
      <c r="C1331" s="266"/>
      <c r="D1331" s="266"/>
      <c r="E1331" s="270"/>
      <c r="F1331" s="270"/>
      <c r="G1331" s="270"/>
      <c r="H1331" s="266"/>
      <c r="I1331" s="270"/>
      <c r="J1331" s="270"/>
      <c r="K1331" s="263"/>
    </row>
    <row r="1332">
      <c r="A1332" s="269"/>
      <c r="B1332" s="264"/>
      <c r="C1332" s="266"/>
      <c r="D1332" s="266"/>
      <c r="E1332" s="270"/>
      <c r="F1332" s="270"/>
      <c r="G1332" s="270"/>
      <c r="H1332" s="266"/>
      <c r="I1332" s="270"/>
      <c r="J1332" s="270"/>
      <c r="K1332" s="263"/>
    </row>
    <row r="1333">
      <c r="A1333" s="269"/>
      <c r="B1333" s="264"/>
      <c r="C1333" s="266"/>
      <c r="D1333" s="266"/>
      <c r="E1333" s="270"/>
      <c r="F1333" s="270"/>
      <c r="G1333" s="270"/>
      <c r="H1333" s="266"/>
      <c r="I1333" s="270"/>
      <c r="J1333" s="270"/>
      <c r="K1333" s="263"/>
    </row>
    <row r="1334">
      <c r="A1334" s="269"/>
      <c r="B1334" s="264"/>
      <c r="C1334" s="266"/>
      <c r="D1334" s="266"/>
      <c r="E1334" s="270"/>
      <c r="F1334" s="270"/>
      <c r="G1334" s="270"/>
      <c r="H1334" s="266"/>
      <c r="I1334" s="270"/>
      <c r="J1334" s="270"/>
      <c r="K1334" s="263"/>
    </row>
    <row r="1335">
      <c r="A1335" s="269"/>
      <c r="B1335" s="264"/>
      <c r="C1335" s="266"/>
      <c r="D1335" s="266"/>
      <c r="E1335" s="270"/>
      <c r="F1335" s="270"/>
      <c r="G1335" s="270"/>
      <c r="H1335" s="266"/>
      <c r="I1335" s="270"/>
      <c r="J1335" s="270"/>
      <c r="K1335" s="263"/>
    </row>
    <row r="1336">
      <c r="A1336" s="269"/>
      <c r="B1336" s="264"/>
      <c r="C1336" s="266"/>
      <c r="D1336" s="266"/>
      <c r="E1336" s="270"/>
      <c r="F1336" s="270"/>
      <c r="G1336" s="270"/>
      <c r="H1336" s="266"/>
      <c r="I1336" s="270"/>
      <c r="J1336" s="270"/>
      <c r="K1336" s="263"/>
    </row>
    <row r="1337">
      <c r="A1337" s="269"/>
      <c r="B1337" s="264"/>
      <c r="C1337" s="266"/>
      <c r="D1337" s="266"/>
      <c r="E1337" s="270"/>
      <c r="F1337" s="270"/>
      <c r="G1337" s="270"/>
      <c r="H1337" s="266"/>
      <c r="I1337" s="270"/>
      <c r="J1337" s="270"/>
      <c r="K1337" s="263"/>
    </row>
    <row r="1338">
      <c r="A1338" s="269"/>
      <c r="B1338" s="264"/>
      <c r="C1338" s="266"/>
      <c r="D1338" s="266"/>
      <c r="E1338" s="270"/>
      <c r="F1338" s="270"/>
      <c r="G1338" s="270"/>
      <c r="H1338" s="266"/>
      <c r="I1338" s="270"/>
      <c r="J1338" s="270"/>
      <c r="K1338" s="263"/>
    </row>
    <row r="1339">
      <c r="A1339" s="269"/>
      <c r="B1339" s="264"/>
      <c r="C1339" s="266"/>
      <c r="D1339" s="266"/>
      <c r="E1339" s="270"/>
      <c r="F1339" s="270"/>
      <c r="G1339" s="270"/>
      <c r="H1339" s="266"/>
      <c r="I1339" s="270"/>
      <c r="J1339" s="270"/>
      <c r="K1339" s="263"/>
    </row>
    <row r="1340">
      <c r="A1340" s="269"/>
      <c r="B1340" s="264"/>
      <c r="C1340" s="266"/>
      <c r="D1340" s="266"/>
      <c r="E1340" s="270"/>
      <c r="F1340" s="270"/>
      <c r="G1340" s="270"/>
      <c r="H1340" s="266"/>
      <c r="I1340" s="270"/>
      <c r="J1340" s="270"/>
      <c r="K1340" s="263"/>
    </row>
    <row r="1341">
      <c r="A1341" s="269"/>
      <c r="B1341" s="264"/>
      <c r="C1341" s="266"/>
      <c r="D1341" s="266"/>
      <c r="E1341" s="270"/>
      <c r="F1341" s="270"/>
      <c r="G1341" s="270"/>
      <c r="H1341" s="266"/>
      <c r="I1341" s="270"/>
      <c r="J1341" s="270"/>
      <c r="K1341" s="263"/>
    </row>
    <row r="1342">
      <c r="A1342" s="269"/>
      <c r="B1342" s="264"/>
      <c r="C1342" s="266"/>
      <c r="D1342" s="266"/>
      <c r="E1342" s="270"/>
      <c r="F1342" s="270"/>
      <c r="G1342" s="270"/>
      <c r="H1342" s="266"/>
      <c r="I1342" s="270"/>
      <c r="J1342" s="270"/>
      <c r="K1342" s="263"/>
    </row>
    <row r="1343">
      <c r="A1343" s="269"/>
      <c r="B1343" s="264"/>
      <c r="C1343" s="266"/>
      <c r="D1343" s="266"/>
      <c r="E1343" s="270"/>
      <c r="F1343" s="270"/>
      <c r="G1343" s="270"/>
      <c r="H1343" s="266"/>
      <c r="I1343" s="270"/>
      <c r="J1343" s="270"/>
      <c r="K1343" s="263"/>
    </row>
    <row r="1344">
      <c r="A1344" s="269"/>
      <c r="B1344" s="264"/>
      <c r="C1344" s="266"/>
      <c r="D1344" s="266"/>
      <c r="E1344" s="270"/>
      <c r="F1344" s="270"/>
      <c r="G1344" s="270"/>
      <c r="H1344" s="266"/>
      <c r="I1344" s="270"/>
      <c r="J1344" s="270"/>
      <c r="K1344" s="263"/>
    </row>
    <row r="1345">
      <c r="A1345" s="269"/>
      <c r="B1345" s="264"/>
      <c r="C1345" s="266"/>
      <c r="D1345" s="266"/>
      <c r="E1345" s="270"/>
      <c r="F1345" s="270"/>
      <c r="G1345" s="270"/>
      <c r="H1345" s="266"/>
      <c r="I1345" s="270"/>
      <c r="J1345" s="270"/>
      <c r="K1345" s="263"/>
    </row>
    <row r="1346">
      <c r="A1346" s="269"/>
      <c r="B1346" s="264"/>
      <c r="C1346" s="266"/>
      <c r="D1346" s="266"/>
      <c r="E1346" s="270"/>
      <c r="F1346" s="270"/>
      <c r="G1346" s="270"/>
      <c r="H1346" s="266"/>
      <c r="I1346" s="270"/>
      <c r="J1346" s="270"/>
      <c r="K1346" s="263"/>
    </row>
    <row r="1347">
      <c r="A1347" s="269"/>
      <c r="B1347" s="264"/>
      <c r="C1347" s="266"/>
      <c r="D1347" s="266"/>
      <c r="E1347" s="270"/>
      <c r="F1347" s="270"/>
      <c r="G1347" s="270"/>
      <c r="H1347" s="266"/>
      <c r="I1347" s="270"/>
      <c r="J1347" s="270"/>
      <c r="K1347" s="263"/>
    </row>
    <row r="1348">
      <c r="A1348" s="269"/>
      <c r="B1348" s="264"/>
      <c r="C1348" s="266"/>
      <c r="D1348" s="266"/>
      <c r="E1348" s="270"/>
      <c r="F1348" s="270"/>
      <c r="G1348" s="270"/>
      <c r="H1348" s="266"/>
      <c r="I1348" s="270"/>
      <c r="J1348" s="270"/>
      <c r="K1348" s="263"/>
    </row>
    <row r="1349">
      <c r="A1349" s="269"/>
      <c r="B1349" s="264"/>
      <c r="C1349" s="266"/>
      <c r="D1349" s="266"/>
      <c r="E1349" s="270"/>
      <c r="F1349" s="270"/>
      <c r="G1349" s="270"/>
      <c r="H1349" s="266"/>
      <c r="I1349" s="270"/>
      <c r="J1349" s="270"/>
      <c r="K1349" s="263"/>
    </row>
    <row r="1350">
      <c r="A1350" s="269"/>
      <c r="B1350" s="264"/>
      <c r="C1350" s="266"/>
      <c r="D1350" s="266"/>
      <c r="E1350" s="270"/>
      <c r="F1350" s="270"/>
      <c r="G1350" s="270"/>
      <c r="H1350" s="266"/>
      <c r="I1350" s="270"/>
      <c r="J1350" s="270"/>
      <c r="K1350" s="263"/>
    </row>
    <row r="1351">
      <c r="A1351" s="269"/>
      <c r="B1351" s="264"/>
      <c r="C1351" s="266"/>
      <c r="D1351" s="266"/>
      <c r="E1351" s="270"/>
      <c r="F1351" s="270"/>
      <c r="G1351" s="270"/>
      <c r="H1351" s="266"/>
      <c r="I1351" s="270"/>
      <c r="J1351" s="270"/>
      <c r="K1351" s="263"/>
    </row>
    <row r="1352">
      <c r="A1352" s="269"/>
      <c r="B1352" s="264"/>
      <c r="C1352" s="266"/>
      <c r="D1352" s="266"/>
      <c r="E1352" s="270"/>
      <c r="F1352" s="270"/>
      <c r="G1352" s="270"/>
      <c r="H1352" s="266"/>
      <c r="I1352" s="270"/>
      <c r="J1352" s="270"/>
      <c r="K1352" s="263"/>
    </row>
    <row r="1353">
      <c r="A1353" s="269"/>
      <c r="B1353" s="264"/>
      <c r="C1353" s="266"/>
      <c r="D1353" s="266"/>
      <c r="E1353" s="270"/>
      <c r="F1353" s="270"/>
      <c r="G1353" s="270"/>
      <c r="H1353" s="266"/>
      <c r="I1353" s="270"/>
      <c r="J1353" s="270"/>
      <c r="K1353" s="263"/>
    </row>
    <row r="1354">
      <c r="A1354" s="269"/>
      <c r="B1354" s="264"/>
      <c r="C1354" s="266"/>
      <c r="D1354" s="266"/>
      <c r="E1354" s="270"/>
      <c r="F1354" s="270"/>
      <c r="G1354" s="270"/>
      <c r="H1354" s="266"/>
      <c r="I1354" s="270"/>
      <c r="J1354" s="270"/>
      <c r="K1354" s="263"/>
    </row>
    <row r="1355">
      <c r="A1355" s="269"/>
      <c r="B1355" s="264"/>
      <c r="C1355" s="266"/>
      <c r="D1355" s="266"/>
      <c r="E1355" s="270"/>
      <c r="F1355" s="270"/>
      <c r="G1355" s="270"/>
      <c r="H1355" s="266"/>
      <c r="I1355" s="270"/>
      <c r="J1355" s="270"/>
      <c r="K1355" s="263"/>
    </row>
    <row r="1356">
      <c r="A1356" s="269"/>
      <c r="B1356" s="264"/>
      <c r="C1356" s="266"/>
      <c r="D1356" s="266"/>
      <c r="E1356" s="270"/>
      <c r="F1356" s="270"/>
      <c r="G1356" s="270"/>
      <c r="H1356" s="266"/>
      <c r="I1356" s="270"/>
      <c r="J1356" s="270"/>
      <c r="K1356" s="263"/>
    </row>
    <row r="1357">
      <c r="A1357" s="269"/>
      <c r="B1357" s="264"/>
      <c r="C1357" s="266"/>
      <c r="D1357" s="266"/>
      <c r="E1357" s="270"/>
      <c r="F1357" s="270"/>
      <c r="G1357" s="270"/>
      <c r="H1357" s="266"/>
      <c r="I1357" s="270"/>
      <c r="J1357" s="270"/>
      <c r="K1357" s="263"/>
    </row>
    <row r="1358">
      <c r="A1358" s="269"/>
      <c r="B1358" s="264"/>
      <c r="C1358" s="266"/>
      <c r="D1358" s="266"/>
      <c r="E1358" s="270"/>
      <c r="F1358" s="270"/>
      <c r="G1358" s="270"/>
      <c r="H1358" s="266"/>
      <c r="I1358" s="270"/>
      <c r="J1358" s="270"/>
      <c r="K1358" s="263"/>
    </row>
    <row r="1359">
      <c r="A1359" s="269"/>
      <c r="B1359" s="264"/>
      <c r="C1359" s="266"/>
      <c r="D1359" s="266"/>
      <c r="E1359" s="270"/>
      <c r="F1359" s="270"/>
      <c r="G1359" s="270"/>
      <c r="H1359" s="266"/>
      <c r="I1359" s="270"/>
      <c r="J1359" s="270"/>
      <c r="K1359" s="263"/>
    </row>
    <row r="1360">
      <c r="A1360" s="269"/>
      <c r="B1360" s="264"/>
      <c r="C1360" s="266"/>
      <c r="D1360" s="266"/>
      <c r="E1360" s="270"/>
      <c r="F1360" s="270"/>
      <c r="G1360" s="270"/>
      <c r="H1360" s="266"/>
      <c r="I1360" s="270"/>
      <c r="J1360" s="270"/>
      <c r="K1360" s="263"/>
    </row>
    <row r="1361">
      <c r="A1361" s="269"/>
      <c r="B1361" s="264"/>
      <c r="C1361" s="266"/>
      <c r="D1361" s="266"/>
      <c r="E1361" s="270"/>
      <c r="F1361" s="270"/>
      <c r="G1361" s="270"/>
      <c r="H1361" s="266"/>
      <c r="I1361" s="270"/>
      <c r="J1361" s="270"/>
      <c r="K1361" s="263"/>
    </row>
    <row r="1362">
      <c r="A1362" s="269"/>
      <c r="B1362" s="264"/>
      <c r="C1362" s="266"/>
      <c r="D1362" s="266"/>
      <c r="E1362" s="270"/>
      <c r="F1362" s="270"/>
      <c r="G1362" s="270"/>
      <c r="H1362" s="266"/>
      <c r="I1362" s="270"/>
      <c r="J1362" s="270"/>
      <c r="K1362" s="263"/>
    </row>
    <row r="1363">
      <c r="A1363" s="269"/>
      <c r="B1363" s="264"/>
      <c r="C1363" s="266"/>
      <c r="D1363" s="266"/>
      <c r="E1363" s="270"/>
      <c r="F1363" s="270"/>
      <c r="G1363" s="270"/>
      <c r="H1363" s="266"/>
      <c r="I1363" s="270"/>
      <c r="J1363" s="270"/>
      <c r="K1363" s="263"/>
    </row>
    <row r="1364">
      <c r="A1364" s="269"/>
      <c r="B1364" s="264"/>
      <c r="C1364" s="266"/>
      <c r="D1364" s="266"/>
      <c r="E1364" s="270"/>
      <c r="F1364" s="270"/>
      <c r="G1364" s="270"/>
      <c r="H1364" s="266"/>
      <c r="I1364" s="270"/>
      <c r="J1364" s="270"/>
      <c r="K1364" s="263"/>
    </row>
    <row r="1365">
      <c r="A1365" s="269"/>
      <c r="B1365" s="264"/>
      <c r="C1365" s="266"/>
      <c r="D1365" s="266"/>
      <c r="E1365" s="270"/>
      <c r="F1365" s="270"/>
      <c r="G1365" s="270"/>
      <c r="H1365" s="266"/>
      <c r="I1365" s="270"/>
      <c r="J1365" s="270"/>
      <c r="K1365" s="263"/>
    </row>
    <row r="1366">
      <c r="A1366" s="269"/>
      <c r="B1366" s="264"/>
      <c r="C1366" s="266"/>
      <c r="D1366" s="266"/>
      <c r="E1366" s="270"/>
      <c r="F1366" s="270"/>
      <c r="G1366" s="270"/>
      <c r="H1366" s="266"/>
      <c r="I1366" s="270"/>
      <c r="J1366" s="270"/>
      <c r="K1366" s="263"/>
    </row>
    <row r="1367">
      <c r="A1367" s="269"/>
      <c r="B1367" s="264"/>
      <c r="C1367" s="266"/>
      <c r="D1367" s="266"/>
      <c r="E1367" s="270"/>
      <c r="F1367" s="270"/>
      <c r="G1367" s="270"/>
      <c r="H1367" s="266"/>
      <c r="I1367" s="270"/>
      <c r="J1367" s="270"/>
      <c r="K1367" s="263"/>
    </row>
    <row r="1368">
      <c r="A1368" s="269"/>
      <c r="B1368" s="264"/>
      <c r="C1368" s="266"/>
      <c r="D1368" s="266"/>
      <c r="E1368" s="270"/>
      <c r="F1368" s="270"/>
      <c r="G1368" s="270"/>
      <c r="H1368" s="266"/>
      <c r="I1368" s="270"/>
      <c r="J1368" s="270"/>
      <c r="K1368" s="263"/>
    </row>
    <row r="1369">
      <c r="A1369" s="269"/>
      <c r="B1369" s="264"/>
      <c r="C1369" s="266"/>
      <c r="D1369" s="266"/>
      <c r="E1369" s="270"/>
      <c r="F1369" s="270"/>
      <c r="G1369" s="270"/>
      <c r="H1369" s="266"/>
      <c r="I1369" s="270"/>
      <c r="J1369" s="270"/>
      <c r="K1369" s="263"/>
    </row>
    <row r="1370">
      <c r="A1370" s="269"/>
      <c r="B1370" s="264"/>
      <c r="C1370" s="266"/>
      <c r="D1370" s="266"/>
      <c r="E1370" s="270"/>
      <c r="F1370" s="270"/>
      <c r="G1370" s="270"/>
      <c r="H1370" s="266"/>
      <c r="I1370" s="270"/>
      <c r="J1370" s="270"/>
      <c r="K1370" s="263"/>
    </row>
    <row r="1371">
      <c r="A1371" s="269"/>
      <c r="B1371" s="264"/>
      <c r="C1371" s="266"/>
      <c r="D1371" s="266"/>
      <c r="E1371" s="270"/>
      <c r="F1371" s="270"/>
      <c r="G1371" s="270"/>
      <c r="H1371" s="266"/>
      <c r="I1371" s="270"/>
      <c r="J1371" s="270"/>
      <c r="K1371" s="263"/>
    </row>
    <row r="1372">
      <c r="A1372" s="269"/>
      <c r="B1372" s="264"/>
      <c r="C1372" s="266"/>
      <c r="D1372" s="266"/>
      <c r="E1372" s="270"/>
      <c r="F1372" s="270"/>
      <c r="G1372" s="270"/>
      <c r="H1372" s="266"/>
      <c r="I1372" s="270"/>
      <c r="J1372" s="270"/>
      <c r="K1372" s="263"/>
    </row>
    <row r="1373">
      <c r="A1373" s="269"/>
      <c r="B1373" s="264"/>
      <c r="C1373" s="266"/>
      <c r="D1373" s="266"/>
      <c r="E1373" s="270"/>
      <c r="F1373" s="270"/>
      <c r="G1373" s="270"/>
      <c r="H1373" s="266"/>
      <c r="I1373" s="270"/>
      <c r="J1373" s="270"/>
      <c r="K1373" s="263"/>
    </row>
    <row r="1374">
      <c r="A1374" s="269"/>
      <c r="B1374" s="264"/>
      <c r="C1374" s="266"/>
      <c r="D1374" s="266"/>
      <c r="E1374" s="270"/>
      <c r="F1374" s="270"/>
      <c r="G1374" s="270"/>
      <c r="H1374" s="266"/>
      <c r="I1374" s="270"/>
      <c r="J1374" s="270"/>
      <c r="K1374" s="263"/>
    </row>
    <row r="1375">
      <c r="A1375" s="269"/>
      <c r="B1375" s="264"/>
      <c r="C1375" s="266"/>
      <c r="D1375" s="266"/>
      <c r="E1375" s="270"/>
      <c r="F1375" s="270"/>
      <c r="G1375" s="270"/>
      <c r="H1375" s="266"/>
      <c r="I1375" s="270"/>
      <c r="J1375" s="270"/>
      <c r="K1375" s="263"/>
    </row>
    <row r="1376">
      <c r="A1376" s="269"/>
      <c r="B1376" s="264"/>
      <c r="C1376" s="266"/>
      <c r="D1376" s="266"/>
      <c r="E1376" s="270"/>
      <c r="F1376" s="270"/>
      <c r="G1376" s="270"/>
      <c r="H1376" s="266"/>
      <c r="I1376" s="270"/>
      <c r="J1376" s="270"/>
      <c r="K1376" s="263"/>
    </row>
    <row r="1377">
      <c r="A1377" s="269"/>
      <c r="B1377" s="264"/>
      <c r="C1377" s="266"/>
      <c r="D1377" s="266"/>
      <c r="E1377" s="270"/>
      <c r="F1377" s="270"/>
      <c r="G1377" s="270"/>
      <c r="H1377" s="266"/>
      <c r="I1377" s="270"/>
      <c r="J1377" s="270"/>
      <c r="K1377" s="263"/>
    </row>
    <row r="1378">
      <c r="A1378" s="269"/>
      <c r="B1378" s="264"/>
      <c r="C1378" s="266"/>
      <c r="D1378" s="266"/>
      <c r="E1378" s="270"/>
      <c r="F1378" s="270"/>
      <c r="G1378" s="270"/>
      <c r="H1378" s="266"/>
      <c r="I1378" s="270"/>
      <c r="J1378" s="270"/>
      <c r="K1378" s="263"/>
    </row>
    <row r="1379">
      <c r="A1379" s="269"/>
      <c r="B1379" s="264"/>
      <c r="C1379" s="266"/>
      <c r="D1379" s="266"/>
      <c r="E1379" s="270"/>
      <c r="F1379" s="270"/>
      <c r="G1379" s="270"/>
      <c r="H1379" s="266"/>
      <c r="I1379" s="270"/>
      <c r="J1379" s="270"/>
      <c r="K1379" s="263"/>
    </row>
    <row r="1380">
      <c r="A1380" s="269"/>
      <c r="B1380" s="264"/>
      <c r="C1380" s="266"/>
      <c r="D1380" s="266"/>
      <c r="E1380" s="270"/>
      <c r="F1380" s="270"/>
      <c r="G1380" s="270"/>
      <c r="H1380" s="266"/>
      <c r="I1380" s="270"/>
      <c r="J1380" s="270"/>
      <c r="K1380" s="263"/>
    </row>
    <row r="1381">
      <c r="A1381" s="269"/>
      <c r="B1381" s="264"/>
      <c r="C1381" s="266"/>
      <c r="D1381" s="266"/>
      <c r="E1381" s="270"/>
      <c r="F1381" s="270"/>
      <c r="G1381" s="270"/>
      <c r="H1381" s="266"/>
      <c r="I1381" s="270"/>
      <c r="J1381" s="270"/>
      <c r="K1381" s="263"/>
    </row>
    <row r="1382">
      <c r="A1382" s="269"/>
      <c r="B1382" s="264"/>
      <c r="C1382" s="266"/>
      <c r="D1382" s="266"/>
      <c r="E1382" s="270"/>
      <c r="F1382" s="270"/>
      <c r="G1382" s="270"/>
      <c r="H1382" s="266"/>
      <c r="I1382" s="270"/>
      <c r="J1382" s="270"/>
      <c r="K1382" s="263"/>
    </row>
    <row r="1383">
      <c r="A1383" s="269"/>
      <c r="B1383" s="264"/>
      <c r="C1383" s="266"/>
      <c r="D1383" s="266"/>
      <c r="E1383" s="270"/>
      <c r="F1383" s="270"/>
      <c r="G1383" s="270"/>
      <c r="H1383" s="266"/>
      <c r="I1383" s="270"/>
      <c r="J1383" s="270"/>
      <c r="K1383" s="263"/>
    </row>
    <row r="1384">
      <c r="A1384" s="269"/>
      <c r="B1384" s="264"/>
      <c r="C1384" s="266"/>
      <c r="D1384" s="266"/>
      <c r="E1384" s="270"/>
      <c r="F1384" s="270"/>
      <c r="G1384" s="270"/>
      <c r="H1384" s="266"/>
      <c r="I1384" s="270"/>
      <c r="J1384" s="270"/>
      <c r="K1384" s="263"/>
    </row>
    <row r="1385">
      <c r="A1385" s="269"/>
      <c r="B1385" s="264"/>
      <c r="C1385" s="266"/>
      <c r="D1385" s="266"/>
      <c r="E1385" s="270"/>
      <c r="F1385" s="270"/>
      <c r="G1385" s="270"/>
      <c r="H1385" s="266"/>
      <c r="I1385" s="270"/>
      <c r="J1385" s="270"/>
      <c r="K1385" s="263"/>
    </row>
    <row r="1386">
      <c r="A1386" s="269"/>
      <c r="B1386" s="264"/>
      <c r="C1386" s="266"/>
      <c r="D1386" s="266"/>
      <c r="E1386" s="270"/>
      <c r="F1386" s="270"/>
      <c r="G1386" s="270"/>
      <c r="H1386" s="266"/>
      <c r="I1386" s="270"/>
      <c r="J1386" s="270"/>
      <c r="K1386" s="263"/>
    </row>
    <row r="1387">
      <c r="A1387" s="269"/>
      <c r="B1387" s="264"/>
      <c r="C1387" s="266"/>
      <c r="D1387" s="266"/>
      <c r="E1387" s="270"/>
      <c r="F1387" s="270"/>
      <c r="G1387" s="270"/>
      <c r="H1387" s="266"/>
      <c r="I1387" s="270"/>
      <c r="J1387" s="270"/>
      <c r="K1387" s="263"/>
    </row>
    <row r="1388">
      <c r="A1388" s="269"/>
      <c r="B1388" s="264"/>
      <c r="C1388" s="266"/>
      <c r="D1388" s="266"/>
      <c r="E1388" s="270"/>
      <c r="F1388" s="270"/>
      <c r="G1388" s="270"/>
      <c r="H1388" s="266"/>
      <c r="I1388" s="270"/>
      <c r="J1388" s="270"/>
      <c r="K1388" s="263"/>
    </row>
    <row r="1389">
      <c r="A1389" s="269"/>
      <c r="B1389" s="264"/>
      <c r="C1389" s="266"/>
      <c r="D1389" s="266"/>
      <c r="E1389" s="270"/>
      <c r="F1389" s="270"/>
      <c r="G1389" s="270"/>
      <c r="H1389" s="266"/>
      <c r="I1389" s="270"/>
      <c r="J1389" s="270"/>
      <c r="K1389" s="263"/>
    </row>
    <row r="1390">
      <c r="A1390" s="269"/>
      <c r="B1390" s="264"/>
      <c r="C1390" s="266"/>
      <c r="D1390" s="266"/>
      <c r="E1390" s="270"/>
      <c r="F1390" s="270"/>
      <c r="G1390" s="270"/>
      <c r="H1390" s="266"/>
      <c r="I1390" s="270"/>
      <c r="J1390" s="270"/>
      <c r="K1390" s="263"/>
    </row>
    <row r="1391">
      <c r="A1391" s="269"/>
      <c r="B1391" s="264"/>
      <c r="C1391" s="266"/>
      <c r="D1391" s="266"/>
      <c r="E1391" s="270"/>
      <c r="F1391" s="270"/>
      <c r="G1391" s="270"/>
      <c r="H1391" s="266"/>
      <c r="I1391" s="270"/>
      <c r="J1391" s="270"/>
      <c r="K1391" s="263"/>
    </row>
    <row r="1392">
      <c r="A1392" s="269"/>
      <c r="B1392" s="264"/>
      <c r="C1392" s="266"/>
      <c r="D1392" s="266"/>
      <c r="E1392" s="270"/>
      <c r="F1392" s="270"/>
      <c r="G1392" s="270"/>
      <c r="H1392" s="266"/>
      <c r="I1392" s="270"/>
      <c r="J1392" s="270"/>
      <c r="K1392" s="263"/>
    </row>
    <row r="1393">
      <c r="A1393" s="269"/>
      <c r="B1393" s="264"/>
      <c r="C1393" s="266"/>
      <c r="D1393" s="266"/>
      <c r="E1393" s="270"/>
      <c r="F1393" s="270"/>
      <c r="G1393" s="270"/>
      <c r="H1393" s="266"/>
      <c r="I1393" s="270"/>
      <c r="J1393" s="270"/>
      <c r="K1393" s="263"/>
    </row>
    <row r="1394">
      <c r="A1394" s="269"/>
      <c r="B1394" s="264"/>
      <c r="C1394" s="266"/>
      <c r="D1394" s="266"/>
      <c r="E1394" s="270"/>
      <c r="F1394" s="270"/>
      <c r="G1394" s="270"/>
      <c r="H1394" s="266"/>
      <c r="I1394" s="270"/>
      <c r="J1394" s="270"/>
      <c r="K1394" s="263"/>
    </row>
    <row r="1395">
      <c r="A1395" s="269"/>
      <c r="B1395" s="264"/>
      <c r="C1395" s="266"/>
      <c r="D1395" s="266"/>
      <c r="E1395" s="270"/>
      <c r="F1395" s="270"/>
      <c r="G1395" s="270"/>
      <c r="H1395" s="266"/>
      <c r="I1395" s="270"/>
      <c r="J1395" s="270"/>
      <c r="K1395" s="263"/>
    </row>
    <row r="1396">
      <c r="A1396" s="269"/>
      <c r="B1396" s="264"/>
      <c r="C1396" s="266"/>
      <c r="D1396" s="266"/>
      <c r="E1396" s="270"/>
      <c r="F1396" s="270"/>
      <c r="G1396" s="270"/>
      <c r="H1396" s="266"/>
      <c r="I1396" s="270"/>
      <c r="J1396" s="270"/>
      <c r="K1396" s="263"/>
    </row>
    <row r="1397">
      <c r="A1397" s="269"/>
      <c r="B1397" s="264"/>
      <c r="C1397" s="266"/>
      <c r="D1397" s="266"/>
      <c r="E1397" s="270"/>
      <c r="F1397" s="270"/>
      <c r="G1397" s="270"/>
      <c r="H1397" s="266"/>
      <c r="I1397" s="270"/>
      <c r="J1397" s="270"/>
      <c r="K1397" s="263"/>
    </row>
    <row r="1398">
      <c r="A1398" s="269"/>
      <c r="B1398" s="264"/>
      <c r="C1398" s="266"/>
      <c r="D1398" s="266"/>
      <c r="E1398" s="270"/>
      <c r="F1398" s="270"/>
      <c r="G1398" s="270"/>
      <c r="H1398" s="266"/>
      <c r="I1398" s="270"/>
      <c r="J1398" s="270"/>
      <c r="K1398" s="263"/>
    </row>
    <row r="1399">
      <c r="A1399" s="269"/>
      <c r="B1399" s="264"/>
      <c r="C1399" s="266"/>
      <c r="D1399" s="266"/>
      <c r="E1399" s="270"/>
      <c r="F1399" s="270"/>
      <c r="G1399" s="270"/>
      <c r="H1399" s="266"/>
      <c r="I1399" s="270"/>
      <c r="J1399" s="270"/>
      <c r="K1399" s="263"/>
    </row>
    <row r="1400">
      <c r="A1400" s="269"/>
      <c r="B1400" s="264"/>
      <c r="C1400" s="266"/>
      <c r="D1400" s="266"/>
      <c r="E1400" s="270"/>
      <c r="F1400" s="270"/>
      <c r="G1400" s="270"/>
      <c r="H1400" s="266"/>
      <c r="I1400" s="270"/>
      <c r="J1400" s="270"/>
      <c r="K1400" s="263"/>
    </row>
    <row r="1401">
      <c r="A1401" s="269"/>
      <c r="B1401" s="264"/>
      <c r="C1401" s="266"/>
      <c r="D1401" s="266"/>
      <c r="E1401" s="270"/>
      <c r="F1401" s="270"/>
      <c r="G1401" s="270"/>
      <c r="H1401" s="266"/>
      <c r="I1401" s="270"/>
      <c r="J1401" s="270"/>
      <c r="K1401" s="263"/>
    </row>
    <row r="1402">
      <c r="A1402" s="269"/>
      <c r="B1402" s="264"/>
      <c r="C1402" s="266"/>
      <c r="D1402" s="266"/>
      <c r="E1402" s="270"/>
      <c r="F1402" s="270"/>
      <c r="G1402" s="270"/>
      <c r="H1402" s="266"/>
      <c r="I1402" s="270"/>
      <c r="J1402" s="270"/>
      <c r="K1402" s="263"/>
    </row>
    <row r="1403">
      <c r="A1403" s="269"/>
      <c r="B1403" s="264"/>
      <c r="C1403" s="266"/>
      <c r="D1403" s="266"/>
      <c r="E1403" s="270"/>
      <c r="F1403" s="270"/>
      <c r="G1403" s="270"/>
      <c r="H1403" s="266"/>
      <c r="I1403" s="270"/>
      <c r="J1403" s="270"/>
      <c r="K1403" s="263"/>
    </row>
    <row r="1404">
      <c r="A1404" s="269"/>
      <c r="B1404" s="264"/>
      <c r="C1404" s="266"/>
      <c r="D1404" s="266"/>
      <c r="E1404" s="270"/>
      <c r="F1404" s="270"/>
      <c r="G1404" s="270"/>
      <c r="H1404" s="266"/>
      <c r="I1404" s="270"/>
      <c r="J1404" s="270"/>
      <c r="K1404" s="263"/>
    </row>
    <row r="1405">
      <c r="A1405" s="269"/>
      <c r="B1405" s="264"/>
      <c r="C1405" s="266"/>
      <c r="D1405" s="266"/>
      <c r="E1405" s="270"/>
      <c r="F1405" s="270"/>
      <c r="G1405" s="270"/>
      <c r="H1405" s="266"/>
      <c r="I1405" s="270"/>
      <c r="J1405" s="270"/>
      <c r="K1405" s="263"/>
    </row>
    <row r="1406">
      <c r="A1406" s="269"/>
      <c r="B1406" s="264"/>
      <c r="C1406" s="266"/>
      <c r="D1406" s="266"/>
      <c r="E1406" s="270"/>
      <c r="F1406" s="270"/>
      <c r="G1406" s="270"/>
      <c r="H1406" s="266"/>
      <c r="I1406" s="270"/>
      <c r="J1406" s="270"/>
      <c r="K1406" s="263"/>
    </row>
    <row r="1407">
      <c r="A1407" s="269"/>
      <c r="B1407" s="264"/>
      <c r="C1407" s="266"/>
      <c r="D1407" s="266"/>
      <c r="E1407" s="270"/>
      <c r="F1407" s="270"/>
      <c r="G1407" s="270"/>
      <c r="H1407" s="266"/>
      <c r="I1407" s="270"/>
      <c r="J1407" s="270"/>
      <c r="K1407" s="263"/>
    </row>
    <row r="1408">
      <c r="A1408" s="269"/>
      <c r="B1408" s="264"/>
      <c r="C1408" s="266"/>
      <c r="D1408" s="266"/>
      <c r="E1408" s="270"/>
      <c r="F1408" s="270"/>
      <c r="G1408" s="270"/>
      <c r="H1408" s="266"/>
      <c r="I1408" s="270"/>
      <c r="J1408" s="270"/>
      <c r="K1408" s="263"/>
    </row>
    <row r="1409">
      <c r="A1409" s="269"/>
      <c r="B1409" s="264"/>
      <c r="C1409" s="266"/>
      <c r="D1409" s="266"/>
      <c r="E1409" s="270"/>
      <c r="F1409" s="270"/>
      <c r="G1409" s="270"/>
      <c r="H1409" s="266"/>
      <c r="I1409" s="270"/>
      <c r="J1409" s="270"/>
      <c r="K1409" s="263"/>
    </row>
    <row r="1410">
      <c r="A1410" s="269"/>
      <c r="B1410" s="264"/>
      <c r="C1410" s="266"/>
      <c r="D1410" s="266"/>
      <c r="E1410" s="270"/>
      <c r="F1410" s="270"/>
      <c r="G1410" s="270"/>
      <c r="H1410" s="266"/>
      <c r="I1410" s="270"/>
      <c r="J1410" s="270"/>
      <c r="K1410" s="263"/>
    </row>
    <row r="1411">
      <c r="A1411" s="269"/>
      <c r="B1411" s="264"/>
      <c r="C1411" s="266"/>
      <c r="D1411" s="266"/>
      <c r="E1411" s="270"/>
      <c r="F1411" s="270"/>
      <c r="G1411" s="270"/>
      <c r="H1411" s="266"/>
      <c r="I1411" s="270"/>
      <c r="J1411" s="270"/>
      <c r="K1411" s="263"/>
    </row>
    <row r="1412">
      <c r="A1412" s="269"/>
      <c r="B1412" s="264"/>
      <c r="C1412" s="266"/>
      <c r="D1412" s="266"/>
      <c r="E1412" s="270"/>
      <c r="F1412" s="270"/>
      <c r="G1412" s="270"/>
      <c r="H1412" s="266"/>
      <c r="I1412" s="270"/>
      <c r="J1412" s="270"/>
      <c r="K1412" s="263"/>
    </row>
    <row r="1413">
      <c r="A1413" s="269"/>
      <c r="B1413" s="264"/>
      <c r="C1413" s="266"/>
      <c r="D1413" s="266"/>
      <c r="E1413" s="270"/>
      <c r="F1413" s="270"/>
      <c r="G1413" s="270"/>
      <c r="H1413" s="266"/>
      <c r="I1413" s="270"/>
      <c r="J1413" s="270"/>
      <c r="K1413" s="263"/>
    </row>
    <row r="1414">
      <c r="A1414" s="269"/>
      <c r="B1414" s="264"/>
      <c r="C1414" s="266"/>
      <c r="D1414" s="266"/>
      <c r="E1414" s="270"/>
      <c r="F1414" s="270"/>
      <c r="G1414" s="270"/>
      <c r="H1414" s="266"/>
      <c r="I1414" s="270"/>
      <c r="J1414" s="270"/>
      <c r="K1414" s="263"/>
    </row>
    <row r="1415">
      <c r="A1415" s="269"/>
      <c r="B1415" s="264"/>
      <c r="C1415" s="266"/>
      <c r="D1415" s="266"/>
      <c r="E1415" s="270"/>
      <c r="F1415" s="270"/>
      <c r="G1415" s="270"/>
      <c r="H1415" s="266"/>
      <c r="I1415" s="270"/>
      <c r="J1415" s="270"/>
      <c r="K1415" s="263"/>
    </row>
    <row r="1416">
      <c r="A1416" s="269"/>
      <c r="B1416" s="264"/>
      <c r="C1416" s="266"/>
      <c r="D1416" s="266"/>
      <c r="E1416" s="270"/>
      <c r="F1416" s="270"/>
      <c r="G1416" s="270"/>
      <c r="H1416" s="266"/>
      <c r="I1416" s="270"/>
      <c r="J1416" s="270"/>
      <c r="K1416" s="263"/>
    </row>
    <row r="1417">
      <c r="A1417" s="269"/>
      <c r="B1417" s="264"/>
      <c r="C1417" s="266"/>
      <c r="D1417" s="266"/>
      <c r="E1417" s="270"/>
      <c r="F1417" s="270"/>
      <c r="G1417" s="270"/>
      <c r="H1417" s="266"/>
      <c r="I1417" s="270"/>
      <c r="J1417" s="270"/>
      <c r="K1417" s="263"/>
    </row>
    <row r="1418">
      <c r="A1418" s="269"/>
      <c r="B1418" s="264"/>
      <c r="C1418" s="266"/>
      <c r="D1418" s="266"/>
      <c r="E1418" s="270"/>
      <c r="F1418" s="270"/>
      <c r="G1418" s="270"/>
      <c r="H1418" s="266"/>
      <c r="I1418" s="270"/>
      <c r="J1418" s="270"/>
      <c r="K1418" s="263"/>
    </row>
    <row r="1419">
      <c r="A1419" s="269"/>
      <c r="B1419" s="264"/>
      <c r="C1419" s="266"/>
      <c r="D1419" s="266"/>
      <c r="E1419" s="270"/>
      <c r="F1419" s="270"/>
      <c r="G1419" s="270"/>
      <c r="H1419" s="266"/>
      <c r="I1419" s="270"/>
      <c r="J1419" s="270"/>
      <c r="K1419" s="263"/>
    </row>
    <row r="1420">
      <c r="A1420" s="269"/>
      <c r="B1420" s="264"/>
      <c r="C1420" s="266"/>
      <c r="D1420" s="266"/>
      <c r="E1420" s="270"/>
      <c r="F1420" s="270"/>
      <c r="G1420" s="270"/>
      <c r="H1420" s="266"/>
      <c r="I1420" s="270"/>
      <c r="J1420" s="270"/>
      <c r="K1420" s="263"/>
    </row>
    <row r="1421">
      <c r="A1421" s="269"/>
      <c r="B1421" s="264"/>
      <c r="C1421" s="266"/>
      <c r="D1421" s="266"/>
      <c r="E1421" s="270"/>
      <c r="F1421" s="270"/>
      <c r="G1421" s="270"/>
      <c r="H1421" s="266"/>
      <c r="I1421" s="270"/>
      <c r="J1421" s="270"/>
      <c r="K1421" s="263"/>
    </row>
    <row r="1422">
      <c r="A1422" s="269"/>
      <c r="B1422" s="264"/>
      <c r="C1422" s="266"/>
      <c r="D1422" s="266"/>
      <c r="E1422" s="270"/>
      <c r="F1422" s="270"/>
      <c r="G1422" s="270"/>
      <c r="H1422" s="266"/>
      <c r="I1422" s="270"/>
      <c r="J1422" s="270"/>
      <c r="K1422" s="263"/>
    </row>
    <row r="1423">
      <c r="A1423" s="269"/>
      <c r="B1423" s="264"/>
      <c r="C1423" s="266"/>
      <c r="D1423" s="266"/>
      <c r="E1423" s="270"/>
      <c r="F1423" s="270"/>
      <c r="G1423" s="270"/>
      <c r="H1423" s="266"/>
      <c r="I1423" s="270"/>
      <c r="J1423" s="270"/>
      <c r="K1423" s="263"/>
    </row>
    <row r="1424">
      <c r="A1424" s="269"/>
      <c r="B1424" s="264"/>
      <c r="C1424" s="266"/>
      <c r="D1424" s="266"/>
      <c r="E1424" s="270"/>
      <c r="F1424" s="270"/>
      <c r="G1424" s="270"/>
      <c r="H1424" s="266"/>
      <c r="I1424" s="270"/>
      <c r="J1424" s="270"/>
      <c r="K1424" s="263"/>
    </row>
    <row r="1425">
      <c r="A1425" s="269"/>
      <c r="B1425" s="264"/>
      <c r="C1425" s="266"/>
      <c r="D1425" s="266"/>
      <c r="E1425" s="270"/>
      <c r="F1425" s="270"/>
      <c r="G1425" s="270"/>
      <c r="H1425" s="266"/>
      <c r="I1425" s="270"/>
      <c r="J1425" s="270"/>
      <c r="K1425" s="263"/>
    </row>
    <row r="1426">
      <c r="A1426" s="269"/>
      <c r="B1426" s="264"/>
      <c r="C1426" s="266"/>
      <c r="D1426" s="266"/>
      <c r="E1426" s="270"/>
      <c r="F1426" s="270"/>
      <c r="G1426" s="270"/>
      <c r="H1426" s="266"/>
      <c r="I1426" s="270"/>
      <c r="J1426" s="270"/>
      <c r="K1426" s="263"/>
    </row>
    <row r="1427">
      <c r="A1427" s="269"/>
      <c r="B1427" s="264"/>
      <c r="C1427" s="266"/>
      <c r="D1427" s="266"/>
      <c r="E1427" s="270"/>
      <c r="F1427" s="270"/>
      <c r="G1427" s="270"/>
      <c r="H1427" s="266"/>
      <c r="I1427" s="270"/>
      <c r="J1427" s="270"/>
      <c r="K1427" s="263"/>
    </row>
    <row r="1428">
      <c r="A1428" s="269"/>
      <c r="B1428" s="264"/>
      <c r="C1428" s="266"/>
      <c r="D1428" s="266"/>
      <c r="E1428" s="270"/>
      <c r="F1428" s="270"/>
      <c r="G1428" s="270"/>
      <c r="H1428" s="266"/>
      <c r="I1428" s="270"/>
      <c r="J1428" s="270"/>
      <c r="K1428" s="263"/>
    </row>
    <row r="1429">
      <c r="A1429" s="269"/>
      <c r="B1429" s="264"/>
      <c r="C1429" s="266"/>
      <c r="D1429" s="266"/>
      <c r="E1429" s="270"/>
      <c r="F1429" s="270"/>
      <c r="G1429" s="270"/>
      <c r="H1429" s="266"/>
      <c r="I1429" s="270"/>
      <c r="J1429" s="270"/>
      <c r="K1429" s="263"/>
    </row>
    <row r="1430">
      <c r="A1430" s="269"/>
      <c r="B1430" s="264"/>
      <c r="C1430" s="266"/>
      <c r="D1430" s="266"/>
      <c r="E1430" s="270"/>
      <c r="F1430" s="270"/>
      <c r="G1430" s="270"/>
      <c r="H1430" s="266"/>
      <c r="I1430" s="270"/>
      <c r="J1430" s="270"/>
      <c r="K1430" s="263"/>
    </row>
    <row r="1431">
      <c r="A1431" s="269"/>
      <c r="B1431" s="264"/>
      <c r="C1431" s="266"/>
      <c r="D1431" s="266"/>
      <c r="E1431" s="270"/>
      <c r="F1431" s="270"/>
      <c r="G1431" s="270"/>
      <c r="H1431" s="266"/>
      <c r="I1431" s="270"/>
      <c r="J1431" s="270"/>
      <c r="K1431" s="263"/>
    </row>
    <row r="1432">
      <c r="A1432" s="269"/>
      <c r="B1432" s="264"/>
      <c r="C1432" s="266"/>
      <c r="D1432" s="266"/>
      <c r="E1432" s="270"/>
      <c r="F1432" s="270"/>
      <c r="G1432" s="270"/>
      <c r="H1432" s="266"/>
      <c r="I1432" s="270"/>
      <c r="J1432" s="270"/>
      <c r="K1432" s="263"/>
    </row>
    <row r="1433">
      <c r="A1433" s="269"/>
      <c r="B1433" s="264"/>
      <c r="C1433" s="266"/>
      <c r="D1433" s="266"/>
      <c r="E1433" s="270"/>
      <c r="F1433" s="270"/>
      <c r="G1433" s="270"/>
      <c r="H1433" s="266"/>
      <c r="I1433" s="270"/>
      <c r="J1433" s="270"/>
      <c r="K1433" s="263"/>
    </row>
    <row r="1434">
      <c r="A1434" s="269"/>
      <c r="B1434" s="264"/>
      <c r="C1434" s="266"/>
      <c r="D1434" s="266"/>
      <c r="E1434" s="270"/>
      <c r="F1434" s="270"/>
      <c r="G1434" s="270"/>
      <c r="H1434" s="266"/>
      <c r="I1434" s="270"/>
      <c r="J1434" s="270"/>
      <c r="K1434" s="263"/>
    </row>
    <row r="1435">
      <c r="A1435" s="269"/>
      <c r="B1435" s="264"/>
      <c r="C1435" s="266"/>
      <c r="D1435" s="266"/>
      <c r="E1435" s="270"/>
      <c r="F1435" s="270"/>
      <c r="G1435" s="270"/>
      <c r="H1435" s="266"/>
      <c r="I1435" s="270"/>
      <c r="J1435" s="270"/>
      <c r="K1435" s="263"/>
    </row>
    <row r="1436">
      <c r="A1436" s="269"/>
      <c r="B1436" s="264"/>
      <c r="C1436" s="266"/>
      <c r="D1436" s="266"/>
      <c r="E1436" s="270"/>
      <c r="F1436" s="270"/>
      <c r="G1436" s="270"/>
      <c r="H1436" s="266"/>
      <c r="I1436" s="270"/>
      <c r="J1436" s="270"/>
      <c r="K1436" s="263"/>
    </row>
    <row r="1437">
      <c r="A1437" s="269"/>
      <c r="B1437" s="264"/>
      <c r="C1437" s="266"/>
      <c r="D1437" s="266"/>
      <c r="E1437" s="270"/>
      <c r="F1437" s="270"/>
      <c r="G1437" s="270"/>
      <c r="H1437" s="266"/>
      <c r="I1437" s="270"/>
      <c r="J1437" s="270"/>
      <c r="K1437" s="263"/>
    </row>
    <row r="1438">
      <c r="A1438" s="269"/>
      <c r="B1438" s="264"/>
      <c r="C1438" s="266"/>
      <c r="D1438" s="266"/>
      <c r="E1438" s="270"/>
      <c r="F1438" s="270"/>
      <c r="G1438" s="270"/>
      <c r="H1438" s="266"/>
      <c r="I1438" s="270"/>
      <c r="J1438" s="270"/>
      <c r="K1438" s="263"/>
    </row>
    <row r="1439">
      <c r="A1439" s="269"/>
      <c r="B1439" s="264"/>
      <c r="C1439" s="266"/>
      <c r="D1439" s="266"/>
      <c r="E1439" s="270"/>
      <c r="F1439" s="270"/>
      <c r="G1439" s="270"/>
      <c r="H1439" s="266"/>
      <c r="I1439" s="270"/>
      <c r="J1439" s="270"/>
      <c r="K1439" s="263"/>
    </row>
    <row r="1440">
      <c r="A1440" s="269"/>
      <c r="B1440" s="264"/>
      <c r="C1440" s="266"/>
      <c r="D1440" s="266"/>
      <c r="E1440" s="270"/>
      <c r="F1440" s="270"/>
      <c r="G1440" s="270"/>
      <c r="H1440" s="266"/>
      <c r="I1440" s="270"/>
      <c r="J1440" s="270"/>
      <c r="K1440" s="263"/>
    </row>
    <row r="1441">
      <c r="A1441" s="269"/>
      <c r="B1441" s="264"/>
      <c r="C1441" s="266"/>
      <c r="D1441" s="266"/>
      <c r="E1441" s="270"/>
      <c r="F1441" s="270"/>
      <c r="G1441" s="270"/>
      <c r="H1441" s="266"/>
      <c r="I1441" s="270"/>
      <c r="J1441" s="270"/>
      <c r="K1441" s="263"/>
    </row>
    <row r="1442">
      <c r="A1442" s="269"/>
      <c r="B1442" s="264"/>
      <c r="C1442" s="266"/>
      <c r="D1442" s="266"/>
      <c r="E1442" s="270"/>
      <c r="F1442" s="270"/>
      <c r="G1442" s="270"/>
      <c r="H1442" s="266"/>
      <c r="I1442" s="270"/>
      <c r="J1442" s="270"/>
      <c r="K1442" s="263"/>
    </row>
    <row r="1443">
      <c r="A1443" s="269"/>
      <c r="B1443" s="264"/>
      <c r="C1443" s="266"/>
      <c r="D1443" s="266"/>
      <c r="E1443" s="270"/>
      <c r="F1443" s="270"/>
      <c r="G1443" s="270"/>
      <c r="H1443" s="266"/>
      <c r="I1443" s="270"/>
      <c r="J1443" s="270"/>
      <c r="K1443" s="263"/>
    </row>
    <row r="1444">
      <c r="A1444" s="269"/>
      <c r="B1444" s="264"/>
      <c r="C1444" s="266"/>
      <c r="D1444" s="266"/>
      <c r="E1444" s="270"/>
      <c r="F1444" s="270"/>
      <c r="G1444" s="270"/>
      <c r="H1444" s="266"/>
      <c r="I1444" s="270"/>
      <c r="J1444" s="270"/>
      <c r="K1444" s="263"/>
    </row>
    <row r="1445">
      <c r="A1445" s="269"/>
      <c r="B1445" s="264"/>
      <c r="C1445" s="266"/>
      <c r="D1445" s="266"/>
      <c r="E1445" s="270"/>
      <c r="F1445" s="270"/>
      <c r="G1445" s="270"/>
      <c r="H1445" s="266"/>
      <c r="I1445" s="270"/>
      <c r="J1445" s="270"/>
      <c r="K1445" s="263"/>
    </row>
    <row r="1446">
      <c r="A1446" s="269"/>
      <c r="B1446" s="264"/>
      <c r="C1446" s="266"/>
      <c r="D1446" s="266"/>
      <c r="E1446" s="270"/>
      <c r="F1446" s="270"/>
      <c r="G1446" s="270"/>
      <c r="H1446" s="266"/>
      <c r="I1446" s="270"/>
      <c r="J1446" s="270"/>
      <c r="K1446" s="263"/>
    </row>
    <row r="1447">
      <c r="A1447" s="269"/>
      <c r="B1447" s="264"/>
      <c r="C1447" s="266"/>
      <c r="D1447" s="266"/>
      <c r="E1447" s="270"/>
      <c r="F1447" s="270"/>
      <c r="G1447" s="270"/>
      <c r="H1447" s="266"/>
      <c r="I1447" s="270"/>
      <c r="J1447" s="270"/>
      <c r="K1447" s="263"/>
    </row>
    <row r="1448">
      <c r="A1448" s="269"/>
      <c r="B1448" s="264"/>
      <c r="C1448" s="266"/>
      <c r="D1448" s="266"/>
      <c r="E1448" s="270"/>
      <c r="F1448" s="270"/>
      <c r="G1448" s="270"/>
      <c r="H1448" s="266"/>
      <c r="I1448" s="270"/>
      <c r="J1448" s="270"/>
      <c r="K1448" s="263"/>
    </row>
    <row r="1449">
      <c r="A1449" s="269"/>
      <c r="B1449" s="264"/>
      <c r="C1449" s="266"/>
      <c r="D1449" s="266"/>
      <c r="E1449" s="270"/>
      <c r="F1449" s="270"/>
      <c r="G1449" s="270"/>
      <c r="H1449" s="266"/>
      <c r="I1449" s="270"/>
      <c r="J1449" s="270"/>
      <c r="K1449" s="263"/>
    </row>
    <row r="1450">
      <c r="A1450" s="269"/>
      <c r="B1450" s="264"/>
      <c r="C1450" s="266"/>
      <c r="D1450" s="266"/>
      <c r="E1450" s="270"/>
      <c r="F1450" s="270"/>
      <c r="G1450" s="270"/>
      <c r="H1450" s="266"/>
      <c r="I1450" s="270"/>
      <c r="J1450" s="270"/>
      <c r="K1450" s="263"/>
    </row>
    <row r="1451">
      <c r="A1451" s="269"/>
      <c r="B1451" s="264"/>
      <c r="C1451" s="266"/>
      <c r="D1451" s="266"/>
      <c r="E1451" s="270"/>
      <c r="F1451" s="270"/>
      <c r="G1451" s="270"/>
      <c r="H1451" s="266"/>
      <c r="I1451" s="270"/>
      <c r="J1451" s="270"/>
      <c r="K1451" s="263"/>
    </row>
    <row r="1452">
      <c r="A1452" s="269"/>
      <c r="B1452" s="264"/>
      <c r="C1452" s="266"/>
      <c r="D1452" s="266"/>
      <c r="E1452" s="270"/>
      <c r="F1452" s="270"/>
      <c r="G1452" s="270"/>
      <c r="H1452" s="266"/>
      <c r="I1452" s="270"/>
      <c r="J1452" s="270"/>
      <c r="K1452" s="263"/>
    </row>
    <row r="1453">
      <c r="A1453" s="269"/>
      <c r="B1453" s="264"/>
      <c r="C1453" s="266"/>
      <c r="D1453" s="266"/>
      <c r="E1453" s="270"/>
      <c r="F1453" s="270"/>
      <c r="G1453" s="270"/>
      <c r="H1453" s="266"/>
      <c r="I1453" s="270"/>
      <c r="J1453" s="270"/>
      <c r="K1453" s="263"/>
    </row>
    <row r="1454">
      <c r="A1454" s="269"/>
      <c r="B1454" s="264"/>
      <c r="C1454" s="266"/>
      <c r="D1454" s="266"/>
      <c r="E1454" s="270"/>
      <c r="F1454" s="270"/>
      <c r="G1454" s="270"/>
      <c r="H1454" s="266"/>
      <c r="I1454" s="270"/>
      <c r="J1454" s="270"/>
      <c r="K1454" s="263"/>
    </row>
    <row r="1455">
      <c r="A1455" s="269"/>
      <c r="B1455" s="264"/>
      <c r="C1455" s="266"/>
      <c r="D1455" s="266"/>
      <c r="E1455" s="270"/>
      <c r="F1455" s="270"/>
      <c r="G1455" s="270"/>
      <c r="H1455" s="266"/>
      <c r="I1455" s="270"/>
      <c r="J1455" s="270"/>
      <c r="K1455" s="263"/>
    </row>
    <row r="1456">
      <c r="A1456" s="269"/>
      <c r="B1456" s="264"/>
      <c r="C1456" s="266"/>
      <c r="D1456" s="266"/>
      <c r="E1456" s="270"/>
      <c r="F1456" s="270"/>
      <c r="G1456" s="270"/>
      <c r="H1456" s="266"/>
      <c r="I1456" s="270"/>
      <c r="J1456" s="270"/>
      <c r="K1456" s="263"/>
    </row>
    <row r="1457">
      <c r="A1457" s="269"/>
      <c r="B1457" s="264"/>
      <c r="C1457" s="266"/>
      <c r="D1457" s="266"/>
      <c r="E1457" s="270"/>
      <c r="F1457" s="270"/>
      <c r="G1457" s="270"/>
      <c r="H1457" s="266"/>
      <c r="I1457" s="270"/>
      <c r="J1457" s="270"/>
      <c r="K1457" s="263"/>
    </row>
    <row r="1458">
      <c r="A1458" s="269"/>
      <c r="B1458" s="264"/>
      <c r="C1458" s="266"/>
      <c r="D1458" s="266"/>
      <c r="E1458" s="270"/>
      <c r="F1458" s="270"/>
      <c r="G1458" s="270"/>
      <c r="H1458" s="266"/>
      <c r="I1458" s="270"/>
      <c r="J1458" s="270"/>
      <c r="K1458" s="263"/>
    </row>
    <row r="1459">
      <c r="A1459" s="269"/>
      <c r="B1459" s="264"/>
      <c r="C1459" s="266"/>
      <c r="D1459" s="266"/>
      <c r="E1459" s="270"/>
      <c r="F1459" s="270"/>
      <c r="G1459" s="270"/>
      <c r="H1459" s="266"/>
      <c r="I1459" s="270"/>
      <c r="J1459" s="270"/>
      <c r="K1459" s="263"/>
    </row>
    <row r="1460">
      <c r="A1460" s="269"/>
      <c r="B1460" s="264"/>
      <c r="C1460" s="266"/>
      <c r="D1460" s="266"/>
      <c r="E1460" s="270"/>
      <c r="F1460" s="270"/>
      <c r="G1460" s="270"/>
      <c r="H1460" s="266"/>
      <c r="I1460" s="270"/>
      <c r="J1460" s="270"/>
      <c r="K1460" s="263"/>
    </row>
    <row r="1461">
      <c r="A1461" s="269"/>
      <c r="B1461" s="264"/>
      <c r="C1461" s="266"/>
      <c r="D1461" s="266"/>
      <c r="E1461" s="270"/>
      <c r="F1461" s="270"/>
      <c r="G1461" s="270"/>
      <c r="H1461" s="266"/>
      <c r="I1461" s="270"/>
      <c r="J1461" s="270"/>
      <c r="K1461" s="263"/>
    </row>
    <row r="1462">
      <c r="A1462" s="269"/>
      <c r="B1462" s="264"/>
      <c r="C1462" s="266"/>
      <c r="D1462" s="266"/>
      <c r="E1462" s="270"/>
      <c r="F1462" s="270"/>
      <c r="G1462" s="270"/>
      <c r="H1462" s="266"/>
      <c r="I1462" s="270"/>
      <c r="J1462" s="270"/>
      <c r="K1462" s="263"/>
    </row>
    <row r="1463">
      <c r="A1463" s="269"/>
      <c r="B1463" s="264"/>
      <c r="C1463" s="266"/>
      <c r="D1463" s="266"/>
      <c r="E1463" s="270"/>
      <c r="F1463" s="270"/>
      <c r="G1463" s="270"/>
      <c r="H1463" s="266"/>
      <c r="I1463" s="270"/>
      <c r="J1463" s="270"/>
      <c r="K1463" s="263"/>
    </row>
    <row r="1464">
      <c r="A1464" s="269"/>
      <c r="B1464" s="264"/>
      <c r="C1464" s="266"/>
      <c r="D1464" s="266"/>
      <c r="E1464" s="270"/>
      <c r="F1464" s="270"/>
      <c r="G1464" s="270"/>
      <c r="H1464" s="266"/>
      <c r="I1464" s="270"/>
      <c r="J1464" s="270"/>
      <c r="K1464" s="263"/>
    </row>
    <row r="1465">
      <c r="A1465" s="269"/>
      <c r="B1465" s="264"/>
      <c r="C1465" s="266"/>
      <c r="D1465" s="266"/>
      <c r="E1465" s="270"/>
      <c r="F1465" s="270"/>
      <c r="G1465" s="270"/>
      <c r="H1465" s="266"/>
      <c r="I1465" s="270"/>
      <c r="J1465" s="270"/>
      <c r="K1465" s="263"/>
    </row>
    <row r="1466">
      <c r="A1466" s="269"/>
      <c r="B1466" s="264"/>
      <c r="C1466" s="266"/>
      <c r="D1466" s="266"/>
      <c r="E1466" s="270"/>
      <c r="F1466" s="270"/>
      <c r="G1466" s="270"/>
      <c r="H1466" s="266"/>
      <c r="I1466" s="270"/>
      <c r="J1466" s="270"/>
      <c r="K1466" s="263"/>
    </row>
    <row r="1467">
      <c r="A1467" s="269"/>
      <c r="B1467" s="264"/>
      <c r="C1467" s="266"/>
      <c r="D1467" s="266"/>
      <c r="E1467" s="270"/>
      <c r="F1467" s="270"/>
      <c r="G1467" s="270"/>
      <c r="H1467" s="266"/>
      <c r="I1467" s="270"/>
      <c r="J1467" s="270"/>
      <c r="K1467" s="263"/>
    </row>
    <row r="1468">
      <c r="A1468" s="269"/>
      <c r="B1468" s="264"/>
      <c r="C1468" s="266"/>
      <c r="D1468" s="266"/>
      <c r="E1468" s="270"/>
      <c r="F1468" s="270"/>
      <c r="G1468" s="270"/>
      <c r="H1468" s="266"/>
      <c r="I1468" s="270"/>
      <c r="J1468" s="270"/>
      <c r="K1468" s="263"/>
    </row>
    <row r="1469">
      <c r="A1469" s="269"/>
      <c r="B1469" s="264"/>
      <c r="C1469" s="266"/>
      <c r="D1469" s="266"/>
      <c r="E1469" s="270"/>
      <c r="F1469" s="270"/>
      <c r="G1469" s="270"/>
      <c r="H1469" s="266"/>
      <c r="I1469" s="270"/>
      <c r="J1469" s="270"/>
      <c r="K1469" s="263"/>
    </row>
    <row r="1470">
      <c r="A1470" s="269"/>
      <c r="B1470" s="264"/>
      <c r="C1470" s="266"/>
      <c r="D1470" s="266"/>
      <c r="E1470" s="270"/>
      <c r="F1470" s="270"/>
      <c r="G1470" s="270"/>
      <c r="H1470" s="266"/>
      <c r="I1470" s="270"/>
      <c r="J1470" s="270"/>
      <c r="K1470" s="263"/>
    </row>
    <row r="1471">
      <c r="A1471" s="269"/>
      <c r="B1471" s="264"/>
      <c r="C1471" s="266"/>
      <c r="D1471" s="266"/>
      <c r="E1471" s="270"/>
      <c r="F1471" s="270"/>
      <c r="G1471" s="270"/>
      <c r="H1471" s="266"/>
      <c r="I1471" s="270"/>
      <c r="J1471" s="270"/>
      <c r="K1471" s="263"/>
    </row>
    <row r="1472">
      <c r="A1472" s="269"/>
      <c r="B1472" s="264"/>
      <c r="C1472" s="266"/>
      <c r="D1472" s="266"/>
      <c r="E1472" s="270"/>
      <c r="F1472" s="270"/>
      <c r="G1472" s="270"/>
      <c r="H1472" s="266"/>
      <c r="I1472" s="270"/>
      <c r="J1472" s="270"/>
      <c r="K1472" s="263"/>
    </row>
    <row r="1473">
      <c r="A1473" s="269"/>
      <c r="B1473" s="264"/>
      <c r="C1473" s="266"/>
      <c r="D1473" s="266"/>
      <c r="E1473" s="270"/>
      <c r="F1473" s="270"/>
      <c r="G1473" s="270"/>
      <c r="H1473" s="266"/>
      <c r="I1473" s="270"/>
      <c r="J1473" s="270"/>
      <c r="K1473" s="263"/>
    </row>
    <row r="1474">
      <c r="A1474" s="269"/>
      <c r="B1474" s="264"/>
      <c r="C1474" s="266"/>
      <c r="D1474" s="266"/>
      <c r="E1474" s="270"/>
      <c r="F1474" s="270"/>
      <c r="G1474" s="270"/>
      <c r="H1474" s="266"/>
      <c r="I1474" s="270"/>
      <c r="J1474" s="270"/>
      <c r="K1474" s="263"/>
    </row>
    <row r="1475">
      <c r="A1475" s="269"/>
      <c r="B1475" s="264"/>
      <c r="C1475" s="266"/>
      <c r="D1475" s="266"/>
      <c r="E1475" s="270"/>
      <c r="F1475" s="270"/>
      <c r="G1475" s="270"/>
      <c r="H1475" s="266"/>
      <c r="I1475" s="270"/>
      <c r="J1475" s="270"/>
      <c r="K1475" s="263"/>
    </row>
    <row r="1476">
      <c r="A1476" s="269"/>
      <c r="B1476" s="264"/>
      <c r="C1476" s="266"/>
      <c r="D1476" s="266"/>
      <c r="E1476" s="270"/>
      <c r="F1476" s="270"/>
      <c r="G1476" s="270"/>
      <c r="H1476" s="266"/>
      <c r="I1476" s="270"/>
      <c r="J1476" s="270"/>
      <c r="K1476" s="263"/>
    </row>
    <row r="1477">
      <c r="A1477" s="269"/>
      <c r="B1477" s="264"/>
      <c r="C1477" s="266"/>
      <c r="D1477" s="266"/>
      <c r="E1477" s="270"/>
      <c r="F1477" s="270"/>
      <c r="G1477" s="270"/>
      <c r="H1477" s="266"/>
      <c r="I1477" s="270"/>
      <c r="J1477" s="270"/>
      <c r="K1477" s="263"/>
    </row>
    <row r="1478">
      <c r="A1478" s="269"/>
      <c r="B1478" s="264"/>
      <c r="C1478" s="266"/>
      <c r="D1478" s="266"/>
      <c r="E1478" s="270"/>
      <c r="F1478" s="270"/>
      <c r="G1478" s="270"/>
      <c r="H1478" s="266"/>
      <c r="I1478" s="270"/>
      <c r="J1478" s="270"/>
      <c r="K1478" s="263"/>
    </row>
    <row r="1479">
      <c r="A1479" s="269"/>
      <c r="B1479" s="264"/>
      <c r="C1479" s="266"/>
      <c r="D1479" s="266"/>
      <c r="E1479" s="270"/>
      <c r="F1479" s="270"/>
      <c r="G1479" s="270"/>
      <c r="H1479" s="266"/>
      <c r="I1479" s="270"/>
      <c r="J1479" s="270"/>
      <c r="K1479" s="263"/>
    </row>
    <row r="1480">
      <c r="A1480" s="269"/>
      <c r="B1480" s="264"/>
      <c r="C1480" s="266"/>
      <c r="D1480" s="266"/>
      <c r="E1480" s="270"/>
      <c r="F1480" s="270"/>
      <c r="G1480" s="270"/>
      <c r="H1480" s="266"/>
      <c r="I1480" s="270"/>
      <c r="J1480" s="270"/>
      <c r="K1480" s="263"/>
    </row>
    <row r="1481">
      <c r="A1481" s="269"/>
      <c r="B1481" s="264"/>
      <c r="C1481" s="266"/>
      <c r="D1481" s="266"/>
      <c r="E1481" s="270"/>
      <c r="F1481" s="270"/>
      <c r="G1481" s="270"/>
      <c r="H1481" s="266"/>
      <c r="I1481" s="270"/>
      <c r="J1481" s="270"/>
      <c r="K1481" s="263"/>
    </row>
    <row r="1482">
      <c r="A1482" s="269"/>
      <c r="B1482" s="264"/>
      <c r="C1482" s="266"/>
      <c r="D1482" s="266"/>
      <c r="E1482" s="270"/>
      <c r="F1482" s="270"/>
      <c r="G1482" s="270"/>
      <c r="H1482" s="266"/>
      <c r="I1482" s="270"/>
      <c r="J1482" s="270"/>
      <c r="K1482" s="263"/>
    </row>
    <row r="1483">
      <c r="A1483" s="269"/>
      <c r="B1483" s="264"/>
      <c r="C1483" s="266"/>
      <c r="D1483" s="266"/>
      <c r="E1483" s="270"/>
      <c r="F1483" s="270"/>
      <c r="G1483" s="270"/>
      <c r="H1483" s="266"/>
      <c r="I1483" s="270"/>
      <c r="J1483" s="270"/>
      <c r="K1483" s="263"/>
    </row>
    <row r="1484">
      <c r="A1484" s="269"/>
      <c r="B1484" s="264"/>
      <c r="C1484" s="266"/>
      <c r="D1484" s="266"/>
      <c r="E1484" s="270"/>
      <c r="F1484" s="270"/>
      <c r="G1484" s="270"/>
      <c r="H1484" s="266"/>
      <c r="I1484" s="270"/>
      <c r="J1484" s="270"/>
      <c r="K1484" s="263"/>
    </row>
    <row r="1485">
      <c r="A1485" s="269"/>
      <c r="B1485" s="264"/>
      <c r="C1485" s="266"/>
      <c r="D1485" s="266"/>
      <c r="E1485" s="270"/>
      <c r="F1485" s="270"/>
      <c r="G1485" s="270"/>
      <c r="H1485" s="266"/>
      <c r="I1485" s="270"/>
      <c r="J1485" s="270"/>
      <c r="K1485" s="263"/>
    </row>
    <row r="1486">
      <c r="A1486" s="269"/>
      <c r="B1486" s="264"/>
      <c r="C1486" s="266"/>
      <c r="D1486" s="266"/>
      <c r="E1486" s="270"/>
      <c r="F1486" s="270"/>
      <c r="G1486" s="270"/>
      <c r="H1486" s="266"/>
      <c r="I1486" s="270"/>
      <c r="J1486" s="270"/>
      <c r="K1486" s="263"/>
    </row>
    <row r="1487">
      <c r="A1487" s="269"/>
      <c r="B1487" s="264"/>
      <c r="C1487" s="266"/>
      <c r="D1487" s="266"/>
      <c r="E1487" s="270"/>
      <c r="F1487" s="270"/>
      <c r="G1487" s="270"/>
      <c r="H1487" s="266"/>
      <c r="I1487" s="270"/>
      <c r="J1487" s="270"/>
      <c r="K1487" s="263"/>
    </row>
    <row r="1488">
      <c r="A1488" s="269"/>
      <c r="B1488" s="264"/>
      <c r="C1488" s="266"/>
      <c r="D1488" s="266"/>
      <c r="E1488" s="270"/>
      <c r="F1488" s="270"/>
      <c r="G1488" s="270"/>
      <c r="H1488" s="266"/>
      <c r="I1488" s="270"/>
      <c r="J1488" s="270"/>
      <c r="K1488" s="263"/>
    </row>
    <row r="1489">
      <c r="A1489" s="269"/>
      <c r="B1489" s="264"/>
      <c r="C1489" s="266"/>
      <c r="D1489" s="266"/>
      <c r="E1489" s="270"/>
      <c r="F1489" s="270"/>
      <c r="G1489" s="270"/>
      <c r="H1489" s="266"/>
      <c r="I1489" s="270"/>
      <c r="J1489" s="270"/>
      <c r="K1489" s="263"/>
    </row>
    <row r="1490">
      <c r="A1490" s="269"/>
      <c r="B1490" s="264"/>
      <c r="C1490" s="266"/>
      <c r="D1490" s="266"/>
      <c r="E1490" s="270"/>
      <c r="F1490" s="270"/>
      <c r="G1490" s="270"/>
      <c r="H1490" s="266"/>
      <c r="I1490" s="270"/>
      <c r="J1490" s="270"/>
      <c r="K1490" s="263"/>
    </row>
    <row r="1491">
      <c r="A1491" s="269"/>
      <c r="B1491" s="264"/>
      <c r="C1491" s="266"/>
      <c r="D1491" s="266"/>
      <c r="E1491" s="270"/>
      <c r="F1491" s="270"/>
      <c r="G1491" s="270"/>
      <c r="H1491" s="266"/>
      <c r="I1491" s="270"/>
      <c r="J1491" s="270"/>
      <c r="K1491" s="263"/>
    </row>
    <row r="1492">
      <c r="A1492" s="269"/>
      <c r="B1492" s="264"/>
      <c r="C1492" s="266"/>
      <c r="D1492" s="266"/>
      <c r="E1492" s="270"/>
      <c r="F1492" s="270"/>
      <c r="G1492" s="270"/>
      <c r="H1492" s="266"/>
      <c r="I1492" s="270"/>
      <c r="J1492" s="270"/>
      <c r="K1492" s="263"/>
    </row>
    <row r="1493">
      <c r="A1493" s="269"/>
      <c r="B1493" s="264"/>
      <c r="C1493" s="266"/>
      <c r="D1493" s="266"/>
      <c r="E1493" s="270"/>
      <c r="F1493" s="270"/>
      <c r="G1493" s="270"/>
      <c r="H1493" s="266"/>
      <c r="I1493" s="270"/>
      <c r="J1493" s="270"/>
      <c r="K1493" s="263"/>
    </row>
    <row r="1494">
      <c r="A1494" s="269"/>
      <c r="B1494" s="264"/>
      <c r="C1494" s="266"/>
      <c r="D1494" s="266"/>
      <c r="E1494" s="270"/>
      <c r="F1494" s="270"/>
      <c r="G1494" s="270"/>
      <c r="H1494" s="266"/>
      <c r="I1494" s="270"/>
      <c r="J1494" s="270"/>
      <c r="K1494" s="263"/>
    </row>
    <row r="1495">
      <c r="A1495" s="269"/>
      <c r="B1495" s="264"/>
      <c r="C1495" s="266"/>
      <c r="D1495" s="266"/>
      <c r="E1495" s="270"/>
      <c r="F1495" s="270"/>
      <c r="G1495" s="270"/>
      <c r="H1495" s="266"/>
      <c r="I1495" s="270"/>
      <c r="J1495" s="270"/>
      <c r="K1495" s="263"/>
    </row>
    <row r="1496">
      <c r="A1496" s="269"/>
      <c r="B1496" s="264"/>
      <c r="C1496" s="266"/>
      <c r="D1496" s="266"/>
      <c r="E1496" s="270"/>
      <c r="F1496" s="270"/>
      <c r="G1496" s="270"/>
      <c r="H1496" s="266"/>
      <c r="I1496" s="270"/>
      <c r="J1496" s="270"/>
      <c r="K1496" s="263"/>
    </row>
    <row r="1497">
      <c r="A1497" s="269"/>
      <c r="B1497" s="264"/>
      <c r="C1497" s="266"/>
      <c r="D1497" s="266"/>
      <c r="E1497" s="270"/>
      <c r="F1497" s="270"/>
      <c r="G1497" s="270"/>
      <c r="H1497" s="266"/>
      <c r="I1497" s="270"/>
      <c r="J1497" s="270"/>
      <c r="K1497" s="263"/>
    </row>
    <row r="1498">
      <c r="A1498" s="269"/>
      <c r="B1498" s="264"/>
      <c r="C1498" s="266"/>
      <c r="D1498" s="266"/>
      <c r="E1498" s="270"/>
      <c r="F1498" s="270"/>
      <c r="G1498" s="270"/>
      <c r="H1498" s="266"/>
      <c r="I1498" s="270"/>
      <c r="J1498" s="270"/>
      <c r="K1498" s="263"/>
    </row>
    <row r="1499">
      <c r="A1499" s="269"/>
      <c r="B1499" s="264"/>
      <c r="C1499" s="266"/>
      <c r="D1499" s="266"/>
      <c r="E1499" s="270"/>
      <c r="F1499" s="270"/>
      <c r="G1499" s="270"/>
      <c r="H1499" s="266"/>
      <c r="I1499" s="270"/>
      <c r="J1499" s="270"/>
      <c r="K1499" s="263"/>
    </row>
    <row r="1500">
      <c r="A1500" s="269"/>
      <c r="B1500" s="264"/>
      <c r="C1500" s="266"/>
      <c r="D1500" s="266"/>
      <c r="E1500" s="270"/>
      <c r="F1500" s="270"/>
      <c r="G1500" s="270"/>
      <c r="H1500" s="266"/>
      <c r="I1500" s="270"/>
      <c r="J1500" s="270"/>
      <c r="K1500" s="263"/>
    </row>
    <row r="1501">
      <c r="A1501" s="269"/>
      <c r="B1501" s="264"/>
      <c r="C1501" s="266"/>
      <c r="D1501" s="266"/>
      <c r="E1501" s="270"/>
      <c r="F1501" s="270"/>
      <c r="G1501" s="270"/>
      <c r="H1501" s="266"/>
      <c r="I1501" s="270"/>
      <c r="J1501" s="270"/>
      <c r="K1501" s="263"/>
    </row>
    <row r="1502">
      <c r="A1502" s="269"/>
      <c r="B1502" s="264"/>
      <c r="C1502" s="266"/>
      <c r="D1502" s="266"/>
      <c r="E1502" s="270"/>
      <c r="F1502" s="270"/>
      <c r="G1502" s="270"/>
      <c r="H1502" s="266"/>
      <c r="I1502" s="270"/>
      <c r="J1502" s="270"/>
      <c r="K1502" s="263"/>
    </row>
    <row r="1503">
      <c r="A1503" s="269"/>
      <c r="B1503" s="264"/>
      <c r="C1503" s="266"/>
      <c r="D1503" s="266"/>
      <c r="E1503" s="270"/>
      <c r="F1503" s="270"/>
      <c r="G1503" s="270"/>
      <c r="H1503" s="266"/>
      <c r="I1503" s="270"/>
      <c r="J1503" s="270"/>
      <c r="K1503" s="263"/>
    </row>
    <row r="1504">
      <c r="A1504" s="269"/>
      <c r="B1504" s="264"/>
      <c r="C1504" s="266"/>
      <c r="D1504" s="266"/>
      <c r="E1504" s="270"/>
      <c r="F1504" s="270"/>
      <c r="G1504" s="270"/>
      <c r="H1504" s="266"/>
      <c r="I1504" s="270"/>
      <c r="J1504" s="270"/>
      <c r="K1504" s="263"/>
    </row>
    <row r="1505">
      <c r="A1505" s="269"/>
      <c r="B1505" s="264"/>
      <c r="C1505" s="266"/>
      <c r="D1505" s="266"/>
      <c r="E1505" s="270"/>
      <c r="F1505" s="270"/>
      <c r="G1505" s="270"/>
      <c r="H1505" s="266"/>
      <c r="I1505" s="270"/>
      <c r="J1505" s="270"/>
      <c r="K1505" s="263"/>
    </row>
    <row r="1506">
      <c r="A1506" s="269"/>
      <c r="B1506" s="264"/>
      <c r="C1506" s="266"/>
      <c r="D1506" s="266"/>
      <c r="E1506" s="270"/>
      <c r="F1506" s="270"/>
      <c r="G1506" s="270"/>
      <c r="H1506" s="266"/>
      <c r="I1506" s="270"/>
      <c r="J1506" s="270"/>
      <c r="K1506" s="263"/>
    </row>
    <row r="1507">
      <c r="A1507" s="269"/>
      <c r="B1507" s="264"/>
      <c r="C1507" s="266"/>
      <c r="D1507" s="266"/>
      <c r="E1507" s="270"/>
      <c r="F1507" s="270"/>
      <c r="G1507" s="270"/>
      <c r="H1507" s="266"/>
      <c r="I1507" s="270"/>
      <c r="J1507" s="270"/>
      <c r="K1507" s="263"/>
    </row>
    <row r="1508">
      <c r="A1508" s="269"/>
      <c r="B1508" s="264"/>
      <c r="C1508" s="266"/>
      <c r="D1508" s="266"/>
      <c r="E1508" s="270"/>
      <c r="F1508" s="270"/>
      <c r="G1508" s="270"/>
      <c r="H1508" s="266"/>
      <c r="I1508" s="270"/>
      <c r="J1508" s="270"/>
      <c r="K1508" s="263"/>
    </row>
    <row r="1509">
      <c r="A1509" s="269"/>
      <c r="B1509" s="264"/>
      <c r="C1509" s="266"/>
      <c r="D1509" s="266"/>
      <c r="E1509" s="270"/>
      <c r="F1509" s="270"/>
      <c r="G1509" s="270"/>
      <c r="H1509" s="266"/>
      <c r="I1509" s="270"/>
      <c r="J1509" s="270"/>
      <c r="K1509" s="263"/>
    </row>
    <row r="1510">
      <c r="A1510" s="269"/>
      <c r="B1510" s="264"/>
      <c r="C1510" s="266"/>
      <c r="D1510" s="266"/>
      <c r="E1510" s="270"/>
      <c r="F1510" s="270"/>
      <c r="G1510" s="270"/>
      <c r="H1510" s="266"/>
      <c r="I1510" s="270"/>
      <c r="J1510" s="270"/>
      <c r="K1510" s="263"/>
    </row>
    <row r="1511">
      <c r="A1511" s="269"/>
      <c r="B1511" s="264"/>
      <c r="C1511" s="266"/>
      <c r="D1511" s="266"/>
      <c r="E1511" s="270"/>
      <c r="F1511" s="270"/>
      <c r="G1511" s="270"/>
      <c r="H1511" s="266"/>
      <c r="I1511" s="270"/>
      <c r="J1511" s="270"/>
      <c r="K1511" s="263"/>
    </row>
    <row r="1512">
      <c r="A1512" s="269"/>
      <c r="B1512" s="264"/>
      <c r="C1512" s="266"/>
      <c r="D1512" s="266"/>
      <c r="E1512" s="270"/>
      <c r="F1512" s="270"/>
      <c r="G1512" s="270"/>
      <c r="H1512" s="266"/>
      <c r="I1512" s="270"/>
      <c r="J1512" s="270"/>
      <c r="K1512" s="263"/>
    </row>
    <row r="1513">
      <c r="A1513" s="269"/>
      <c r="B1513" s="264"/>
      <c r="C1513" s="266"/>
      <c r="D1513" s="266"/>
      <c r="E1513" s="270"/>
      <c r="F1513" s="270"/>
      <c r="G1513" s="270"/>
      <c r="H1513" s="266"/>
      <c r="I1513" s="270"/>
      <c r="J1513" s="270"/>
      <c r="K1513" s="263"/>
    </row>
    <row r="1514">
      <c r="A1514" s="269"/>
      <c r="B1514" s="264"/>
      <c r="C1514" s="266"/>
      <c r="D1514" s="266"/>
      <c r="E1514" s="270"/>
      <c r="F1514" s="270"/>
      <c r="G1514" s="270"/>
      <c r="H1514" s="266"/>
      <c r="I1514" s="270"/>
      <c r="J1514" s="270"/>
      <c r="K1514" s="263"/>
    </row>
    <row r="1515">
      <c r="A1515" s="269"/>
      <c r="B1515" s="264"/>
      <c r="C1515" s="266"/>
      <c r="D1515" s="266"/>
      <c r="E1515" s="270"/>
      <c r="F1515" s="270"/>
      <c r="G1515" s="270"/>
      <c r="H1515" s="266"/>
      <c r="I1515" s="270"/>
      <c r="J1515" s="270"/>
      <c r="K1515" s="263"/>
    </row>
    <row r="1516">
      <c r="A1516" s="269"/>
      <c r="B1516" s="264"/>
      <c r="C1516" s="266"/>
      <c r="D1516" s="266"/>
      <c r="E1516" s="270"/>
      <c r="F1516" s="270"/>
      <c r="G1516" s="270"/>
      <c r="H1516" s="266"/>
      <c r="I1516" s="270"/>
      <c r="J1516" s="270"/>
      <c r="K1516" s="263"/>
    </row>
    <row r="1517">
      <c r="A1517" s="269"/>
      <c r="B1517" s="264"/>
      <c r="C1517" s="266"/>
      <c r="D1517" s="266"/>
      <c r="E1517" s="270"/>
      <c r="F1517" s="270"/>
      <c r="G1517" s="270"/>
      <c r="H1517" s="266"/>
      <c r="I1517" s="270"/>
      <c r="J1517" s="270"/>
      <c r="K1517" s="263"/>
    </row>
    <row r="1518">
      <c r="A1518" s="269"/>
      <c r="B1518" s="264"/>
      <c r="C1518" s="266"/>
      <c r="D1518" s="266"/>
      <c r="E1518" s="270"/>
      <c r="F1518" s="270"/>
      <c r="G1518" s="270"/>
      <c r="H1518" s="266"/>
      <c r="I1518" s="270"/>
      <c r="J1518" s="270"/>
      <c r="K1518" s="263"/>
    </row>
    <row r="1519">
      <c r="A1519" s="269"/>
      <c r="B1519" s="264"/>
      <c r="C1519" s="266"/>
      <c r="D1519" s="266"/>
      <c r="E1519" s="270"/>
      <c r="F1519" s="270"/>
      <c r="G1519" s="270"/>
      <c r="H1519" s="266"/>
      <c r="I1519" s="270"/>
      <c r="J1519" s="270"/>
      <c r="K1519" s="263"/>
    </row>
    <row r="1520">
      <c r="A1520" s="269"/>
      <c r="B1520" s="264"/>
      <c r="C1520" s="266"/>
      <c r="D1520" s="266"/>
      <c r="E1520" s="270"/>
      <c r="F1520" s="270"/>
      <c r="G1520" s="270"/>
      <c r="H1520" s="266"/>
      <c r="I1520" s="270"/>
      <c r="J1520" s="270"/>
      <c r="K1520" s="263"/>
    </row>
    <row r="1521">
      <c r="A1521" s="269"/>
      <c r="B1521" s="264"/>
      <c r="C1521" s="266"/>
      <c r="D1521" s="266"/>
      <c r="E1521" s="270"/>
      <c r="F1521" s="270"/>
      <c r="G1521" s="270"/>
      <c r="H1521" s="266"/>
      <c r="I1521" s="270"/>
      <c r="J1521" s="270"/>
      <c r="K1521" s="263"/>
    </row>
    <row r="1522">
      <c r="A1522" s="269"/>
      <c r="B1522" s="264"/>
      <c r="C1522" s="266"/>
      <c r="D1522" s="266"/>
      <c r="E1522" s="270"/>
      <c r="F1522" s="270"/>
      <c r="G1522" s="270"/>
      <c r="H1522" s="266"/>
      <c r="I1522" s="270"/>
      <c r="J1522" s="270"/>
      <c r="K1522" s="263"/>
    </row>
    <row r="1523">
      <c r="A1523" s="269"/>
      <c r="B1523" s="264"/>
      <c r="C1523" s="266"/>
      <c r="D1523" s="266"/>
      <c r="E1523" s="270"/>
      <c r="F1523" s="270"/>
      <c r="G1523" s="270"/>
      <c r="H1523" s="266"/>
      <c r="I1523" s="270"/>
      <c r="J1523" s="270"/>
      <c r="K1523" s="263"/>
    </row>
    <row r="1524">
      <c r="A1524" s="269"/>
      <c r="B1524" s="264"/>
      <c r="C1524" s="266"/>
      <c r="D1524" s="266"/>
      <c r="E1524" s="270"/>
      <c r="F1524" s="270"/>
      <c r="G1524" s="270"/>
      <c r="H1524" s="266"/>
      <c r="I1524" s="270"/>
      <c r="J1524" s="270"/>
      <c r="K1524" s="263"/>
    </row>
    <row r="1525">
      <c r="A1525" s="269"/>
      <c r="B1525" s="264"/>
      <c r="C1525" s="266"/>
      <c r="D1525" s="266"/>
      <c r="E1525" s="270"/>
      <c r="F1525" s="270"/>
      <c r="G1525" s="270"/>
      <c r="H1525" s="266"/>
      <c r="I1525" s="270"/>
      <c r="J1525" s="270"/>
      <c r="K1525" s="263"/>
    </row>
    <row r="1526">
      <c r="A1526" s="269"/>
      <c r="B1526" s="264"/>
      <c r="C1526" s="266"/>
      <c r="D1526" s="266"/>
      <c r="E1526" s="270"/>
      <c r="F1526" s="270"/>
      <c r="G1526" s="270"/>
      <c r="H1526" s="266"/>
      <c r="I1526" s="270"/>
      <c r="J1526" s="270"/>
      <c r="K1526" s="263"/>
    </row>
    <row r="1527">
      <c r="A1527" s="269"/>
      <c r="B1527" s="264"/>
      <c r="C1527" s="266"/>
      <c r="D1527" s="266"/>
      <c r="E1527" s="270"/>
      <c r="F1527" s="270"/>
      <c r="G1527" s="270"/>
      <c r="H1527" s="266"/>
      <c r="I1527" s="270"/>
      <c r="J1527" s="270"/>
      <c r="K1527" s="263"/>
    </row>
    <row r="1528">
      <c r="A1528" s="269"/>
      <c r="B1528" s="264"/>
      <c r="C1528" s="266"/>
      <c r="D1528" s="266"/>
      <c r="E1528" s="270"/>
      <c r="F1528" s="270"/>
      <c r="G1528" s="270"/>
      <c r="H1528" s="266"/>
      <c r="I1528" s="270"/>
      <c r="J1528" s="270"/>
      <c r="K1528" s="263"/>
    </row>
    <row r="1529">
      <c r="A1529" s="269"/>
      <c r="B1529" s="264"/>
      <c r="C1529" s="266"/>
      <c r="D1529" s="266"/>
      <c r="E1529" s="270"/>
      <c r="F1529" s="270"/>
      <c r="G1529" s="270"/>
      <c r="H1529" s="266"/>
      <c r="I1529" s="270"/>
      <c r="J1529" s="270"/>
      <c r="K1529" s="263"/>
    </row>
    <row r="1530">
      <c r="A1530" s="269"/>
      <c r="B1530" s="264"/>
      <c r="C1530" s="266"/>
      <c r="D1530" s="266"/>
      <c r="E1530" s="270"/>
      <c r="F1530" s="270"/>
      <c r="G1530" s="270"/>
      <c r="H1530" s="266"/>
      <c r="I1530" s="270"/>
      <c r="J1530" s="270"/>
      <c r="K1530" s="263"/>
    </row>
    <row r="1531">
      <c r="A1531" s="269"/>
      <c r="B1531" s="264"/>
      <c r="C1531" s="266"/>
      <c r="D1531" s="266"/>
      <c r="E1531" s="270"/>
      <c r="F1531" s="270"/>
      <c r="G1531" s="270"/>
      <c r="H1531" s="266"/>
      <c r="I1531" s="270"/>
      <c r="J1531" s="270"/>
      <c r="K1531" s="263"/>
    </row>
    <row r="1532">
      <c r="A1532" s="269"/>
      <c r="B1532" s="264"/>
      <c r="C1532" s="266"/>
      <c r="D1532" s="266"/>
      <c r="E1532" s="270"/>
      <c r="F1532" s="270"/>
      <c r="G1532" s="270"/>
      <c r="H1532" s="266"/>
      <c r="I1532" s="270"/>
      <c r="J1532" s="270"/>
      <c r="K1532" s="263"/>
    </row>
    <row r="1533">
      <c r="A1533" s="269"/>
      <c r="B1533" s="264"/>
      <c r="C1533" s="266"/>
      <c r="D1533" s="266"/>
      <c r="E1533" s="270"/>
      <c r="F1533" s="270"/>
      <c r="G1533" s="270"/>
      <c r="H1533" s="266"/>
      <c r="I1533" s="270"/>
      <c r="J1533" s="270"/>
      <c r="K1533" s="263"/>
    </row>
    <row r="1534">
      <c r="A1534" s="269"/>
      <c r="B1534" s="264"/>
      <c r="C1534" s="266"/>
      <c r="D1534" s="266"/>
      <c r="E1534" s="270"/>
      <c r="F1534" s="270"/>
      <c r="G1534" s="270"/>
      <c r="H1534" s="266"/>
      <c r="I1534" s="270"/>
      <c r="J1534" s="270"/>
      <c r="K1534" s="263"/>
    </row>
    <row r="1535">
      <c r="A1535" s="269"/>
      <c r="B1535" s="264"/>
      <c r="C1535" s="266"/>
      <c r="D1535" s="266"/>
      <c r="E1535" s="270"/>
      <c r="F1535" s="270"/>
      <c r="G1535" s="270"/>
      <c r="H1535" s="266"/>
      <c r="I1535" s="270"/>
      <c r="J1535" s="270"/>
      <c r="K1535" s="263"/>
    </row>
    <row r="1536">
      <c r="A1536" s="269"/>
      <c r="B1536" s="264"/>
      <c r="C1536" s="266"/>
      <c r="D1536" s="266"/>
      <c r="E1536" s="270"/>
      <c r="F1536" s="270"/>
      <c r="G1536" s="270"/>
      <c r="H1536" s="266"/>
      <c r="I1536" s="270"/>
      <c r="J1536" s="270"/>
      <c r="K1536" s="263"/>
    </row>
    <row r="1537">
      <c r="A1537" s="269"/>
      <c r="B1537" s="264"/>
      <c r="C1537" s="266"/>
      <c r="D1537" s="266"/>
      <c r="E1537" s="270"/>
      <c r="F1537" s="270"/>
      <c r="G1537" s="270"/>
      <c r="H1537" s="266"/>
      <c r="I1537" s="270"/>
      <c r="J1537" s="270"/>
      <c r="K1537" s="263"/>
    </row>
    <row r="1538">
      <c r="A1538" s="269"/>
      <c r="B1538" s="264"/>
      <c r="C1538" s="266"/>
      <c r="D1538" s="266"/>
      <c r="E1538" s="270"/>
      <c r="F1538" s="270"/>
      <c r="G1538" s="270"/>
      <c r="H1538" s="266"/>
      <c r="I1538" s="270"/>
      <c r="J1538" s="270"/>
      <c r="K1538" s="263"/>
    </row>
    <row r="1539">
      <c r="A1539" s="269"/>
      <c r="B1539" s="264"/>
      <c r="C1539" s="266"/>
      <c r="D1539" s="266"/>
      <c r="E1539" s="270"/>
      <c r="F1539" s="270"/>
      <c r="G1539" s="270"/>
      <c r="H1539" s="266"/>
      <c r="I1539" s="270"/>
      <c r="J1539" s="270"/>
      <c r="K1539" s="263"/>
    </row>
    <row r="1540">
      <c r="A1540" s="269"/>
      <c r="B1540" s="264"/>
      <c r="C1540" s="266"/>
      <c r="D1540" s="266"/>
      <c r="E1540" s="270"/>
      <c r="F1540" s="270"/>
      <c r="G1540" s="270"/>
      <c r="H1540" s="266"/>
      <c r="I1540" s="270"/>
      <c r="J1540" s="270"/>
      <c r="K1540" s="263"/>
    </row>
    <row r="1541">
      <c r="A1541" s="269"/>
      <c r="B1541" s="264"/>
      <c r="C1541" s="266"/>
      <c r="D1541" s="266"/>
      <c r="E1541" s="270"/>
      <c r="F1541" s="270"/>
      <c r="G1541" s="270"/>
      <c r="H1541" s="266"/>
      <c r="I1541" s="270"/>
      <c r="J1541" s="270"/>
      <c r="K1541" s="263"/>
    </row>
    <row r="1542">
      <c r="A1542" s="269"/>
      <c r="B1542" s="264"/>
      <c r="C1542" s="266"/>
      <c r="D1542" s="266"/>
      <c r="E1542" s="270"/>
      <c r="F1542" s="270"/>
      <c r="G1542" s="270"/>
      <c r="H1542" s="266"/>
      <c r="I1542" s="270"/>
      <c r="J1542" s="270"/>
      <c r="K1542" s="263"/>
    </row>
    <row r="1543">
      <c r="A1543" s="269"/>
      <c r="B1543" s="264"/>
      <c r="C1543" s="266"/>
      <c r="D1543" s="266"/>
      <c r="E1543" s="270"/>
      <c r="F1543" s="270"/>
      <c r="G1543" s="270"/>
      <c r="H1543" s="266"/>
      <c r="I1543" s="270"/>
      <c r="J1543" s="270"/>
      <c r="K1543" s="263"/>
    </row>
    <row r="1544">
      <c r="A1544" s="269"/>
      <c r="B1544" s="264"/>
      <c r="C1544" s="266"/>
      <c r="D1544" s="266"/>
      <c r="E1544" s="270"/>
      <c r="F1544" s="270"/>
      <c r="G1544" s="270"/>
      <c r="H1544" s="266"/>
      <c r="I1544" s="270"/>
      <c r="J1544" s="270"/>
      <c r="K1544" s="263"/>
    </row>
    <row r="1545">
      <c r="A1545" s="269"/>
      <c r="B1545" s="264"/>
      <c r="C1545" s="266"/>
      <c r="D1545" s="266"/>
      <c r="E1545" s="270"/>
      <c r="F1545" s="270"/>
      <c r="G1545" s="270"/>
      <c r="H1545" s="266"/>
      <c r="I1545" s="270"/>
      <c r="J1545" s="270"/>
      <c r="K1545" s="263"/>
    </row>
    <row r="1546">
      <c r="A1546" s="269"/>
      <c r="B1546" s="264"/>
      <c r="C1546" s="266"/>
      <c r="D1546" s="266"/>
      <c r="E1546" s="270"/>
      <c r="F1546" s="270"/>
      <c r="G1546" s="270"/>
      <c r="H1546" s="266"/>
      <c r="I1546" s="270"/>
      <c r="J1546" s="270"/>
      <c r="K1546" s="263"/>
    </row>
    <row r="1547">
      <c r="A1547" s="269"/>
      <c r="B1547" s="264"/>
      <c r="C1547" s="266"/>
      <c r="D1547" s="266"/>
      <c r="E1547" s="270"/>
      <c r="F1547" s="270"/>
      <c r="G1547" s="270"/>
      <c r="H1547" s="266"/>
      <c r="I1547" s="270"/>
      <c r="J1547" s="270"/>
      <c r="K1547" s="263"/>
    </row>
    <row r="1548">
      <c r="A1548" s="269"/>
      <c r="B1548" s="264"/>
      <c r="C1548" s="266"/>
      <c r="D1548" s="266"/>
      <c r="E1548" s="270"/>
      <c r="F1548" s="270"/>
      <c r="G1548" s="270"/>
      <c r="H1548" s="266"/>
      <c r="I1548" s="270"/>
      <c r="J1548" s="270"/>
      <c r="K1548" s="263"/>
    </row>
    <row r="1549">
      <c r="A1549" s="269"/>
      <c r="B1549" s="264"/>
      <c r="C1549" s="266"/>
      <c r="D1549" s="266"/>
      <c r="E1549" s="270"/>
      <c r="F1549" s="270"/>
      <c r="G1549" s="270"/>
      <c r="H1549" s="266"/>
      <c r="I1549" s="270"/>
      <c r="J1549" s="270"/>
      <c r="K1549" s="263"/>
    </row>
    <row r="1550">
      <c r="A1550" s="269"/>
      <c r="B1550" s="264"/>
      <c r="C1550" s="266"/>
      <c r="D1550" s="266"/>
      <c r="E1550" s="270"/>
      <c r="F1550" s="270"/>
      <c r="G1550" s="270"/>
      <c r="H1550" s="266"/>
      <c r="I1550" s="270"/>
      <c r="J1550" s="270"/>
      <c r="K1550" s="263"/>
    </row>
    <row r="1551">
      <c r="A1551" s="269"/>
      <c r="B1551" s="264"/>
      <c r="C1551" s="266"/>
      <c r="D1551" s="266"/>
      <c r="E1551" s="270"/>
      <c r="F1551" s="270"/>
      <c r="G1551" s="270"/>
      <c r="H1551" s="266"/>
      <c r="I1551" s="270"/>
      <c r="J1551" s="270"/>
      <c r="K1551" s="263"/>
    </row>
    <row r="1552">
      <c r="A1552" s="269"/>
      <c r="B1552" s="264"/>
      <c r="C1552" s="266"/>
      <c r="D1552" s="266"/>
      <c r="E1552" s="270"/>
      <c r="F1552" s="270"/>
      <c r="G1552" s="270"/>
      <c r="H1552" s="266"/>
      <c r="I1552" s="270"/>
      <c r="J1552" s="270"/>
      <c r="K1552" s="263"/>
    </row>
    <row r="1553">
      <c r="A1553" s="269"/>
      <c r="B1553" s="264"/>
      <c r="C1553" s="266"/>
      <c r="D1553" s="266"/>
      <c r="E1553" s="270"/>
      <c r="F1553" s="270"/>
      <c r="G1553" s="270"/>
      <c r="H1553" s="266"/>
      <c r="I1553" s="270"/>
      <c r="J1553" s="270"/>
      <c r="K1553" s="263"/>
    </row>
    <row r="1554">
      <c r="A1554" s="269"/>
      <c r="B1554" s="264"/>
      <c r="C1554" s="266"/>
      <c r="D1554" s="266"/>
      <c r="E1554" s="270"/>
      <c r="F1554" s="270"/>
      <c r="G1554" s="270"/>
      <c r="H1554" s="266"/>
      <c r="I1554" s="270"/>
      <c r="J1554" s="270"/>
      <c r="K1554" s="263"/>
    </row>
    <row r="1555">
      <c r="A1555" s="269"/>
      <c r="B1555" s="264"/>
      <c r="C1555" s="266"/>
      <c r="D1555" s="266"/>
      <c r="E1555" s="270"/>
      <c r="F1555" s="270"/>
      <c r="G1555" s="270"/>
      <c r="H1555" s="266"/>
      <c r="I1555" s="270"/>
      <c r="J1555" s="270"/>
      <c r="K1555" s="263"/>
    </row>
    <row r="1556">
      <c r="A1556" s="269"/>
      <c r="B1556" s="264"/>
      <c r="C1556" s="266"/>
      <c r="D1556" s="266"/>
      <c r="E1556" s="270"/>
      <c r="F1556" s="270"/>
      <c r="G1556" s="270"/>
      <c r="H1556" s="266"/>
      <c r="I1556" s="270"/>
      <c r="J1556" s="270"/>
      <c r="K1556" s="263"/>
    </row>
    <row r="1557">
      <c r="A1557" s="269"/>
      <c r="B1557" s="264"/>
      <c r="C1557" s="266"/>
      <c r="D1557" s="266"/>
      <c r="E1557" s="270"/>
      <c r="F1557" s="270"/>
      <c r="G1557" s="270"/>
      <c r="H1557" s="266"/>
      <c r="I1557" s="270"/>
      <c r="J1557" s="270"/>
      <c r="K1557" s="263"/>
    </row>
    <row r="1558">
      <c r="A1558" s="269"/>
      <c r="B1558" s="264"/>
      <c r="C1558" s="266"/>
      <c r="D1558" s="266"/>
      <c r="E1558" s="270"/>
      <c r="F1558" s="270"/>
      <c r="G1558" s="270"/>
      <c r="H1558" s="266"/>
      <c r="I1558" s="270"/>
      <c r="J1558" s="270"/>
      <c r="K1558" s="263"/>
    </row>
    <row r="1559">
      <c r="A1559" s="269"/>
      <c r="B1559" s="264"/>
      <c r="C1559" s="266"/>
      <c r="D1559" s="266"/>
      <c r="E1559" s="270"/>
      <c r="F1559" s="270"/>
      <c r="G1559" s="270"/>
      <c r="H1559" s="266"/>
      <c r="I1559" s="270"/>
      <c r="J1559" s="270"/>
      <c r="K1559" s="263"/>
    </row>
    <row r="1560">
      <c r="A1560" s="269"/>
      <c r="B1560" s="264"/>
      <c r="C1560" s="266"/>
      <c r="D1560" s="266"/>
      <c r="E1560" s="270"/>
      <c r="F1560" s="270"/>
      <c r="G1560" s="270"/>
      <c r="H1560" s="266"/>
      <c r="I1560" s="270"/>
      <c r="J1560" s="270"/>
      <c r="K1560" s="263"/>
    </row>
    <row r="1561">
      <c r="A1561" s="269"/>
      <c r="B1561" s="264"/>
      <c r="C1561" s="266"/>
      <c r="D1561" s="266"/>
      <c r="E1561" s="270"/>
      <c r="F1561" s="270"/>
      <c r="G1561" s="270"/>
      <c r="H1561" s="266"/>
      <c r="I1561" s="270"/>
      <c r="J1561" s="270"/>
      <c r="K1561" s="263"/>
    </row>
    <row r="1562">
      <c r="A1562" s="269"/>
      <c r="B1562" s="264"/>
      <c r="C1562" s="266"/>
      <c r="D1562" s="266"/>
      <c r="E1562" s="270"/>
      <c r="F1562" s="270"/>
      <c r="G1562" s="270"/>
      <c r="H1562" s="266"/>
      <c r="I1562" s="270"/>
      <c r="J1562" s="270"/>
      <c r="K1562" s="263"/>
    </row>
    <row r="1563">
      <c r="A1563" s="269"/>
      <c r="B1563" s="264"/>
      <c r="C1563" s="266"/>
      <c r="D1563" s="266"/>
      <c r="E1563" s="270"/>
      <c r="F1563" s="270"/>
      <c r="G1563" s="270"/>
      <c r="H1563" s="266"/>
      <c r="I1563" s="270"/>
      <c r="J1563" s="270"/>
      <c r="K1563" s="263"/>
    </row>
    <row r="1564">
      <c r="A1564" s="269"/>
      <c r="B1564" s="264"/>
      <c r="C1564" s="266"/>
      <c r="D1564" s="266"/>
      <c r="E1564" s="270"/>
      <c r="F1564" s="270"/>
      <c r="G1564" s="270"/>
      <c r="H1564" s="266"/>
      <c r="I1564" s="270"/>
      <c r="J1564" s="270"/>
      <c r="K1564" s="263"/>
    </row>
    <row r="1565">
      <c r="A1565" s="269"/>
      <c r="B1565" s="264"/>
      <c r="C1565" s="266"/>
      <c r="D1565" s="266"/>
      <c r="E1565" s="270"/>
      <c r="F1565" s="270"/>
      <c r="G1565" s="270"/>
      <c r="H1565" s="266"/>
      <c r="I1565" s="270"/>
      <c r="J1565" s="270"/>
      <c r="K1565" s="263"/>
    </row>
    <row r="1566">
      <c r="A1566" s="269"/>
      <c r="B1566" s="264"/>
      <c r="C1566" s="266"/>
      <c r="D1566" s="266"/>
      <c r="E1566" s="270"/>
      <c r="F1566" s="270"/>
      <c r="G1566" s="270"/>
      <c r="H1566" s="266"/>
      <c r="I1566" s="270"/>
      <c r="J1566" s="270"/>
      <c r="K1566" s="263"/>
    </row>
    <row r="1567">
      <c r="A1567" s="269"/>
      <c r="B1567" s="264"/>
      <c r="C1567" s="266"/>
      <c r="D1567" s="266"/>
      <c r="E1567" s="270"/>
      <c r="F1567" s="270"/>
      <c r="G1567" s="270"/>
      <c r="H1567" s="266"/>
      <c r="I1567" s="270"/>
      <c r="J1567" s="270"/>
      <c r="K1567" s="263"/>
    </row>
    <row r="1568">
      <c r="A1568" s="269"/>
      <c r="B1568" s="264"/>
      <c r="C1568" s="266"/>
      <c r="D1568" s="266"/>
      <c r="E1568" s="270"/>
      <c r="F1568" s="270"/>
      <c r="G1568" s="270"/>
      <c r="H1568" s="266"/>
      <c r="I1568" s="270"/>
      <c r="J1568" s="270"/>
      <c r="K1568" s="263"/>
    </row>
    <row r="1569">
      <c r="A1569" s="269"/>
      <c r="B1569" s="264"/>
      <c r="C1569" s="266"/>
      <c r="D1569" s="266"/>
      <c r="E1569" s="270"/>
      <c r="F1569" s="270"/>
      <c r="G1569" s="270"/>
      <c r="H1569" s="266"/>
      <c r="I1569" s="270"/>
      <c r="J1569" s="270"/>
      <c r="K1569" s="263"/>
    </row>
    <row r="1570">
      <c r="A1570" s="269"/>
      <c r="B1570" s="264"/>
      <c r="C1570" s="266"/>
      <c r="D1570" s="266"/>
      <c r="E1570" s="270"/>
      <c r="F1570" s="270"/>
      <c r="G1570" s="270"/>
      <c r="H1570" s="266"/>
      <c r="I1570" s="270"/>
      <c r="J1570" s="270"/>
      <c r="K1570" s="263"/>
    </row>
    <row r="1571">
      <c r="A1571" s="269"/>
      <c r="B1571" s="264"/>
      <c r="C1571" s="266"/>
      <c r="D1571" s="266"/>
      <c r="E1571" s="270"/>
      <c r="F1571" s="270"/>
      <c r="G1571" s="270"/>
      <c r="H1571" s="266"/>
      <c r="I1571" s="270"/>
      <c r="J1571" s="270"/>
      <c r="K1571" s="263"/>
    </row>
    <row r="1572">
      <c r="A1572" s="269"/>
      <c r="B1572" s="264"/>
      <c r="C1572" s="266"/>
      <c r="D1572" s="266"/>
      <c r="E1572" s="270"/>
      <c r="F1572" s="270"/>
      <c r="G1572" s="270"/>
      <c r="H1572" s="266"/>
      <c r="I1572" s="270"/>
      <c r="J1572" s="270"/>
      <c r="K1572" s="263"/>
    </row>
    <row r="1573">
      <c r="A1573" s="269"/>
      <c r="B1573" s="264"/>
      <c r="C1573" s="266"/>
      <c r="D1573" s="266"/>
      <c r="E1573" s="270"/>
      <c r="F1573" s="270"/>
      <c r="G1573" s="270"/>
      <c r="H1573" s="266"/>
      <c r="I1573" s="270"/>
      <c r="J1573" s="270"/>
      <c r="K1573" s="263"/>
    </row>
    <row r="1574">
      <c r="A1574" s="269"/>
      <c r="B1574" s="264"/>
      <c r="C1574" s="266"/>
      <c r="D1574" s="266"/>
      <c r="E1574" s="270"/>
      <c r="F1574" s="270"/>
      <c r="G1574" s="270"/>
      <c r="H1574" s="266"/>
      <c r="I1574" s="270"/>
      <c r="J1574" s="270"/>
      <c r="K1574" s="263"/>
    </row>
    <row r="1575">
      <c r="A1575" s="269"/>
      <c r="B1575" s="264"/>
      <c r="C1575" s="266"/>
      <c r="D1575" s="266"/>
      <c r="E1575" s="270"/>
      <c r="F1575" s="270"/>
      <c r="G1575" s="270"/>
      <c r="H1575" s="266"/>
      <c r="I1575" s="270"/>
      <c r="J1575" s="270"/>
      <c r="K1575" s="263"/>
    </row>
    <row r="1576">
      <c r="A1576" s="269"/>
      <c r="B1576" s="264"/>
      <c r="C1576" s="266"/>
      <c r="D1576" s="266"/>
      <c r="E1576" s="270"/>
      <c r="F1576" s="270"/>
      <c r="G1576" s="270"/>
      <c r="H1576" s="266"/>
      <c r="I1576" s="270"/>
      <c r="J1576" s="270"/>
      <c r="K1576" s="263"/>
    </row>
    <row r="1577">
      <c r="A1577" s="269"/>
      <c r="B1577" s="264"/>
      <c r="C1577" s="266"/>
      <c r="D1577" s="266"/>
      <c r="E1577" s="270"/>
      <c r="F1577" s="270"/>
      <c r="G1577" s="270"/>
      <c r="H1577" s="266"/>
      <c r="I1577" s="270"/>
      <c r="J1577" s="270"/>
      <c r="K1577" s="263"/>
    </row>
    <row r="1578">
      <c r="A1578" s="269"/>
      <c r="B1578" s="264"/>
      <c r="C1578" s="266"/>
      <c r="D1578" s="266"/>
      <c r="E1578" s="270"/>
      <c r="F1578" s="270"/>
      <c r="G1578" s="270"/>
      <c r="H1578" s="266"/>
      <c r="I1578" s="270"/>
      <c r="J1578" s="270"/>
      <c r="K1578" s="263"/>
    </row>
    <row r="1579">
      <c r="A1579" s="269"/>
      <c r="B1579" s="264"/>
      <c r="C1579" s="266"/>
      <c r="D1579" s="266"/>
      <c r="E1579" s="270"/>
      <c r="F1579" s="270"/>
      <c r="G1579" s="270"/>
      <c r="H1579" s="266"/>
      <c r="I1579" s="270"/>
      <c r="J1579" s="270"/>
      <c r="K1579" s="263"/>
    </row>
    <row r="1580">
      <c r="A1580" s="269"/>
      <c r="B1580" s="264"/>
      <c r="C1580" s="266"/>
      <c r="D1580" s="266"/>
      <c r="E1580" s="270"/>
      <c r="F1580" s="270"/>
      <c r="G1580" s="270"/>
      <c r="H1580" s="266"/>
      <c r="I1580" s="270"/>
      <c r="J1580" s="270"/>
      <c r="K1580" s="263"/>
    </row>
    <row r="1581">
      <c r="A1581" s="269"/>
      <c r="B1581" s="264"/>
      <c r="C1581" s="266"/>
      <c r="D1581" s="266"/>
      <c r="E1581" s="270"/>
      <c r="F1581" s="270"/>
      <c r="G1581" s="270"/>
      <c r="H1581" s="266"/>
      <c r="I1581" s="270"/>
      <c r="J1581" s="270"/>
      <c r="K1581" s="263"/>
    </row>
    <row r="1582">
      <c r="A1582" s="269"/>
      <c r="B1582" s="264"/>
      <c r="C1582" s="266"/>
      <c r="D1582" s="266"/>
      <c r="E1582" s="270"/>
      <c r="F1582" s="270"/>
      <c r="G1582" s="270"/>
      <c r="H1582" s="266"/>
      <c r="I1582" s="270"/>
      <c r="J1582" s="270"/>
      <c r="K1582" s="263"/>
    </row>
    <row r="1583">
      <c r="A1583" s="269"/>
      <c r="B1583" s="264"/>
      <c r="C1583" s="266"/>
      <c r="D1583" s="266"/>
      <c r="E1583" s="270"/>
      <c r="F1583" s="270"/>
      <c r="G1583" s="270"/>
      <c r="H1583" s="266"/>
      <c r="I1583" s="270"/>
      <c r="J1583" s="270"/>
      <c r="K1583" s="263"/>
    </row>
    <row r="1584">
      <c r="A1584" s="269"/>
      <c r="B1584" s="264"/>
      <c r="C1584" s="266"/>
      <c r="D1584" s="266"/>
      <c r="E1584" s="270"/>
      <c r="F1584" s="270"/>
      <c r="G1584" s="270"/>
      <c r="H1584" s="266"/>
      <c r="I1584" s="270"/>
      <c r="J1584" s="270"/>
      <c r="K1584" s="263"/>
    </row>
    <row r="1585">
      <c r="A1585" s="269"/>
      <c r="B1585" s="264"/>
      <c r="C1585" s="266"/>
      <c r="D1585" s="266"/>
      <c r="E1585" s="270"/>
      <c r="F1585" s="270"/>
      <c r="G1585" s="270"/>
      <c r="H1585" s="266"/>
      <c r="I1585" s="270"/>
      <c r="J1585" s="270"/>
      <c r="K1585" s="263"/>
    </row>
    <row r="1586">
      <c r="A1586" s="269"/>
      <c r="B1586" s="264"/>
      <c r="C1586" s="266"/>
      <c r="D1586" s="266"/>
      <c r="E1586" s="270"/>
      <c r="F1586" s="270"/>
      <c r="G1586" s="270"/>
      <c r="H1586" s="266"/>
      <c r="I1586" s="270"/>
      <c r="J1586" s="270"/>
      <c r="K1586" s="263"/>
    </row>
    <row r="1587">
      <c r="A1587" s="269"/>
      <c r="B1587" s="264"/>
      <c r="C1587" s="266"/>
      <c r="D1587" s="266"/>
      <c r="E1587" s="270"/>
      <c r="F1587" s="270"/>
      <c r="G1587" s="270"/>
      <c r="H1587" s="266"/>
      <c r="I1587" s="270"/>
      <c r="J1587" s="270"/>
      <c r="K1587" s="263"/>
    </row>
    <row r="1588">
      <c r="A1588" s="269"/>
      <c r="B1588" s="264"/>
      <c r="C1588" s="266"/>
      <c r="D1588" s="266"/>
      <c r="E1588" s="270"/>
      <c r="F1588" s="270"/>
      <c r="G1588" s="270"/>
      <c r="H1588" s="266"/>
      <c r="I1588" s="270"/>
      <c r="J1588" s="270"/>
      <c r="K1588" s="263"/>
    </row>
    <row r="1589">
      <c r="A1589" s="269"/>
      <c r="B1589" s="264"/>
      <c r="C1589" s="266"/>
      <c r="D1589" s="266"/>
      <c r="E1589" s="270"/>
      <c r="F1589" s="270"/>
      <c r="G1589" s="270"/>
      <c r="H1589" s="266"/>
      <c r="I1589" s="270"/>
      <c r="J1589" s="270"/>
      <c r="K1589" s="263"/>
    </row>
    <row r="1590">
      <c r="A1590" s="269"/>
      <c r="B1590" s="264"/>
      <c r="C1590" s="266"/>
      <c r="D1590" s="266"/>
      <c r="E1590" s="270"/>
      <c r="F1590" s="270"/>
      <c r="G1590" s="270"/>
      <c r="H1590" s="266"/>
      <c r="I1590" s="270"/>
      <c r="J1590" s="270"/>
      <c r="K1590" s="263"/>
    </row>
    <row r="1591">
      <c r="A1591" s="269"/>
      <c r="B1591" s="264"/>
      <c r="C1591" s="266"/>
      <c r="D1591" s="266"/>
      <c r="E1591" s="270"/>
      <c r="F1591" s="270"/>
      <c r="G1591" s="270"/>
      <c r="H1591" s="266"/>
      <c r="I1591" s="270"/>
      <c r="J1591" s="270"/>
      <c r="K1591" s="263"/>
    </row>
    <row r="1592">
      <c r="A1592" s="269"/>
      <c r="B1592" s="264"/>
      <c r="C1592" s="266"/>
      <c r="D1592" s="266"/>
      <c r="E1592" s="270"/>
      <c r="F1592" s="270"/>
      <c r="G1592" s="270"/>
      <c r="H1592" s="266"/>
      <c r="I1592" s="270"/>
      <c r="J1592" s="270"/>
      <c r="K1592" s="263"/>
    </row>
    <row r="1593">
      <c r="A1593" s="269"/>
      <c r="B1593" s="264"/>
      <c r="C1593" s="266"/>
      <c r="D1593" s="266"/>
      <c r="E1593" s="270"/>
      <c r="F1593" s="270"/>
      <c r="G1593" s="270"/>
      <c r="H1593" s="266"/>
      <c r="I1593" s="270"/>
      <c r="J1593" s="270"/>
      <c r="K1593" s="263"/>
    </row>
    <row r="1594">
      <c r="A1594" s="269"/>
      <c r="B1594" s="264"/>
      <c r="C1594" s="266"/>
      <c r="D1594" s="266"/>
      <c r="E1594" s="270"/>
      <c r="F1594" s="270"/>
      <c r="G1594" s="270"/>
      <c r="H1594" s="266"/>
      <c r="I1594" s="270"/>
      <c r="J1594" s="270"/>
      <c r="K1594" s="263"/>
    </row>
    <row r="1595">
      <c r="A1595" s="269"/>
      <c r="B1595" s="264"/>
      <c r="C1595" s="266"/>
      <c r="D1595" s="266"/>
      <c r="E1595" s="270"/>
      <c r="F1595" s="270"/>
      <c r="G1595" s="270"/>
      <c r="H1595" s="266"/>
      <c r="I1595" s="270"/>
      <c r="J1595" s="270"/>
      <c r="K1595" s="263"/>
    </row>
    <row r="1596">
      <c r="A1596" s="269"/>
      <c r="B1596" s="264"/>
      <c r="C1596" s="266"/>
      <c r="D1596" s="266"/>
      <c r="E1596" s="270"/>
      <c r="F1596" s="270"/>
      <c r="G1596" s="270"/>
      <c r="H1596" s="266"/>
      <c r="I1596" s="270"/>
      <c r="J1596" s="270"/>
      <c r="K1596" s="263"/>
    </row>
    <row r="1597">
      <c r="A1597" s="269"/>
      <c r="B1597" s="264"/>
      <c r="C1597" s="266"/>
      <c r="D1597" s="266"/>
      <c r="E1597" s="270"/>
      <c r="F1597" s="270"/>
      <c r="G1597" s="270"/>
      <c r="H1597" s="266"/>
      <c r="I1597" s="270"/>
      <c r="J1597" s="270"/>
      <c r="K1597" s="263"/>
    </row>
    <row r="1598">
      <c r="A1598" s="269"/>
      <c r="B1598" s="264"/>
      <c r="C1598" s="266"/>
      <c r="D1598" s="266"/>
      <c r="E1598" s="270"/>
      <c r="F1598" s="270"/>
      <c r="G1598" s="270"/>
      <c r="H1598" s="266"/>
      <c r="I1598" s="270"/>
      <c r="J1598" s="270"/>
      <c r="K1598" s="263"/>
    </row>
    <row r="1599">
      <c r="A1599" s="269"/>
      <c r="B1599" s="264"/>
      <c r="C1599" s="266"/>
      <c r="D1599" s="266"/>
      <c r="E1599" s="270"/>
      <c r="F1599" s="270"/>
      <c r="G1599" s="270"/>
      <c r="H1599" s="266"/>
      <c r="I1599" s="270"/>
      <c r="J1599" s="270"/>
      <c r="K1599" s="263"/>
    </row>
    <row r="1600">
      <c r="A1600" s="269"/>
      <c r="B1600" s="264"/>
      <c r="C1600" s="266"/>
      <c r="D1600" s="266"/>
      <c r="E1600" s="270"/>
      <c r="F1600" s="270"/>
      <c r="G1600" s="270"/>
      <c r="H1600" s="266"/>
      <c r="I1600" s="270"/>
      <c r="J1600" s="270"/>
      <c r="K1600" s="263"/>
    </row>
    <row r="1601">
      <c r="A1601" s="269"/>
      <c r="B1601" s="264"/>
      <c r="C1601" s="266"/>
      <c r="D1601" s="266"/>
      <c r="E1601" s="270"/>
      <c r="F1601" s="270"/>
      <c r="G1601" s="270"/>
      <c r="H1601" s="266"/>
      <c r="I1601" s="270"/>
      <c r="J1601" s="270"/>
      <c r="K1601" s="263"/>
    </row>
    <row r="1602">
      <c r="A1602" s="269"/>
      <c r="B1602" s="264"/>
      <c r="C1602" s="266"/>
      <c r="D1602" s="266"/>
      <c r="E1602" s="270"/>
      <c r="F1602" s="270"/>
      <c r="G1602" s="270"/>
      <c r="H1602" s="266"/>
      <c r="I1602" s="270"/>
      <c r="J1602" s="270"/>
      <c r="K1602" s="263"/>
    </row>
    <row r="1603">
      <c r="A1603" s="269"/>
      <c r="B1603" s="264"/>
      <c r="C1603" s="266"/>
      <c r="D1603" s="266"/>
      <c r="E1603" s="270"/>
      <c r="F1603" s="270"/>
      <c r="G1603" s="270"/>
      <c r="H1603" s="266"/>
      <c r="I1603" s="270"/>
      <c r="J1603" s="270"/>
      <c r="K1603" s="263"/>
    </row>
    <row r="1604">
      <c r="A1604" s="269"/>
      <c r="B1604" s="264"/>
      <c r="C1604" s="266"/>
      <c r="D1604" s="266"/>
      <c r="E1604" s="270"/>
      <c r="F1604" s="270"/>
      <c r="G1604" s="270"/>
      <c r="H1604" s="266"/>
      <c r="I1604" s="270"/>
      <c r="J1604" s="270"/>
      <c r="K1604" s="263"/>
    </row>
    <row r="1605">
      <c r="A1605" s="269"/>
      <c r="B1605" s="264"/>
      <c r="C1605" s="266"/>
      <c r="D1605" s="266"/>
      <c r="E1605" s="270"/>
      <c r="F1605" s="270"/>
      <c r="G1605" s="270"/>
      <c r="H1605" s="266"/>
      <c r="I1605" s="270"/>
      <c r="J1605" s="270"/>
      <c r="K1605" s="263"/>
    </row>
    <row r="1606">
      <c r="A1606" s="269"/>
      <c r="B1606" s="264"/>
      <c r="C1606" s="266"/>
      <c r="D1606" s="266"/>
      <c r="E1606" s="270"/>
      <c r="F1606" s="270"/>
      <c r="G1606" s="270"/>
      <c r="H1606" s="266"/>
      <c r="I1606" s="270"/>
      <c r="J1606" s="270"/>
      <c r="K1606" s="263"/>
    </row>
    <row r="1607">
      <c r="A1607" s="269"/>
      <c r="B1607" s="264"/>
      <c r="C1607" s="266"/>
      <c r="D1607" s="266"/>
      <c r="E1607" s="270"/>
      <c r="F1607" s="270"/>
      <c r="G1607" s="270"/>
      <c r="H1607" s="266"/>
      <c r="I1607" s="270"/>
      <c r="J1607" s="270"/>
      <c r="K1607" s="263"/>
    </row>
    <row r="1608">
      <c r="A1608" s="269"/>
      <c r="B1608" s="264"/>
      <c r="C1608" s="266"/>
      <c r="D1608" s="266"/>
      <c r="E1608" s="270"/>
      <c r="F1608" s="270"/>
      <c r="G1608" s="270"/>
      <c r="H1608" s="266"/>
      <c r="I1608" s="270"/>
      <c r="J1608" s="270"/>
      <c r="K1608" s="263"/>
    </row>
    <row r="1609">
      <c r="A1609" s="269"/>
      <c r="B1609" s="264"/>
      <c r="C1609" s="266"/>
      <c r="D1609" s="266"/>
      <c r="E1609" s="270"/>
      <c r="F1609" s="270"/>
      <c r="G1609" s="270"/>
      <c r="H1609" s="266"/>
      <c r="I1609" s="270"/>
      <c r="J1609" s="270"/>
      <c r="K1609" s="263"/>
    </row>
    <row r="1610">
      <c r="A1610" s="269"/>
      <c r="B1610" s="264"/>
      <c r="C1610" s="266"/>
      <c r="D1610" s="266"/>
      <c r="E1610" s="270"/>
      <c r="F1610" s="270"/>
      <c r="G1610" s="270"/>
      <c r="H1610" s="266"/>
      <c r="I1610" s="270"/>
      <c r="J1610" s="270"/>
      <c r="K1610" s="263"/>
    </row>
    <row r="1611">
      <c r="A1611" s="269"/>
      <c r="B1611" s="264"/>
      <c r="C1611" s="266"/>
      <c r="D1611" s="266"/>
      <c r="E1611" s="270"/>
      <c r="F1611" s="270"/>
      <c r="G1611" s="270"/>
      <c r="H1611" s="266"/>
      <c r="I1611" s="270"/>
      <c r="J1611" s="270"/>
      <c r="K1611" s="263"/>
    </row>
    <row r="1612">
      <c r="A1612" s="269"/>
      <c r="B1612" s="264"/>
      <c r="C1612" s="266"/>
      <c r="D1612" s="266"/>
      <c r="E1612" s="270"/>
      <c r="F1612" s="270"/>
      <c r="G1612" s="270"/>
      <c r="H1612" s="266"/>
      <c r="I1612" s="270"/>
      <c r="J1612" s="270"/>
      <c r="K1612" s="263"/>
    </row>
    <row r="1613">
      <c r="A1613" s="269"/>
      <c r="B1613" s="264"/>
      <c r="C1613" s="266"/>
      <c r="D1613" s="266"/>
      <c r="E1613" s="270"/>
      <c r="F1613" s="270"/>
      <c r="G1613" s="270"/>
      <c r="H1613" s="266"/>
      <c r="I1613" s="270"/>
      <c r="J1613" s="270"/>
      <c r="K1613" s="263"/>
    </row>
    <row r="1614">
      <c r="A1614" s="269"/>
      <c r="B1614" s="264"/>
      <c r="C1614" s="266"/>
      <c r="D1614" s="266"/>
      <c r="E1614" s="270"/>
      <c r="F1614" s="270"/>
      <c r="G1614" s="270"/>
      <c r="H1614" s="266"/>
      <c r="I1614" s="270"/>
      <c r="J1614" s="270"/>
      <c r="K1614" s="263"/>
    </row>
    <row r="1615">
      <c r="A1615" s="269"/>
      <c r="B1615" s="264"/>
      <c r="C1615" s="266"/>
      <c r="D1615" s="266"/>
      <c r="E1615" s="270"/>
      <c r="F1615" s="270"/>
      <c r="G1615" s="270"/>
      <c r="H1615" s="266"/>
      <c r="I1615" s="270"/>
      <c r="J1615" s="270"/>
      <c r="K1615" s="263"/>
    </row>
    <row r="1616">
      <c r="A1616" s="269"/>
      <c r="B1616" s="264"/>
      <c r="C1616" s="266"/>
      <c r="D1616" s="266"/>
      <c r="E1616" s="270"/>
      <c r="F1616" s="270"/>
      <c r="G1616" s="270"/>
      <c r="H1616" s="266"/>
      <c r="I1616" s="270"/>
      <c r="J1616" s="270"/>
      <c r="K1616" s="263"/>
    </row>
    <row r="1617">
      <c r="A1617" s="269"/>
      <c r="B1617" s="264"/>
      <c r="C1617" s="266"/>
      <c r="D1617" s="266"/>
      <c r="E1617" s="270"/>
      <c r="F1617" s="270"/>
      <c r="G1617" s="270"/>
      <c r="H1617" s="266"/>
      <c r="I1617" s="270"/>
      <c r="J1617" s="270"/>
      <c r="K1617" s="263"/>
    </row>
    <row r="1618">
      <c r="A1618" s="269"/>
      <c r="B1618" s="264"/>
      <c r="C1618" s="266"/>
      <c r="D1618" s="266"/>
      <c r="E1618" s="270"/>
      <c r="F1618" s="270"/>
      <c r="G1618" s="270"/>
      <c r="H1618" s="266"/>
      <c r="I1618" s="270"/>
      <c r="J1618" s="270"/>
      <c r="K1618" s="263"/>
    </row>
    <row r="1619">
      <c r="A1619" s="269"/>
      <c r="B1619" s="264"/>
      <c r="C1619" s="266"/>
      <c r="D1619" s="266"/>
      <c r="E1619" s="270"/>
      <c r="F1619" s="270"/>
      <c r="G1619" s="270"/>
      <c r="H1619" s="266"/>
      <c r="I1619" s="270"/>
      <c r="J1619" s="270"/>
      <c r="K1619" s="263"/>
    </row>
    <row r="1620">
      <c r="A1620" s="269"/>
      <c r="B1620" s="264"/>
      <c r="C1620" s="266"/>
      <c r="D1620" s="266"/>
      <c r="E1620" s="270"/>
      <c r="F1620" s="270"/>
      <c r="G1620" s="270"/>
      <c r="H1620" s="266"/>
      <c r="I1620" s="270"/>
      <c r="J1620" s="270"/>
      <c r="K1620" s="263"/>
    </row>
    <row r="1621">
      <c r="A1621" s="269"/>
      <c r="B1621" s="264"/>
      <c r="C1621" s="266"/>
      <c r="D1621" s="266"/>
      <c r="E1621" s="270"/>
      <c r="F1621" s="270"/>
      <c r="G1621" s="270"/>
      <c r="H1621" s="266"/>
      <c r="I1621" s="270"/>
      <c r="J1621" s="270"/>
      <c r="K1621" s="263"/>
    </row>
    <row r="1622">
      <c r="A1622" s="269"/>
      <c r="B1622" s="264"/>
      <c r="C1622" s="266"/>
      <c r="D1622" s="266"/>
      <c r="E1622" s="270"/>
      <c r="F1622" s="270"/>
      <c r="G1622" s="270"/>
      <c r="H1622" s="266"/>
      <c r="I1622" s="270"/>
      <c r="J1622" s="270"/>
      <c r="K1622" s="263"/>
    </row>
    <row r="1623">
      <c r="A1623" s="269"/>
      <c r="B1623" s="264"/>
      <c r="C1623" s="266"/>
      <c r="D1623" s="266"/>
      <c r="E1623" s="270"/>
      <c r="F1623" s="270"/>
      <c r="G1623" s="270"/>
      <c r="H1623" s="266"/>
      <c r="I1623" s="270"/>
      <c r="J1623" s="270"/>
      <c r="K1623" s="263"/>
    </row>
    <row r="1624">
      <c r="A1624" s="269"/>
      <c r="B1624" s="264"/>
      <c r="C1624" s="266"/>
      <c r="D1624" s="266"/>
      <c r="E1624" s="270"/>
      <c r="F1624" s="270"/>
      <c r="G1624" s="270"/>
      <c r="H1624" s="266"/>
      <c r="I1624" s="270"/>
      <c r="J1624" s="270"/>
      <c r="K1624" s="263"/>
    </row>
    <row r="1625">
      <c r="A1625" s="269"/>
      <c r="B1625" s="264"/>
      <c r="C1625" s="266"/>
      <c r="D1625" s="266"/>
      <c r="E1625" s="270"/>
      <c r="F1625" s="270"/>
      <c r="G1625" s="270"/>
      <c r="H1625" s="266"/>
      <c r="I1625" s="270"/>
      <c r="J1625" s="270"/>
      <c r="K1625" s="263"/>
    </row>
    <row r="1626">
      <c r="A1626" s="269"/>
      <c r="B1626" s="264"/>
      <c r="C1626" s="266"/>
      <c r="D1626" s="266"/>
      <c r="E1626" s="270"/>
      <c r="F1626" s="270"/>
      <c r="G1626" s="270"/>
      <c r="H1626" s="266"/>
      <c r="I1626" s="270"/>
      <c r="J1626" s="270"/>
      <c r="K1626" s="263"/>
    </row>
    <row r="1627">
      <c r="A1627" s="269"/>
      <c r="B1627" s="264"/>
      <c r="C1627" s="266"/>
      <c r="D1627" s="266"/>
      <c r="E1627" s="270"/>
      <c r="F1627" s="270"/>
      <c r="G1627" s="270"/>
      <c r="H1627" s="266"/>
      <c r="I1627" s="270"/>
      <c r="J1627" s="270"/>
      <c r="K1627" s="263"/>
    </row>
    <row r="1628">
      <c r="A1628" s="269"/>
      <c r="B1628" s="264"/>
      <c r="C1628" s="266"/>
      <c r="D1628" s="266"/>
      <c r="E1628" s="270"/>
      <c r="F1628" s="270"/>
      <c r="G1628" s="270"/>
      <c r="H1628" s="266"/>
      <c r="I1628" s="270"/>
      <c r="J1628" s="270"/>
      <c r="K1628" s="263"/>
    </row>
    <row r="1629">
      <c r="A1629" s="269"/>
      <c r="B1629" s="264"/>
      <c r="C1629" s="266"/>
      <c r="D1629" s="266"/>
      <c r="E1629" s="270"/>
      <c r="F1629" s="270"/>
      <c r="G1629" s="270"/>
      <c r="H1629" s="266"/>
      <c r="I1629" s="270"/>
      <c r="J1629" s="270"/>
      <c r="K1629" s="263"/>
    </row>
    <row r="1630">
      <c r="A1630" s="269"/>
      <c r="B1630" s="264"/>
      <c r="C1630" s="266"/>
      <c r="D1630" s="266"/>
      <c r="E1630" s="270"/>
      <c r="F1630" s="270"/>
      <c r="G1630" s="270"/>
      <c r="H1630" s="266"/>
      <c r="I1630" s="270"/>
      <c r="J1630" s="270"/>
      <c r="K1630" s="263"/>
    </row>
    <row r="1631">
      <c r="A1631" s="269"/>
      <c r="B1631" s="264"/>
      <c r="C1631" s="266"/>
      <c r="D1631" s="266"/>
      <c r="E1631" s="270"/>
      <c r="F1631" s="270"/>
      <c r="G1631" s="270"/>
      <c r="H1631" s="266"/>
      <c r="I1631" s="270"/>
      <c r="J1631" s="270"/>
      <c r="K1631" s="263"/>
    </row>
    <row r="1632">
      <c r="A1632" s="269"/>
      <c r="B1632" s="264"/>
      <c r="C1632" s="266"/>
      <c r="D1632" s="266"/>
      <c r="E1632" s="270"/>
      <c r="F1632" s="270"/>
      <c r="G1632" s="270"/>
      <c r="H1632" s="266"/>
      <c r="I1632" s="270"/>
      <c r="J1632" s="270"/>
      <c r="K1632" s="263"/>
    </row>
    <row r="1633">
      <c r="A1633" s="269"/>
      <c r="B1633" s="264"/>
      <c r="C1633" s="266"/>
      <c r="D1633" s="266"/>
      <c r="E1633" s="270"/>
      <c r="F1633" s="270"/>
      <c r="G1633" s="270"/>
      <c r="H1633" s="266"/>
      <c r="I1633" s="270"/>
      <c r="J1633" s="270"/>
      <c r="K1633" s="263"/>
    </row>
    <row r="1634">
      <c r="A1634" s="269"/>
      <c r="B1634" s="264"/>
      <c r="C1634" s="266"/>
      <c r="D1634" s="266"/>
      <c r="E1634" s="270"/>
      <c r="F1634" s="270"/>
      <c r="G1634" s="270"/>
      <c r="H1634" s="266"/>
      <c r="I1634" s="270"/>
      <c r="J1634" s="270"/>
      <c r="K1634" s="263"/>
    </row>
    <row r="1635">
      <c r="A1635" s="269"/>
      <c r="B1635" s="264"/>
      <c r="C1635" s="266"/>
      <c r="D1635" s="266"/>
      <c r="E1635" s="270"/>
      <c r="F1635" s="270"/>
      <c r="G1635" s="270"/>
      <c r="H1635" s="266"/>
      <c r="I1635" s="270"/>
      <c r="J1635" s="270"/>
      <c r="K1635" s="263"/>
    </row>
    <row r="1636">
      <c r="A1636" s="269"/>
      <c r="B1636" s="264"/>
      <c r="C1636" s="266"/>
      <c r="D1636" s="266"/>
      <c r="E1636" s="270"/>
      <c r="F1636" s="270"/>
      <c r="G1636" s="270"/>
      <c r="H1636" s="266"/>
      <c r="I1636" s="270"/>
      <c r="J1636" s="270"/>
      <c r="K1636" s="263"/>
    </row>
    <row r="1637">
      <c r="A1637" s="269"/>
      <c r="B1637" s="264"/>
      <c r="C1637" s="266"/>
      <c r="D1637" s="266"/>
      <c r="E1637" s="270"/>
      <c r="F1637" s="270"/>
      <c r="G1637" s="270"/>
      <c r="H1637" s="266"/>
      <c r="I1637" s="270"/>
      <c r="J1637" s="270"/>
      <c r="K1637" s="263"/>
    </row>
    <row r="1638">
      <c r="A1638" s="269"/>
      <c r="B1638" s="264"/>
      <c r="C1638" s="266"/>
      <c r="D1638" s="266"/>
      <c r="E1638" s="270"/>
      <c r="F1638" s="270"/>
      <c r="G1638" s="270"/>
      <c r="H1638" s="266"/>
      <c r="I1638" s="270"/>
      <c r="J1638" s="270"/>
      <c r="K1638" s="263"/>
    </row>
    <row r="1639">
      <c r="A1639" s="269"/>
      <c r="B1639" s="264"/>
      <c r="C1639" s="266"/>
      <c r="D1639" s="266"/>
      <c r="E1639" s="270"/>
      <c r="F1639" s="270"/>
      <c r="G1639" s="270"/>
      <c r="H1639" s="266"/>
      <c r="I1639" s="270"/>
      <c r="J1639" s="270"/>
      <c r="K1639" s="263"/>
    </row>
    <row r="1640">
      <c r="A1640" s="269"/>
      <c r="B1640" s="264"/>
      <c r="C1640" s="266"/>
      <c r="D1640" s="266"/>
      <c r="E1640" s="270"/>
      <c r="F1640" s="270"/>
      <c r="G1640" s="270"/>
      <c r="H1640" s="266"/>
      <c r="I1640" s="270"/>
      <c r="J1640" s="270"/>
      <c r="K1640" s="263"/>
    </row>
    <row r="1641">
      <c r="A1641" s="269"/>
      <c r="B1641" s="264"/>
      <c r="C1641" s="266"/>
      <c r="D1641" s="266"/>
      <c r="E1641" s="270"/>
      <c r="F1641" s="270"/>
      <c r="G1641" s="270"/>
      <c r="H1641" s="266"/>
      <c r="I1641" s="270"/>
      <c r="J1641" s="270"/>
      <c r="K1641" s="263"/>
    </row>
    <row r="1642">
      <c r="A1642" s="269"/>
      <c r="B1642" s="264"/>
      <c r="C1642" s="266"/>
      <c r="D1642" s="266"/>
      <c r="E1642" s="270"/>
      <c r="F1642" s="270"/>
      <c r="G1642" s="270"/>
      <c r="H1642" s="266"/>
      <c r="I1642" s="270"/>
      <c r="J1642" s="270"/>
      <c r="K1642" s="263"/>
    </row>
    <row r="1643">
      <c r="A1643" s="269"/>
      <c r="B1643" s="264"/>
      <c r="C1643" s="266"/>
      <c r="D1643" s="266"/>
      <c r="E1643" s="270"/>
      <c r="F1643" s="270"/>
      <c r="G1643" s="270"/>
      <c r="H1643" s="266"/>
      <c r="I1643" s="270"/>
      <c r="J1643" s="270"/>
      <c r="K1643" s="263"/>
    </row>
    <row r="1644">
      <c r="A1644" s="269"/>
      <c r="B1644" s="264"/>
      <c r="C1644" s="266"/>
      <c r="D1644" s="266"/>
      <c r="E1644" s="270"/>
      <c r="F1644" s="270"/>
      <c r="G1644" s="270"/>
      <c r="H1644" s="266"/>
      <c r="I1644" s="270"/>
      <c r="J1644" s="270"/>
      <c r="K1644" s="263"/>
    </row>
    <row r="1645">
      <c r="A1645" s="269"/>
      <c r="B1645" s="264"/>
      <c r="C1645" s="266"/>
      <c r="D1645" s="266"/>
      <c r="E1645" s="270"/>
      <c r="F1645" s="270"/>
      <c r="G1645" s="270"/>
      <c r="H1645" s="266"/>
      <c r="I1645" s="270"/>
      <c r="J1645" s="270"/>
      <c r="K1645" s="263"/>
    </row>
    <row r="1646">
      <c r="A1646" s="269"/>
      <c r="B1646" s="264"/>
      <c r="C1646" s="266"/>
      <c r="D1646" s="266"/>
      <c r="E1646" s="270"/>
      <c r="F1646" s="270"/>
      <c r="G1646" s="270"/>
      <c r="H1646" s="266"/>
      <c r="I1646" s="270"/>
      <c r="J1646" s="270"/>
      <c r="K1646" s="263"/>
    </row>
    <row r="1647">
      <c r="A1647" s="269"/>
      <c r="B1647" s="264"/>
      <c r="C1647" s="266"/>
      <c r="D1647" s="266"/>
      <c r="E1647" s="270"/>
      <c r="F1647" s="270"/>
      <c r="G1647" s="270"/>
      <c r="H1647" s="266"/>
      <c r="I1647" s="270"/>
      <c r="J1647" s="270"/>
      <c r="K1647" s="263"/>
    </row>
    <row r="1648">
      <c r="A1648" s="269"/>
      <c r="B1648" s="264"/>
      <c r="C1648" s="266"/>
      <c r="D1648" s="266"/>
      <c r="E1648" s="270"/>
      <c r="F1648" s="270"/>
      <c r="G1648" s="270"/>
      <c r="H1648" s="266"/>
      <c r="I1648" s="270"/>
      <c r="J1648" s="270"/>
      <c r="K1648" s="263"/>
    </row>
    <row r="1649">
      <c r="A1649" s="269"/>
      <c r="B1649" s="264"/>
      <c r="C1649" s="266"/>
      <c r="D1649" s="266"/>
      <c r="E1649" s="270"/>
      <c r="F1649" s="270"/>
      <c r="G1649" s="270"/>
      <c r="H1649" s="266"/>
      <c r="I1649" s="270"/>
      <c r="J1649" s="270"/>
      <c r="K1649" s="263"/>
    </row>
    <row r="1650">
      <c r="A1650" s="269"/>
      <c r="B1650" s="264"/>
      <c r="C1650" s="266"/>
      <c r="D1650" s="266"/>
      <c r="E1650" s="270"/>
      <c r="F1650" s="270"/>
      <c r="G1650" s="270"/>
      <c r="H1650" s="266"/>
      <c r="I1650" s="270"/>
      <c r="J1650" s="270"/>
      <c r="K1650" s="263"/>
    </row>
    <row r="1651">
      <c r="A1651" s="269"/>
      <c r="B1651" s="264"/>
      <c r="C1651" s="266"/>
      <c r="D1651" s="266"/>
      <c r="E1651" s="270"/>
      <c r="F1651" s="270"/>
      <c r="G1651" s="270"/>
      <c r="H1651" s="266"/>
      <c r="I1651" s="270"/>
      <c r="J1651" s="270"/>
      <c r="K1651" s="263"/>
    </row>
    <row r="1652">
      <c r="A1652" s="269"/>
      <c r="B1652" s="264"/>
      <c r="C1652" s="266"/>
      <c r="D1652" s="266"/>
      <c r="E1652" s="270"/>
      <c r="F1652" s="270"/>
      <c r="G1652" s="270"/>
      <c r="H1652" s="266"/>
      <c r="I1652" s="270"/>
      <c r="J1652" s="270"/>
      <c r="K1652" s="263"/>
    </row>
    <row r="1653">
      <c r="A1653" s="269"/>
      <c r="B1653" s="264"/>
      <c r="C1653" s="266"/>
      <c r="D1653" s="266"/>
      <c r="E1653" s="270"/>
      <c r="F1653" s="270"/>
      <c r="G1653" s="270"/>
      <c r="H1653" s="266"/>
      <c r="I1653" s="270"/>
      <c r="J1653" s="270"/>
      <c r="K1653" s="263"/>
    </row>
    <row r="1654">
      <c r="A1654" s="269"/>
      <c r="B1654" s="264"/>
      <c r="C1654" s="266"/>
      <c r="D1654" s="266"/>
      <c r="E1654" s="270"/>
      <c r="F1654" s="270"/>
      <c r="G1654" s="270"/>
      <c r="H1654" s="266"/>
      <c r="I1654" s="270"/>
      <c r="J1654" s="270"/>
      <c r="K1654" s="263"/>
    </row>
    <row r="1655">
      <c r="A1655" s="269"/>
      <c r="B1655" s="264"/>
      <c r="C1655" s="266"/>
      <c r="D1655" s="266"/>
      <c r="E1655" s="270"/>
      <c r="F1655" s="270"/>
      <c r="G1655" s="270"/>
      <c r="H1655" s="266"/>
      <c r="I1655" s="270"/>
      <c r="J1655" s="270"/>
      <c r="K1655" s="263"/>
    </row>
    <row r="1656">
      <c r="A1656" s="269"/>
      <c r="B1656" s="264"/>
      <c r="C1656" s="266"/>
      <c r="D1656" s="266"/>
      <c r="E1656" s="270"/>
      <c r="F1656" s="270"/>
      <c r="G1656" s="270"/>
      <c r="H1656" s="266"/>
      <c r="I1656" s="270"/>
      <c r="J1656" s="270"/>
      <c r="K1656" s="263"/>
    </row>
    <row r="1657">
      <c r="A1657" s="269"/>
      <c r="B1657" s="264"/>
      <c r="C1657" s="266"/>
      <c r="D1657" s="266"/>
      <c r="E1657" s="270"/>
      <c r="F1657" s="270"/>
      <c r="G1657" s="270"/>
      <c r="H1657" s="266"/>
      <c r="I1657" s="270"/>
      <c r="J1657" s="270"/>
      <c r="K1657" s="263"/>
    </row>
    <row r="1658">
      <c r="A1658" s="269"/>
      <c r="B1658" s="264"/>
      <c r="C1658" s="266"/>
      <c r="D1658" s="266"/>
      <c r="E1658" s="270"/>
      <c r="F1658" s="270"/>
      <c r="G1658" s="270"/>
      <c r="H1658" s="266"/>
      <c r="I1658" s="270"/>
      <c r="J1658" s="270"/>
      <c r="K1658" s="263"/>
    </row>
    <row r="1659">
      <c r="A1659" s="269"/>
      <c r="B1659" s="264"/>
      <c r="C1659" s="266"/>
      <c r="D1659" s="266"/>
      <c r="E1659" s="270"/>
      <c r="F1659" s="270"/>
      <c r="G1659" s="270"/>
      <c r="H1659" s="266"/>
      <c r="I1659" s="270"/>
      <c r="J1659" s="270"/>
      <c r="K1659" s="263"/>
    </row>
    <row r="1660">
      <c r="A1660" s="269"/>
      <c r="B1660" s="264"/>
      <c r="C1660" s="266"/>
      <c r="D1660" s="266"/>
      <c r="E1660" s="270"/>
      <c r="F1660" s="270"/>
      <c r="G1660" s="270"/>
      <c r="H1660" s="266"/>
      <c r="I1660" s="270"/>
      <c r="J1660" s="270"/>
      <c r="K1660" s="263"/>
    </row>
    <row r="1661">
      <c r="A1661" s="269"/>
      <c r="B1661" s="264"/>
      <c r="C1661" s="266"/>
      <c r="D1661" s="266"/>
      <c r="E1661" s="270"/>
      <c r="F1661" s="270"/>
      <c r="G1661" s="270"/>
      <c r="H1661" s="266"/>
      <c r="I1661" s="270"/>
      <c r="J1661" s="270"/>
      <c r="K1661" s="263"/>
    </row>
    <row r="1662">
      <c r="A1662" s="269"/>
      <c r="B1662" s="264"/>
      <c r="C1662" s="266"/>
      <c r="D1662" s="266"/>
      <c r="E1662" s="270"/>
      <c r="F1662" s="270"/>
      <c r="G1662" s="270"/>
      <c r="H1662" s="266"/>
      <c r="I1662" s="270"/>
      <c r="J1662" s="270"/>
      <c r="K1662" s="263"/>
    </row>
    <row r="1663">
      <c r="A1663" s="269"/>
      <c r="B1663" s="264"/>
      <c r="C1663" s="266"/>
      <c r="D1663" s="266"/>
      <c r="E1663" s="270"/>
      <c r="F1663" s="270"/>
      <c r="G1663" s="270"/>
      <c r="H1663" s="266"/>
      <c r="I1663" s="270"/>
      <c r="J1663" s="270"/>
      <c r="K1663" s="263"/>
    </row>
    <row r="1664">
      <c r="A1664" s="269"/>
      <c r="B1664" s="264"/>
      <c r="C1664" s="266"/>
      <c r="D1664" s="266"/>
      <c r="E1664" s="270"/>
      <c r="F1664" s="270"/>
      <c r="G1664" s="270"/>
      <c r="H1664" s="266"/>
      <c r="I1664" s="270"/>
      <c r="J1664" s="270"/>
      <c r="K1664" s="263"/>
    </row>
    <row r="1665">
      <c r="A1665" s="269"/>
      <c r="B1665" s="264"/>
      <c r="C1665" s="266"/>
      <c r="D1665" s="266"/>
      <c r="E1665" s="270"/>
      <c r="F1665" s="270"/>
      <c r="G1665" s="270"/>
      <c r="H1665" s="266"/>
      <c r="I1665" s="270"/>
      <c r="J1665" s="270"/>
      <c r="K1665" s="263"/>
    </row>
    <row r="1666">
      <c r="A1666" s="269"/>
      <c r="B1666" s="264"/>
      <c r="C1666" s="266"/>
      <c r="D1666" s="266"/>
      <c r="E1666" s="270"/>
      <c r="F1666" s="270"/>
      <c r="G1666" s="270"/>
      <c r="H1666" s="266"/>
      <c r="I1666" s="270"/>
      <c r="J1666" s="270"/>
      <c r="K1666" s="263"/>
    </row>
    <row r="1667">
      <c r="A1667" s="269"/>
      <c r="B1667" s="264"/>
      <c r="C1667" s="266"/>
      <c r="D1667" s="266"/>
      <c r="E1667" s="270"/>
      <c r="F1667" s="270"/>
      <c r="G1667" s="270"/>
      <c r="H1667" s="266"/>
      <c r="I1667" s="270"/>
      <c r="J1667" s="270"/>
      <c r="K1667" s="263"/>
    </row>
    <row r="1668">
      <c r="A1668" s="269"/>
      <c r="B1668" s="264"/>
      <c r="C1668" s="266"/>
      <c r="D1668" s="266"/>
      <c r="E1668" s="270"/>
      <c r="F1668" s="270"/>
      <c r="G1668" s="270"/>
      <c r="H1668" s="266"/>
      <c r="I1668" s="270"/>
      <c r="J1668" s="270"/>
      <c r="K1668" s="263"/>
    </row>
    <row r="1669">
      <c r="A1669" s="269"/>
      <c r="B1669" s="264"/>
      <c r="C1669" s="266"/>
      <c r="D1669" s="266"/>
      <c r="E1669" s="270"/>
      <c r="F1669" s="270"/>
      <c r="G1669" s="270"/>
      <c r="H1669" s="266"/>
      <c r="I1669" s="270"/>
      <c r="J1669" s="270"/>
      <c r="K1669" s="263"/>
    </row>
    <row r="1670">
      <c r="A1670" s="269"/>
      <c r="B1670" s="264"/>
      <c r="C1670" s="266"/>
      <c r="D1670" s="266"/>
      <c r="E1670" s="270"/>
      <c r="F1670" s="270"/>
      <c r="G1670" s="270"/>
      <c r="H1670" s="266"/>
      <c r="I1670" s="270"/>
      <c r="J1670" s="270"/>
      <c r="K1670" s="263"/>
    </row>
    <row r="1671">
      <c r="A1671" s="269"/>
      <c r="B1671" s="264"/>
      <c r="C1671" s="266"/>
      <c r="D1671" s="266"/>
      <c r="E1671" s="270"/>
      <c r="F1671" s="270"/>
      <c r="G1671" s="270"/>
      <c r="H1671" s="266"/>
      <c r="I1671" s="270"/>
      <c r="J1671" s="270"/>
      <c r="K1671" s="263"/>
    </row>
    <row r="1672">
      <c r="A1672" s="269"/>
      <c r="B1672" s="264"/>
      <c r="C1672" s="266"/>
      <c r="D1672" s="266"/>
      <c r="E1672" s="270"/>
      <c r="F1672" s="270"/>
      <c r="G1672" s="270"/>
      <c r="H1672" s="266"/>
      <c r="I1672" s="270"/>
      <c r="J1672" s="270"/>
      <c r="K1672" s="263"/>
    </row>
    <row r="1673">
      <c r="A1673" s="269"/>
      <c r="B1673" s="264"/>
      <c r="C1673" s="266"/>
      <c r="D1673" s="266"/>
      <c r="E1673" s="270"/>
      <c r="F1673" s="270"/>
      <c r="G1673" s="270"/>
      <c r="H1673" s="266"/>
      <c r="I1673" s="270"/>
      <c r="J1673" s="270"/>
      <c r="K1673" s="263"/>
    </row>
    <row r="1674">
      <c r="A1674" s="269"/>
      <c r="B1674" s="264"/>
      <c r="C1674" s="266"/>
      <c r="D1674" s="266"/>
      <c r="E1674" s="270"/>
      <c r="F1674" s="270"/>
      <c r="G1674" s="270"/>
      <c r="H1674" s="266"/>
      <c r="I1674" s="270"/>
      <c r="J1674" s="270"/>
      <c r="K1674" s="263"/>
    </row>
    <row r="1675">
      <c r="A1675" s="269"/>
      <c r="B1675" s="264"/>
      <c r="C1675" s="266"/>
      <c r="D1675" s="266"/>
      <c r="E1675" s="270"/>
      <c r="F1675" s="270"/>
      <c r="G1675" s="270"/>
      <c r="H1675" s="266"/>
      <c r="I1675" s="270"/>
      <c r="J1675" s="270"/>
      <c r="K1675" s="263"/>
    </row>
    <row r="1676">
      <c r="A1676" s="269"/>
      <c r="B1676" s="264"/>
      <c r="C1676" s="266"/>
      <c r="D1676" s="266"/>
      <c r="E1676" s="270"/>
      <c r="F1676" s="270"/>
      <c r="G1676" s="270"/>
      <c r="H1676" s="266"/>
      <c r="I1676" s="270"/>
      <c r="J1676" s="270"/>
      <c r="K1676" s="263"/>
    </row>
    <row r="1677">
      <c r="A1677" s="269"/>
      <c r="B1677" s="264"/>
      <c r="C1677" s="266"/>
      <c r="D1677" s="266"/>
      <c r="E1677" s="270"/>
      <c r="F1677" s="270"/>
      <c r="G1677" s="270"/>
      <c r="H1677" s="266"/>
      <c r="I1677" s="270"/>
      <c r="J1677" s="270"/>
      <c r="K1677" s="263"/>
    </row>
    <row r="1678">
      <c r="A1678" s="269"/>
      <c r="B1678" s="264"/>
      <c r="C1678" s="266"/>
      <c r="D1678" s="266"/>
      <c r="E1678" s="270"/>
      <c r="F1678" s="270"/>
      <c r="G1678" s="270"/>
      <c r="H1678" s="266"/>
      <c r="I1678" s="270"/>
      <c r="J1678" s="270"/>
      <c r="K1678" s="263"/>
    </row>
    <row r="1679">
      <c r="A1679" s="269"/>
      <c r="B1679" s="264"/>
      <c r="C1679" s="266"/>
      <c r="D1679" s="266"/>
      <c r="E1679" s="270"/>
      <c r="F1679" s="270"/>
      <c r="G1679" s="270"/>
      <c r="H1679" s="266"/>
      <c r="I1679" s="270"/>
      <c r="J1679" s="270"/>
      <c r="K1679" s="263"/>
    </row>
    <row r="1680">
      <c r="A1680" s="269"/>
      <c r="B1680" s="264"/>
      <c r="C1680" s="266"/>
      <c r="D1680" s="266"/>
      <c r="E1680" s="270"/>
      <c r="F1680" s="270"/>
      <c r="G1680" s="270"/>
      <c r="H1680" s="266"/>
      <c r="I1680" s="270"/>
      <c r="J1680" s="270"/>
      <c r="K1680" s="263"/>
    </row>
    <row r="1681">
      <c r="A1681" s="269"/>
      <c r="B1681" s="264"/>
      <c r="C1681" s="266"/>
      <c r="D1681" s="266"/>
      <c r="E1681" s="270"/>
      <c r="F1681" s="270"/>
      <c r="G1681" s="270"/>
      <c r="H1681" s="266"/>
      <c r="I1681" s="270"/>
      <c r="J1681" s="270"/>
      <c r="K1681" s="263"/>
    </row>
    <row r="1682">
      <c r="A1682" s="269"/>
      <c r="B1682" s="264"/>
      <c r="C1682" s="266"/>
      <c r="D1682" s="266"/>
      <c r="E1682" s="270"/>
      <c r="F1682" s="270"/>
      <c r="G1682" s="270"/>
      <c r="H1682" s="266"/>
      <c r="I1682" s="270"/>
      <c r="J1682" s="270"/>
      <c r="K1682" s="263"/>
    </row>
    <row r="1683">
      <c r="A1683" s="269"/>
      <c r="B1683" s="264"/>
      <c r="C1683" s="266"/>
      <c r="D1683" s="266"/>
      <c r="E1683" s="270"/>
      <c r="F1683" s="270"/>
      <c r="G1683" s="270"/>
      <c r="H1683" s="266"/>
      <c r="I1683" s="270"/>
      <c r="J1683" s="270"/>
      <c r="K1683" s="263"/>
    </row>
    <row r="1684">
      <c r="A1684" s="269"/>
      <c r="B1684" s="264"/>
      <c r="C1684" s="266"/>
      <c r="D1684" s="266"/>
      <c r="E1684" s="270"/>
      <c r="F1684" s="270"/>
      <c r="G1684" s="270"/>
      <c r="H1684" s="266"/>
      <c r="I1684" s="270"/>
      <c r="J1684" s="270"/>
      <c r="K1684" s="263"/>
    </row>
    <row r="1685">
      <c r="A1685" s="269"/>
      <c r="B1685" s="264"/>
      <c r="C1685" s="266"/>
      <c r="D1685" s="266"/>
      <c r="E1685" s="270"/>
      <c r="F1685" s="270"/>
      <c r="G1685" s="270"/>
      <c r="H1685" s="266"/>
      <c r="I1685" s="270"/>
      <c r="J1685" s="270"/>
      <c r="K1685" s="263"/>
    </row>
    <row r="1686">
      <c r="A1686" s="269"/>
      <c r="B1686" s="264"/>
      <c r="C1686" s="266"/>
      <c r="D1686" s="266"/>
      <c r="E1686" s="270"/>
      <c r="F1686" s="270"/>
      <c r="G1686" s="270"/>
      <c r="H1686" s="266"/>
      <c r="I1686" s="270"/>
      <c r="J1686" s="270"/>
      <c r="K1686" s="263"/>
    </row>
    <row r="1687">
      <c r="A1687" s="269"/>
      <c r="B1687" s="264"/>
      <c r="C1687" s="266"/>
      <c r="D1687" s="266"/>
      <c r="E1687" s="270"/>
      <c r="F1687" s="270"/>
      <c r="G1687" s="270"/>
      <c r="H1687" s="266"/>
      <c r="I1687" s="270"/>
      <c r="J1687" s="270"/>
      <c r="K1687" s="263"/>
    </row>
    <row r="1688">
      <c r="A1688" s="269"/>
      <c r="B1688" s="264"/>
      <c r="C1688" s="266"/>
      <c r="D1688" s="266"/>
      <c r="E1688" s="270"/>
      <c r="F1688" s="270"/>
      <c r="G1688" s="270"/>
      <c r="H1688" s="266"/>
      <c r="I1688" s="270"/>
      <c r="J1688" s="270"/>
      <c r="K1688" s="263"/>
    </row>
    <row r="1689">
      <c r="A1689" s="269"/>
      <c r="B1689" s="264"/>
      <c r="C1689" s="266"/>
      <c r="D1689" s="266"/>
      <c r="E1689" s="270"/>
      <c r="F1689" s="270"/>
      <c r="G1689" s="270"/>
      <c r="H1689" s="266"/>
      <c r="I1689" s="270"/>
      <c r="J1689" s="270"/>
      <c r="K1689" s="263"/>
    </row>
    <row r="1690">
      <c r="A1690" s="269"/>
      <c r="B1690" s="264"/>
      <c r="C1690" s="266"/>
      <c r="D1690" s="266"/>
      <c r="E1690" s="270"/>
      <c r="F1690" s="270"/>
      <c r="G1690" s="270"/>
      <c r="H1690" s="266"/>
      <c r="I1690" s="270"/>
      <c r="J1690" s="270"/>
      <c r="K1690" s="263"/>
    </row>
    <row r="1691">
      <c r="A1691" s="269"/>
      <c r="B1691" s="264"/>
      <c r="C1691" s="266"/>
      <c r="D1691" s="266"/>
      <c r="E1691" s="270"/>
      <c r="F1691" s="270"/>
      <c r="G1691" s="270"/>
      <c r="H1691" s="266"/>
      <c r="I1691" s="270"/>
      <c r="J1691" s="270"/>
      <c r="K1691" s="263"/>
    </row>
    <row r="1692">
      <c r="A1692" s="269"/>
      <c r="B1692" s="264"/>
      <c r="C1692" s="266"/>
      <c r="D1692" s="266"/>
      <c r="E1692" s="270"/>
      <c r="F1692" s="270"/>
      <c r="G1692" s="270"/>
      <c r="H1692" s="266"/>
      <c r="I1692" s="270"/>
      <c r="J1692" s="270"/>
      <c r="K1692" s="263"/>
    </row>
    <row r="1693">
      <c r="A1693" s="269"/>
      <c r="B1693" s="264"/>
      <c r="C1693" s="266"/>
      <c r="D1693" s="266"/>
      <c r="E1693" s="270"/>
      <c r="F1693" s="270"/>
      <c r="G1693" s="270"/>
      <c r="H1693" s="266"/>
      <c r="I1693" s="270"/>
      <c r="J1693" s="270"/>
      <c r="K1693" s="263"/>
    </row>
    <row r="1694">
      <c r="A1694" s="269"/>
      <c r="B1694" s="264"/>
      <c r="C1694" s="266"/>
      <c r="D1694" s="266"/>
      <c r="E1694" s="270"/>
      <c r="F1694" s="270"/>
      <c r="G1694" s="270"/>
      <c r="H1694" s="266"/>
      <c r="I1694" s="270"/>
      <c r="J1694" s="270"/>
      <c r="K1694" s="263"/>
    </row>
    <row r="1695">
      <c r="A1695" s="269"/>
      <c r="B1695" s="264"/>
      <c r="C1695" s="266"/>
      <c r="D1695" s="266"/>
      <c r="E1695" s="270"/>
      <c r="F1695" s="270"/>
      <c r="G1695" s="270"/>
      <c r="H1695" s="266"/>
      <c r="I1695" s="270"/>
      <c r="J1695" s="270"/>
      <c r="K1695" s="263"/>
    </row>
    <row r="1696">
      <c r="A1696" s="269"/>
      <c r="B1696" s="264"/>
      <c r="C1696" s="266"/>
      <c r="D1696" s="266"/>
      <c r="E1696" s="270"/>
      <c r="F1696" s="270"/>
      <c r="G1696" s="270"/>
      <c r="H1696" s="266"/>
      <c r="I1696" s="270"/>
      <c r="J1696" s="270"/>
      <c r="K1696" s="263"/>
    </row>
    <row r="1697">
      <c r="A1697" s="269"/>
      <c r="B1697" s="264"/>
      <c r="C1697" s="266"/>
      <c r="D1697" s="266"/>
      <c r="E1697" s="270"/>
      <c r="F1697" s="270"/>
      <c r="G1697" s="270"/>
      <c r="H1697" s="266"/>
      <c r="I1697" s="270"/>
      <c r="J1697" s="270"/>
      <c r="K1697" s="263"/>
    </row>
    <row r="1698">
      <c r="A1698" s="269"/>
      <c r="B1698" s="264"/>
      <c r="C1698" s="266"/>
      <c r="D1698" s="266"/>
      <c r="E1698" s="270"/>
      <c r="F1698" s="270"/>
      <c r="G1698" s="270"/>
      <c r="H1698" s="266"/>
      <c r="I1698" s="270"/>
      <c r="J1698" s="270"/>
      <c r="K1698" s="263"/>
    </row>
    <row r="1699">
      <c r="A1699" s="269"/>
      <c r="B1699" s="264"/>
      <c r="C1699" s="266"/>
      <c r="D1699" s="266"/>
      <c r="E1699" s="270"/>
      <c r="F1699" s="270"/>
      <c r="G1699" s="270"/>
      <c r="H1699" s="266"/>
      <c r="I1699" s="270"/>
      <c r="J1699" s="270"/>
      <c r="K1699" s="263"/>
    </row>
    <row r="1700">
      <c r="A1700" s="269"/>
      <c r="B1700" s="264"/>
      <c r="C1700" s="266"/>
      <c r="D1700" s="266"/>
      <c r="E1700" s="270"/>
      <c r="F1700" s="270"/>
      <c r="G1700" s="270"/>
      <c r="H1700" s="266"/>
      <c r="I1700" s="270"/>
      <c r="J1700" s="270"/>
      <c r="K1700" s="263"/>
    </row>
    <row r="1701">
      <c r="A1701" s="269"/>
      <c r="B1701" s="264"/>
      <c r="C1701" s="266"/>
      <c r="D1701" s="266"/>
      <c r="E1701" s="270"/>
      <c r="F1701" s="270"/>
      <c r="G1701" s="270"/>
      <c r="H1701" s="266"/>
      <c r="I1701" s="270"/>
      <c r="J1701" s="270"/>
      <c r="K1701" s="263"/>
    </row>
    <row r="1702">
      <c r="A1702" s="269"/>
      <c r="B1702" s="264"/>
      <c r="C1702" s="266"/>
      <c r="D1702" s="266"/>
      <c r="E1702" s="270"/>
      <c r="F1702" s="270"/>
      <c r="G1702" s="270"/>
      <c r="H1702" s="266"/>
      <c r="I1702" s="270"/>
      <c r="J1702" s="270"/>
      <c r="K1702" s="263"/>
    </row>
    <row r="1703">
      <c r="A1703" s="269"/>
      <c r="B1703" s="264"/>
      <c r="C1703" s="266"/>
      <c r="D1703" s="266"/>
      <c r="E1703" s="270"/>
      <c r="F1703" s="270"/>
      <c r="G1703" s="270"/>
      <c r="H1703" s="266"/>
      <c r="I1703" s="270"/>
      <c r="J1703" s="270"/>
      <c r="K1703" s="263"/>
    </row>
    <row r="1704">
      <c r="A1704" s="269"/>
      <c r="B1704" s="264"/>
      <c r="C1704" s="266"/>
      <c r="D1704" s="266"/>
      <c r="E1704" s="270"/>
      <c r="F1704" s="270"/>
      <c r="G1704" s="270"/>
      <c r="H1704" s="266"/>
      <c r="I1704" s="270"/>
      <c r="J1704" s="270"/>
      <c r="K1704" s="263"/>
    </row>
    <row r="1705">
      <c r="A1705" s="269"/>
      <c r="B1705" s="264"/>
      <c r="C1705" s="266"/>
      <c r="D1705" s="266"/>
      <c r="E1705" s="270"/>
      <c r="F1705" s="270"/>
      <c r="G1705" s="270"/>
      <c r="H1705" s="266"/>
      <c r="I1705" s="270"/>
      <c r="J1705" s="270"/>
      <c r="K1705" s="263"/>
    </row>
    <row r="1706">
      <c r="A1706" s="269"/>
      <c r="B1706" s="264"/>
      <c r="C1706" s="266"/>
      <c r="D1706" s="266"/>
      <c r="E1706" s="270"/>
      <c r="F1706" s="270"/>
      <c r="G1706" s="270"/>
      <c r="H1706" s="266"/>
      <c r="I1706" s="270"/>
      <c r="J1706" s="270"/>
      <c r="K1706" s="263"/>
    </row>
    <row r="1707">
      <c r="A1707" s="269"/>
      <c r="B1707" s="264"/>
      <c r="C1707" s="266"/>
      <c r="D1707" s="266"/>
      <c r="E1707" s="270"/>
      <c r="F1707" s="270"/>
      <c r="G1707" s="270"/>
      <c r="H1707" s="266"/>
      <c r="I1707" s="270"/>
      <c r="J1707" s="270"/>
      <c r="K1707" s="263"/>
    </row>
    <row r="1708">
      <c r="A1708" s="269"/>
      <c r="B1708" s="264"/>
      <c r="C1708" s="266"/>
      <c r="D1708" s="266"/>
      <c r="E1708" s="270"/>
      <c r="F1708" s="270"/>
      <c r="G1708" s="270"/>
      <c r="H1708" s="266"/>
      <c r="I1708" s="270"/>
      <c r="J1708" s="270"/>
      <c r="K1708" s="263"/>
    </row>
    <row r="1709">
      <c r="A1709" s="269"/>
      <c r="B1709" s="264"/>
      <c r="C1709" s="266"/>
      <c r="D1709" s="266"/>
      <c r="E1709" s="270"/>
      <c r="F1709" s="270"/>
      <c r="G1709" s="270"/>
      <c r="H1709" s="266"/>
      <c r="I1709" s="270"/>
      <c r="J1709" s="270"/>
      <c r="K1709" s="263"/>
    </row>
    <row r="1710">
      <c r="A1710" s="269"/>
      <c r="B1710" s="264"/>
      <c r="C1710" s="266"/>
      <c r="D1710" s="266"/>
      <c r="E1710" s="270"/>
      <c r="F1710" s="270"/>
      <c r="G1710" s="270"/>
      <c r="H1710" s="266"/>
      <c r="I1710" s="270"/>
      <c r="J1710" s="270"/>
      <c r="K1710" s="263"/>
    </row>
    <row r="1711">
      <c r="A1711" s="269"/>
      <c r="B1711" s="264"/>
      <c r="C1711" s="266"/>
      <c r="D1711" s="266"/>
      <c r="E1711" s="270"/>
      <c r="F1711" s="270"/>
      <c r="G1711" s="270"/>
      <c r="H1711" s="266"/>
      <c r="I1711" s="270"/>
      <c r="J1711" s="270"/>
      <c r="K1711" s="263"/>
    </row>
    <row r="1712">
      <c r="A1712" s="269"/>
      <c r="B1712" s="264"/>
      <c r="C1712" s="266"/>
      <c r="D1712" s="266"/>
      <c r="E1712" s="270"/>
      <c r="F1712" s="270"/>
      <c r="G1712" s="270"/>
      <c r="H1712" s="266"/>
      <c r="I1712" s="270"/>
      <c r="J1712" s="270"/>
      <c r="K1712" s="263"/>
    </row>
    <row r="1713">
      <c r="A1713" s="269"/>
      <c r="B1713" s="264"/>
      <c r="C1713" s="266"/>
      <c r="D1713" s="266"/>
      <c r="E1713" s="270"/>
      <c r="F1713" s="270"/>
      <c r="G1713" s="270"/>
      <c r="H1713" s="266"/>
      <c r="I1713" s="270"/>
      <c r="J1713" s="270"/>
      <c r="K1713" s="263"/>
    </row>
    <row r="1714">
      <c r="A1714" s="269"/>
      <c r="B1714" s="264"/>
      <c r="C1714" s="266"/>
      <c r="D1714" s="266"/>
      <c r="E1714" s="270"/>
      <c r="F1714" s="270"/>
      <c r="G1714" s="270"/>
      <c r="H1714" s="266"/>
      <c r="I1714" s="270"/>
      <c r="J1714" s="270"/>
      <c r="K1714" s="263"/>
    </row>
    <row r="1715">
      <c r="A1715" s="269"/>
      <c r="B1715" s="264"/>
      <c r="C1715" s="266"/>
      <c r="D1715" s="266"/>
      <c r="E1715" s="270"/>
      <c r="F1715" s="270"/>
      <c r="G1715" s="270"/>
      <c r="H1715" s="266"/>
      <c r="I1715" s="270"/>
      <c r="J1715" s="270"/>
      <c r="K1715" s="263"/>
    </row>
    <row r="1716">
      <c r="A1716" s="269"/>
      <c r="B1716" s="264"/>
      <c r="C1716" s="266"/>
      <c r="D1716" s="266"/>
      <c r="E1716" s="270"/>
      <c r="F1716" s="270"/>
      <c r="G1716" s="270"/>
      <c r="H1716" s="266"/>
      <c r="I1716" s="270"/>
      <c r="J1716" s="270"/>
      <c r="K1716" s="263"/>
    </row>
    <row r="1717">
      <c r="A1717" s="269"/>
      <c r="B1717" s="264"/>
      <c r="C1717" s="266"/>
      <c r="D1717" s="266"/>
      <c r="E1717" s="270"/>
      <c r="F1717" s="270"/>
      <c r="G1717" s="270"/>
      <c r="H1717" s="266"/>
      <c r="I1717" s="270"/>
      <c r="J1717" s="270"/>
      <c r="K1717" s="263"/>
    </row>
    <row r="1718">
      <c r="A1718" s="269"/>
      <c r="B1718" s="264"/>
      <c r="C1718" s="266"/>
      <c r="D1718" s="266"/>
      <c r="E1718" s="270"/>
      <c r="F1718" s="270"/>
      <c r="G1718" s="270"/>
      <c r="H1718" s="266"/>
      <c r="I1718" s="270"/>
      <c r="J1718" s="270"/>
      <c r="K1718" s="263"/>
    </row>
    <row r="1719">
      <c r="A1719" s="269"/>
      <c r="B1719" s="264"/>
      <c r="C1719" s="266"/>
      <c r="D1719" s="266"/>
      <c r="E1719" s="270"/>
      <c r="F1719" s="270"/>
      <c r="G1719" s="270"/>
      <c r="H1719" s="266"/>
      <c r="I1719" s="270"/>
      <c r="J1719" s="270"/>
      <c r="K1719" s="263"/>
    </row>
    <row r="1720">
      <c r="A1720" s="269"/>
      <c r="B1720" s="264"/>
      <c r="C1720" s="266"/>
      <c r="D1720" s="266"/>
      <c r="E1720" s="270"/>
      <c r="F1720" s="270"/>
      <c r="G1720" s="270"/>
      <c r="H1720" s="266"/>
      <c r="I1720" s="270"/>
      <c r="J1720" s="270"/>
      <c r="K1720" s="263"/>
    </row>
    <row r="1721">
      <c r="A1721" s="269"/>
      <c r="B1721" s="264"/>
      <c r="C1721" s="266"/>
      <c r="D1721" s="266"/>
      <c r="E1721" s="270"/>
      <c r="F1721" s="270"/>
      <c r="G1721" s="270"/>
      <c r="H1721" s="266"/>
      <c r="I1721" s="270"/>
      <c r="J1721" s="270"/>
      <c r="K1721" s="263"/>
    </row>
    <row r="1722">
      <c r="A1722" s="269"/>
      <c r="B1722" s="264"/>
      <c r="C1722" s="266"/>
      <c r="D1722" s="266"/>
      <c r="E1722" s="270"/>
      <c r="F1722" s="270"/>
      <c r="G1722" s="270"/>
      <c r="H1722" s="266"/>
      <c r="I1722" s="270"/>
      <c r="J1722" s="270"/>
      <c r="K1722" s="263"/>
    </row>
    <row r="1723">
      <c r="A1723" s="269"/>
      <c r="B1723" s="264"/>
      <c r="C1723" s="266"/>
      <c r="D1723" s="266"/>
      <c r="E1723" s="270"/>
      <c r="F1723" s="270"/>
      <c r="G1723" s="270"/>
      <c r="H1723" s="266"/>
      <c r="I1723" s="270"/>
      <c r="J1723" s="270"/>
      <c r="K1723" s="263"/>
    </row>
    <row r="1724">
      <c r="A1724" s="269"/>
      <c r="B1724" s="264"/>
      <c r="C1724" s="266"/>
      <c r="D1724" s="266"/>
      <c r="E1724" s="270"/>
      <c r="F1724" s="270"/>
      <c r="G1724" s="270"/>
      <c r="H1724" s="266"/>
      <c r="I1724" s="270"/>
      <c r="J1724" s="270"/>
      <c r="K1724" s="263"/>
    </row>
    <row r="1725">
      <c r="A1725" s="269"/>
      <c r="B1725" s="264"/>
      <c r="C1725" s="266"/>
      <c r="D1725" s="266"/>
      <c r="E1725" s="270"/>
      <c r="F1725" s="270"/>
      <c r="G1725" s="270"/>
      <c r="H1725" s="266"/>
      <c r="I1725" s="270"/>
      <c r="J1725" s="270"/>
      <c r="K1725" s="263"/>
    </row>
    <row r="1726">
      <c r="A1726" s="269"/>
      <c r="B1726" s="264"/>
      <c r="C1726" s="266"/>
      <c r="D1726" s="266"/>
      <c r="E1726" s="270"/>
      <c r="F1726" s="270"/>
      <c r="G1726" s="270"/>
      <c r="H1726" s="266"/>
      <c r="I1726" s="270"/>
      <c r="J1726" s="270"/>
      <c r="K1726" s="263"/>
    </row>
    <row r="1727">
      <c r="A1727" s="269"/>
      <c r="B1727" s="264"/>
      <c r="C1727" s="266"/>
      <c r="D1727" s="266"/>
      <c r="E1727" s="270"/>
      <c r="F1727" s="270"/>
      <c r="G1727" s="270"/>
      <c r="H1727" s="266"/>
      <c r="I1727" s="270"/>
      <c r="J1727" s="270"/>
      <c r="K1727" s="263"/>
    </row>
    <row r="1728">
      <c r="A1728" s="269"/>
      <c r="B1728" s="264"/>
      <c r="C1728" s="266"/>
      <c r="D1728" s="266"/>
      <c r="E1728" s="270"/>
      <c r="F1728" s="270"/>
      <c r="G1728" s="270"/>
      <c r="H1728" s="266"/>
      <c r="I1728" s="270"/>
      <c r="J1728" s="270"/>
      <c r="K1728" s="263"/>
    </row>
    <row r="1729">
      <c r="A1729" s="269"/>
      <c r="B1729" s="264"/>
      <c r="C1729" s="266"/>
      <c r="D1729" s="266"/>
      <c r="E1729" s="270"/>
      <c r="F1729" s="270"/>
      <c r="G1729" s="270"/>
      <c r="H1729" s="266"/>
      <c r="I1729" s="270"/>
      <c r="J1729" s="270"/>
      <c r="K1729" s="263"/>
    </row>
    <row r="1730">
      <c r="A1730" s="269"/>
      <c r="B1730" s="264"/>
      <c r="C1730" s="266"/>
      <c r="D1730" s="266"/>
      <c r="E1730" s="270"/>
      <c r="F1730" s="270"/>
      <c r="G1730" s="270"/>
      <c r="H1730" s="266"/>
      <c r="I1730" s="270"/>
      <c r="J1730" s="270"/>
      <c r="K1730" s="263"/>
    </row>
    <row r="1731">
      <c r="A1731" s="269"/>
      <c r="B1731" s="264"/>
      <c r="C1731" s="266"/>
      <c r="D1731" s="266"/>
      <c r="E1731" s="270"/>
      <c r="F1731" s="270"/>
      <c r="G1731" s="270"/>
      <c r="H1731" s="266"/>
      <c r="I1731" s="270"/>
      <c r="J1731" s="270"/>
      <c r="K1731" s="263"/>
    </row>
    <row r="1732">
      <c r="A1732" s="269"/>
      <c r="B1732" s="264"/>
      <c r="C1732" s="266"/>
      <c r="D1732" s="266"/>
      <c r="E1732" s="270"/>
      <c r="F1732" s="270"/>
      <c r="G1732" s="270"/>
      <c r="H1732" s="266"/>
      <c r="I1732" s="270"/>
      <c r="J1732" s="270"/>
      <c r="K1732" s="263"/>
    </row>
    <row r="1733">
      <c r="A1733" s="269"/>
      <c r="B1733" s="264"/>
      <c r="C1733" s="266"/>
      <c r="D1733" s="266"/>
      <c r="E1733" s="270"/>
      <c r="F1733" s="270"/>
      <c r="G1733" s="270"/>
      <c r="H1733" s="266"/>
      <c r="I1733" s="270"/>
      <c r="J1733" s="270"/>
      <c r="K1733" s="263"/>
    </row>
    <row r="1734">
      <c r="A1734" s="269"/>
      <c r="B1734" s="264"/>
      <c r="C1734" s="266"/>
      <c r="D1734" s="266"/>
      <c r="E1734" s="270"/>
      <c r="F1734" s="270"/>
      <c r="G1734" s="270"/>
      <c r="H1734" s="266"/>
      <c r="I1734" s="270"/>
      <c r="J1734" s="270"/>
      <c r="K1734" s="263"/>
    </row>
    <row r="1735">
      <c r="A1735" s="269"/>
      <c r="B1735" s="264"/>
      <c r="C1735" s="266"/>
      <c r="D1735" s="266"/>
      <c r="E1735" s="270"/>
      <c r="F1735" s="270"/>
      <c r="G1735" s="270"/>
      <c r="H1735" s="266"/>
      <c r="I1735" s="270"/>
      <c r="J1735" s="270"/>
      <c r="K1735" s="263"/>
    </row>
    <row r="1736">
      <c r="A1736" s="269"/>
      <c r="B1736" s="264"/>
      <c r="C1736" s="266"/>
      <c r="D1736" s="266"/>
      <c r="E1736" s="270"/>
      <c r="F1736" s="270"/>
      <c r="G1736" s="270"/>
      <c r="H1736" s="266"/>
      <c r="I1736" s="270"/>
      <c r="J1736" s="270"/>
      <c r="K1736" s="263"/>
    </row>
    <row r="1737">
      <c r="A1737" s="269"/>
      <c r="B1737" s="264"/>
      <c r="C1737" s="266"/>
      <c r="D1737" s="266"/>
      <c r="E1737" s="270"/>
      <c r="F1737" s="270"/>
      <c r="G1737" s="270"/>
      <c r="H1737" s="266"/>
      <c r="I1737" s="270"/>
      <c r="J1737" s="270"/>
      <c r="K1737" s="263"/>
    </row>
    <row r="1738">
      <c r="A1738" s="269"/>
      <c r="B1738" s="264"/>
      <c r="C1738" s="266"/>
      <c r="D1738" s="266"/>
      <c r="E1738" s="270"/>
      <c r="F1738" s="270"/>
      <c r="G1738" s="270"/>
      <c r="H1738" s="266"/>
      <c r="I1738" s="270"/>
      <c r="J1738" s="270"/>
      <c r="K1738" s="263"/>
    </row>
    <row r="1739">
      <c r="A1739" s="269"/>
      <c r="B1739" s="264"/>
      <c r="C1739" s="266"/>
      <c r="D1739" s="266"/>
      <c r="E1739" s="270"/>
      <c r="F1739" s="270"/>
      <c r="G1739" s="270"/>
      <c r="H1739" s="266"/>
      <c r="I1739" s="270"/>
      <c r="J1739" s="270"/>
      <c r="K1739" s="263"/>
    </row>
    <row r="1740">
      <c r="A1740" s="269"/>
      <c r="B1740" s="264"/>
      <c r="C1740" s="266"/>
      <c r="D1740" s="266"/>
      <c r="E1740" s="270"/>
      <c r="F1740" s="270"/>
      <c r="G1740" s="270"/>
      <c r="H1740" s="266"/>
      <c r="I1740" s="270"/>
      <c r="J1740" s="270"/>
      <c r="K1740" s="263"/>
    </row>
    <row r="1741">
      <c r="A1741" s="269"/>
      <c r="B1741" s="264"/>
      <c r="C1741" s="266"/>
      <c r="D1741" s="266"/>
      <c r="E1741" s="270"/>
      <c r="F1741" s="270"/>
      <c r="G1741" s="270"/>
      <c r="H1741" s="266"/>
      <c r="I1741" s="270"/>
      <c r="J1741" s="270"/>
      <c r="K1741" s="263"/>
    </row>
    <row r="1742">
      <c r="A1742" s="269"/>
      <c r="B1742" s="264"/>
      <c r="C1742" s="266"/>
      <c r="D1742" s="266"/>
      <c r="E1742" s="270"/>
      <c r="F1742" s="270"/>
      <c r="G1742" s="270"/>
      <c r="H1742" s="266"/>
      <c r="I1742" s="270"/>
      <c r="J1742" s="270"/>
      <c r="K1742" s="263"/>
    </row>
    <row r="1743">
      <c r="A1743" s="269"/>
      <c r="B1743" s="264"/>
      <c r="C1743" s="266"/>
      <c r="D1743" s="266"/>
      <c r="E1743" s="270"/>
      <c r="F1743" s="270"/>
      <c r="G1743" s="270"/>
      <c r="H1743" s="266"/>
      <c r="I1743" s="270"/>
      <c r="J1743" s="270"/>
      <c r="K1743" s="263"/>
    </row>
    <row r="1744">
      <c r="A1744" s="269"/>
      <c r="B1744" s="264"/>
      <c r="C1744" s="266"/>
      <c r="D1744" s="266"/>
      <c r="E1744" s="270"/>
      <c r="F1744" s="270"/>
      <c r="G1744" s="270"/>
      <c r="H1744" s="266"/>
      <c r="I1744" s="270"/>
      <c r="J1744" s="270"/>
      <c r="K1744" s="263"/>
    </row>
    <row r="1745">
      <c r="A1745" s="269"/>
      <c r="B1745" s="264"/>
      <c r="C1745" s="266"/>
      <c r="D1745" s="266"/>
      <c r="E1745" s="270"/>
      <c r="F1745" s="270"/>
      <c r="G1745" s="270"/>
      <c r="H1745" s="266"/>
      <c r="I1745" s="270"/>
      <c r="J1745" s="270"/>
      <c r="K1745" s="263"/>
    </row>
    <row r="1746">
      <c r="A1746" s="269"/>
      <c r="B1746" s="264"/>
      <c r="C1746" s="266"/>
      <c r="D1746" s="266"/>
      <c r="E1746" s="270"/>
      <c r="F1746" s="270"/>
      <c r="G1746" s="270"/>
      <c r="H1746" s="266"/>
      <c r="I1746" s="270"/>
      <c r="J1746" s="270"/>
      <c r="K1746" s="263"/>
    </row>
    <row r="1747">
      <c r="A1747" s="269"/>
      <c r="B1747" s="264"/>
      <c r="C1747" s="266"/>
      <c r="D1747" s="266"/>
      <c r="E1747" s="270"/>
      <c r="F1747" s="270"/>
      <c r="G1747" s="270"/>
      <c r="H1747" s="266"/>
      <c r="I1747" s="270"/>
      <c r="J1747" s="270"/>
      <c r="K1747" s="263"/>
    </row>
    <row r="1748">
      <c r="A1748" s="269"/>
      <c r="B1748" s="264"/>
      <c r="C1748" s="266"/>
      <c r="D1748" s="266"/>
      <c r="E1748" s="270"/>
      <c r="F1748" s="270"/>
      <c r="G1748" s="270"/>
      <c r="H1748" s="266"/>
      <c r="I1748" s="270"/>
      <c r="J1748" s="270"/>
      <c r="K1748" s="263"/>
    </row>
    <row r="1749">
      <c r="A1749" s="269"/>
      <c r="B1749" s="264"/>
      <c r="C1749" s="266"/>
      <c r="D1749" s="266"/>
      <c r="E1749" s="270"/>
      <c r="F1749" s="270"/>
      <c r="G1749" s="270"/>
      <c r="H1749" s="266"/>
      <c r="I1749" s="270"/>
      <c r="J1749" s="270"/>
      <c r="K1749" s="263"/>
    </row>
    <row r="1750">
      <c r="A1750" s="269"/>
      <c r="B1750" s="264"/>
      <c r="C1750" s="266"/>
      <c r="D1750" s="266"/>
      <c r="E1750" s="270"/>
      <c r="F1750" s="270"/>
      <c r="G1750" s="270"/>
      <c r="H1750" s="266"/>
      <c r="I1750" s="270"/>
      <c r="J1750" s="270"/>
      <c r="K1750" s="263"/>
    </row>
    <row r="1751">
      <c r="A1751" s="269"/>
      <c r="B1751" s="264"/>
      <c r="C1751" s="266"/>
      <c r="D1751" s="266"/>
      <c r="E1751" s="270"/>
      <c r="F1751" s="270"/>
      <c r="G1751" s="270"/>
      <c r="H1751" s="266"/>
      <c r="I1751" s="270"/>
      <c r="J1751" s="270"/>
      <c r="K1751" s="263"/>
    </row>
    <row r="1752">
      <c r="A1752" s="269"/>
      <c r="B1752" s="264"/>
      <c r="C1752" s="266"/>
      <c r="D1752" s="266"/>
      <c r="E1752" s="270"/>
      <c r="F1752" s="270"/>
      <c r="G1752" s="270"/>
      <c r="H1752" s="266"/>
      <c r="I1752" s="270"/>
      <c r="J1752" s="270"/>
      <c r="K1752" s="263"/>
    </row>
    <row r="1753">
      <c r="A1753" s="269"/>
      <c r="B1753" s="264"/>
      <c r="C1753" s="266"/>
      <c r="D1753" s="266"/>
      <c r="E1753" s="270"/>
      <c r="F1753" s="270"/>
      <c r="G1753" s="270"/>
      <c r="H1753" s="266"/>
      <c r="I1753" s="270"/>
      <c r="J1753" s="270"/>
      <c r="K1753" s="263"/>
    </row>
    <row r="1754">
      <c r="A1754" s="269"/>
      <c r="B1754" s="264"/>
      <c r="C1754" s="266"/>
      <c r="D1754" s="266"/>
      <c r="E1754" s="270"/>
      <c r="F1754" s="270"/>
      <c r="G1754" s="270"/>
      <c r="H1754" s="266"/>
      <c r="I1754" s="270"/>
      <c r="J1754" s="270"/>
      <c r="K1754" s="263"/>
    </row>
    <row r="1755">
      <c r="A1755" s="269"/>
      <c r="B1755" s="264"/>
      <c r="C1755" s="266"/>
      <c r="D1755" s="266"/>
      <c r="E1755" s="270"/>
      <c r="F1755" s="270"/>
      <c r="G1755" s="270"/>
      <c r="H1755" s="266"/>
      <c r="I1755" s="270"/>
      <c r="J1755" s="270"/>
      <c r="K1755" s="263"/>
    </row>
    <row r="1756">
      <c r="A1756" s="269"/>
      <c r="B1756" s="264"/>
      <c r="C1756" s="266"/>
      <c r="D1756" s="266"/>
      <c r="E1756" s="270"/>
      <c r="F1756" s="270"/>
      <c r="G1756" s="270"/>
      <c r="H1756" s="266"/>
      <c r="I1756" s="270"/>
      <c r="J1756" s="270"/>
      <c r="K1756" s="263"/>
    </row>
    <row r="1757">
      <c r="A1757" s="269"/>
      <c r="B1757" s="264"/>
      <c r="C1757" s="266"/>
      <c r="D1757" s="266"/>
      <c r="E1757" s="270"/>
      <c r="F1757" s="270"/>
      <c r="G1757" s="270"/>
      <c r="H1757" s="266"/>
      <c r="I1757" s="270"/>
      <c r="J1757" s="270"/>
      <c r="K1757" s="263"/>
    </row>
    <row r="1758">
      <c r="A1758" s="269"/>
      <c r="B1758" s="264"/>
      <c r="C1758" s="266"/>
      <c r="D1758" s="266"/>
      <c r="E1758" s="270"/>
      <c r="F1758" s="270"/>
      <c r="G1758" s="270"/>
      <c r="H1758" s="266"/>
      <c r="I1758" s="270"/>
      <c r="J1758" s="270"/>
      <c r="K1758" s="263"/>
    </row>
    <row r="1759">
      <c r="A1759" s="269"/>
      <c r="B1759" s="264"/>
      <c r="C1759" s="266"/>
      <c r="D1759" s="266"/>
      <c r="E1759" s="270"/>
      <c r="F1759" s="270"/>
      <c r="G1759" s="270"/>
      <c r="H1759" s="266"/>
      <c r="I1759" s="270"/>
      <c r="J1759" s="270"/>
      <c r="K1759" s="263"/>
    </row>
    <row r="1760">
      <c r="A1760" s="269"/>
      <c r="B1760" s="264"/>
      <c r="C1760" s="266"/>
      <c r="D1760" s="266"/>
      <c r="E1760" s="270"/>
      <c r="F1760" s="270"/>
      <c r="G1760" s="270"/>
      <c r="H1760" s="266"/>
      <c r="I1760" s="270"/>
      <c r="J1760" s="270"/>
      <c r="K1760" s="263"/>
    </row>
    <row r="1761">
      <c r="A1761" s="269"/>
      <c r="B1761" s="264"/>
      <c r="C1761" s="266"/>
      <c r="D1761" s="266"/>
      <c r="E1761" s="270"/>
      <c r="F1761" s="270"/>
      <c r="G1761" s="270"/>
      <c r="H1761" s="266"/>
      <c r="I1761" s="270"/>
      <c r="J1761" s="270"/>
      <c r="K1761" s="263"/>
    </row>
    <row r="1762">
      <c r="A1762" s="269"/>
      <c r="B1762" s="264"/>
      <c r="C1762" s="266"/>
      <c r="D1762" s="266"/>
      <c r="E1762" s="270"/>
      <c r="F1762" s="270"/>
      <c r="G1762" s="270"/>
      <c r="H1762" s="266"/>
      <c r="I1762" s="270"/>
      <c r="J1762" s="270"/>
      <c r="K1762" s="263"/>
    </row>
    <row r="1763">
      <c r="A1763" s="269"/>
      <c r="B1763" s="264"/>
      <c r="C1763" s="266"/>
      <c r="D1763" s="266"/>
      <c r="E1763" s="270"/>
      <c r="F1763" s="270"/>
      <c r="G1763" s="270"/>
      <c r="H1763" s="266"/>
      <c r="I1763" s="270"/>
      <c r="J1763" s="270"/>
      <c r="K1763" s="263"/>
    </row>
    <row r="1764">
      <c r="A1764" s="269"/>
      <c r="B1764" s="264"/>
      <c r="C1764" s="266"/>
      <c r="D1764" s="266"/>
      <c r="E1764" s="270"/>
      <c r="F1764" s="270"/>
      <c r="G1764" s="270"/>
      <c r="H1764" s="266"/>
      <c r="I1764" s="270"/>
      <c r="J1764" s="270"/>
      <c r="K1764" s="263"/>
    </row>
    <row r="1765">
      <c r="A1765" s="269"/>
      <c r="B1765" s="264"/>
      <c r="C1765" s="266"/>
      <c r="D1765" s="266"/>
      <c r="E1765" s="270"/>
      <c r="F1765" s="270"/>
      <c r="G1765" s="270"/>
      <c r="H1765" s="266"/>
      <c r="I1765" s="270"/>
      <c r="J1765" s="270"/>
      <c r="K1765" s="263"/>
    </row>
    <row r="1766">
      <c r="A1766" s="269"/>
      <c r="B1766" s="264"/>
      <c r="C1766" s="266"/>
      <c r="D1766" s="266"/>
      <c r="E1766" s="270"/>
      <c r="F1766" s="270"/>
      <c r="G1766" s="270"/>
      <c r="H1766" s="266"/>
      <c r="I1766" s="270"/>
      <c r="J1766" s="270"/>
      <c r="K1766" s="263"/>
    </row>
    <row r="1767">
      <c r="A1767" s="269"/>
      <c r="B1767" s="264"/>
      <c r="C1767" s="266"/>
      <c r="D1767" s="266"/>
      <c r="E1767" s="270"/>
      <c r="F1767" s="270"/>
      <c r="G1767" s="270"/>
      <c r="H1767" s="266"/>
      <c r="I1767" s="270"/>
      <c r="J1767" s="270"/>
      <c r="K1767" s="263"/>
    </row>
    <row r="1768">
      <c r="A1768" s="269"/>
      <c r="B1768" s="264"/>
      <c r="C1768" s="266"/>
      <c r="D1768" s="266"/>
      <c r="E1768" s="270"/>
      <c r="F1768" s="270"/>
      <c r="G1768" s="270"/>
      <c r="H1768" s="266"/>
      <c r="I1768" s="270"/>
      <c r="J1768" s="270"/>
      <c r="K1768" s="263"/>
    </row>
    <row r="1769">
      <c r="A1769" s="269"/>
      <c r="B1769" s="264"/>
      <c r="C1769" s="266"/>
      <c r="D1769" s="266"/>
      <c r="E1769" s="270"/>
      <c r="F1769" s="270"/>
      <c r="G1769" s="270"/>
      <c r="H1769" s="266"/>
      <c r="I1769" s="270"/>
      <c r="J1769" s="270"/>
      <c r="K1769" s="263"/>
    </row>
    <row r="1770">
      <c r="A1770" s="269"/>
      <c r="B1770" s="264"/>
      <c r="C1770" s="266"/>
      <c r="D1770" s="266"/>
      <c r="E1770" s="270"/>
      <c r="F1770" s="270"/>
      <c r="G1770" s="270"/>
      <c r="H1770" s="266"/>
      <c r="I1770" s="270"/>
      <c r="J1770" s="270"/>
      <c r="K1770" s="263"/>
    </row>
    <row r="1771">
      <c r="A1771" s="269"/>
      <c r="B1771" s="264"/>
      <c r="C1771" s="266"/>
      <c r="D1771" s="266"/>
      <c r="E1771" s="270"/>
      <c r="F1771" s="270"/>
      <c r="G1771" s="270"/>
      <c r="H1771" s="266"/>
      <c r="I1771" s="270"/>
      <c r="J1771" s="270"/>
      <c r="K1771" s="263"/>
    </row>
    <row r="1772">
      <c r="A1772" s="269"/>
      <c r="B1772" s="264"/>
      <c r="C1772" s="266"/>
      <c r="D1772" s="266"/>
      <c r="E1772" s="270"/>
      <c r="F1772" s="270"/>
      <c r="G1772" s="270"/>
      <c r="H1772" s="266"/>
      <c r="I1772" s="270"/>
      <c r="J1772" s="270"/>
      <c r="K1772" s="263"/>
    </row>
    <row r="1773">
      <c r="A1773" s="269"/>
      <c r="B1773" s="264"/>
      <c r="C1773" s="266"/>
      <c r="D1773" s="266"/>
      <c r="E1773" s="270"/>
      <c r="F1773" s="270"/>
      <c r="G1773" s="270"/>
      <c r="H1773" s="266"/>
      <c r="I1773" s="270"/>
      <c r="J1773" s="270"/>
      <c r="K1773" s="263"/>
    </row>
    <row r="1774">
      <c r="A1774" s="269"/>
      <c r="B1774" s="264"/>
      <c r="C1774" s="266"/>
      <c r="D1774" s="266"/>
      <c r="E1774" s="270"/>
      <c r="F1774" s="270"/>
      <c r="G1774" s="270"/>
      <c r="H1774" s="266"/>
      <c r="I1774" s="270"/>
      <c r="J1774" s="270"/>
      <c r="K1774" s="263"/>
    </row>
    <row r="1775">
      <c r="A1775" s="269"/>
      <c r="B1775" s="264"/>
      <c r="C1775" s="266"/>
      <c r="D1775" s="266"/>
      <c r="E1775" s="270"/>
      <c r="F1775" s="270"/>
      <c r="G1775" s="270"/>
      <c r="H1775" s="266"/>
      <c r="I1775" s="270"/>
      <c r="J1775" s="270"/>
      <c r="K1775" s="263"/>
    </row>
    <row r="1776">
      <c r="A1776" s="269"/>
      <c r="B1776" s="264"/>
      <c r="C1776" s="266"/>
      <c r="D1776" s="266"/>
      <c r="E1776" s="270"/>
      <c r="F1776" s="270"/>
      <c r="G1776" s="270"/>
      <c r="H1776" s="266"/>
      <c r="I1776" s="270"/>
      <c r="J1776" s="270"/>
      <c r="K1776" s="263"/>
    </row>
    <row r="1777">
      <c r="A1777" s="269"/>
      <c r="B1777" s="264"/>
      <c r="C1777" s="266"/>
      <c r="D1777" s="266"/>
      <c r="E1777" s="270"/>
      <c r="F1777" s="270"/>
      <c r="G1777" s="270"/>
      <c r="H1777" s="266"/>
      <c r="I1777" s="270"/>
      <c r="J1777" s="270"/>
      <c r="K1777" s="263"/>
    </row>
    <row r="1778">
      <c r="A1778" s="269"/>
      <c r="B1778" s="264"/>
      <c r="C1778" s="266"/>
      <c r="D1778" s="266"/>
      <c r="E1778" s="270"/>
      <c r="F1778" s="270"/>
      <c r="G1778" s="270"/>
      <c r="H1778" s="266"/>
      <c r="I1778" s="270"/>
      <c r="J1778" s="270"/>
      <c r="K1778" s="263"/>
    </row>
    <row r="1779">
      <c r="A1779" s="269"/>
      <c r="B1779" s="264"/>
      <c r="C1779" s="266"/>
      <c r="D1779" s="266"/>
      <c r="E1779" s="270"/>
      <c r="F1779" s="270"/>
      <c r="G1779" s="270"/>
      <c r="H1779" s="266"/>
      <c r="I1779" s="270"/>
      <c r="J1779" s="270"/>
      <c r="K1779" s="263"/>
    </row>
    <row r="1780">
      <c r="A1780" s="269"/>
      <c r="B1780" s="264"/>
      <c r="C1780" s="266"/>
      <c r="D1780" s="266"/>
      <c r="E1780" s="270"/>
      <c r="F1780" s="270"/>
      <c r="G1780" s="270"/>
      <c r="H1780" s="266"/>
      <c r="I1780" s="270"/>
      <c r="J1780" s="270"/>
      <c r="K1780" s="263"/>
    </row>
    <row r="1781">
      <c r="A1781" s="269"/>
      <c r="B1781" s="264"/>
      <c r="C1781" s="266"/>
      <c r="D1781" s="266"/>
      <c r="E1781" s="270"/>
      <c r="F1781" s="270"/>
      <c r="G1781" s="270"/>
      <c r="H1781" s="266"/>
      <c r="I1781" s="270"/>
      <c r="J1781" s="270"/>
      <c r="K1781" s="263"/>
    </row>
    <row r="1782">
      <c r="A1782" s="269"/>
      <c r="B1782" s="264"/>
      <c r="C1782" s="266"/>
      <c r="D1782" s="266"/>
      <c r="E1782" s="270"/>
      <c r="F1782" s="270"/>
      <c r="G1782" s="270"/>
      <c r="H1782" s="266"/>
      <c r="I1782" s="270"/>
      <c r="J1782" s="270"/>
      <c r="K1782" s="263"/>
    </row>
    <row r="1783">
      <c r="A1783" s="269"/>
      <c r="B1783" s="264"/>
      <c r="C1783" s="266"/>
      <c r="D1783" s="266"/>
      <c r="E1783" s="270"/>
      <c r="F1783" s="270"/>
      <c r="G1783" s="270"/>
      <c r="H1783" s="266"/>
      <c r="I1783" s="270"/>
      <c r="J1783" s="270"/>
      <c r="K1783" s="263"/>
    </row>
    <row r="1784">
      <c r="A1784" s="269"/>
      <c r="B1784" s="264"/>
      <c r="C1784" s="266"/>
      <c r="D1784" s="266"/>
      <c r="E1784" s="270"/>
      <c r="F1784" s="270"/>
      <c r="G1784" s="270"/>
      <c r="H1784" s="266"/>
      <c r="I1784" s="270"/>
      <c r="J1784" s="270"/>
      <c r="K1784" s="263"/>
    </row>
    <row r="1785">
      <c r="A1785" s="269"/>
      <c r="B1785" s="264"/>
      <c r="C1785" s="266"/>
      <c r="D1785" s="266"/>
      <c r="E1785" s="270"/>
      <c r="F1785" s="270"/>
      <c r="G1785" s="270"/>
      <c r="H1785" s="266"/>
      <c r="I1785" s="270"/>
      <c r="J1785" s="270"/>
      <c r="K1785" s="263"/>
    </row>
    <row r="1786">
      <c r="A1786" s="269"/>
      <c r="B1786" s="264"/>
      <c r="C1786" s="266"/>
      <c r="D1786" s="266"/>
      <c r="E1786" s="270"/>
      <c r="F1786" s="270"/>
      <c r="G1786" s="270"/>
      <c r="H1786" s="266"/>
      <c r="I1786" s="270"/>
      <c r="J1786" s="270"/>
      <c r="K1786" s="263"/>
    </row>
    <row r="1787">
      <c r="A1787" s="269"/>
      <c r="B1787" s="264"/>
      <c r="C1787" s="266"/>
      <c r="D1787" s="266"/>
      <c r="E1787" s="270"/>
      <c r="F1787" s="270"/>
      <c r="G1787" s="270"/>
      <c r="H1787" s="266"/>
      <c r="I1787" s="270"/>
      <c r="J1787" s="270"/>
      <c r="K1787" s="263"/>
    </row>
    <row r="1788">
      <c r="A1788" s="269"/>
      <c r="B1788" s="264"/>
      <c r="C1788" s="266"/>
      <c r="D1788" s="266"/>
      <c r="E1788" s="270"/>
      <c r="F1788" s="270"/>
      <c r="G1788" s="270"/>
      <c r="H1788" s="266"/>
      <c r="I1788" s="270"/>
      <c r="J1788" s="270"/>
      <c r="K1788" s="263"/>
    </row>
    <row r="1789">
      <c r="A1789" s="269"/>
      <c r="B1789" s="264"/>
      <c r="C1789" s="266"/>
      <c r="D1789" s="266"/>
      <c r="E1789" s="270"/>
      <c r="F1789" s="270"/>
      <c r="G1789" s="270"/>
      <c r="H1789" s="266"/>
      <c r="I1789" s="270"/>
      <c r="J1789" s="270"/>
      <c r="K1789" s="263"/>
    </row>
    <row r="1790">
      <c r="A1790" s="269"/>
      <c r="B1790" s="264"/>
      <c r="C1790" s="266"/>
      <c r="D1790" s="266"/>
      <c r="E1790" s="270"/>
      <c r="F1790" s="270"/>
      <c r="G1790" s="270"/>
      <c r="H1790" s="266"/>
      <c r="I1790" s="270"/>
      <c r="J1790" s="270"/>
      <c r="K1790" s="263"/>
    </row>
    <row r="1791">
      <c r="A1791" s="269"/>
      <c r="B1791" s="264"/>
      <c r="C1791" s="266"/>
      <c r="D1791" s="266"/>
      <c r="E1791" s="270"/>
      <c r="F1791" s="270"/>
      <c r="G1791" s="270"/>
      <c r="H1791" s="266"/>
      <c r="I1791" s="270"/>
      <c r="J1791" s="270"/>
      <c r="K1791" s="263"/>
    </row>
    <row r="1792">
      <c r="A1792" s="269"/>
      <c r="B1792" s="264"/>
      <c r="C1792" s="266"/>
      <c r="D1792" s="266"/>
      <c r="E1792" s="270"/>
      <c r="F1792" s="270"/>
      <c r="G1792" s="270"/>
      <c r="H1792" s="266"/>
      <c r="I1792" s="270"/>
      <c r="J1792" s="270"/>
      <c r="K1792" s="263"/>
    </row>
    <row r="1793">
      <c r="A1793" s="269"/>
      <c r="B1793" s="264"/>
      <c r="C1793" s="266"/>
      <c r="D1793" s="266"/>
      <c r="E1793" s="270"/>
      <c r="F1793" s="270"/>
      <c r="G1793" s="270"/>
      <c r="H1793" s="266"/>
      <c r="I1793" s="270"/>
      <c r="J1793" s="270"/>
      <c r="K1793" s="263"/>
    </row>
    <row r="1794">
      <c r="A1794" s="269"/>
      <c r="B1794" s="264"/>
      <c r="C1794" s="266"/>
      <c r="D1794" s="266"/>
      <c r="E1794" s="270"/>
      <c r="F1794" s="270"/>
      <c r="G1794" s="270"/>
      <c r="H1794" s="266"/>
      <c r="I1794" s="270"/>
      <c r="J1794" s="270"/>
      <c r="K1794" s="263"/>
    </row>
    <row r="1795">
      <c r="A1795" s="269"/>
      <c r="B1795" s="264"/>
      <c r="C1795" s="266"/>
      <c r="D1795" s="266"/>
      <c r="E1795" s="270"/>
      <c r="F1795" s="270"/>
      <c r="G1795" s="270"/>
      <c r="H1795" s="266"/>
      <c r="I1795" s="270"/>
      <c r="J1795" s="270"/>
      <c r="K1795" s="263"/>
    </row>
    <row r="1796">
      <c r="A1796" s="269"/>
      <c r="B1796" s="264"/>
      <c r="C1796" s="266"/>
      <c r="D1796" s="266"/>
      <c r="E1796" s="270"/>
      <c r="F1796" s="270"/>
      <c r="G1796" s="270"/>
      <c r="H1796" s="266"/>
      <c r="I1796" s="270"/>
      <c r="J1796" s="270"/>
      <c r="K1796" s="263"/>
    </row>
    <row r="1797">
      <c r="A1797" s="269"/>
      <c r="B1797" s="264"/>
      <c r="C1797" s="266"/>
      <c r="D1797" s="266"/>
      <c r="E1797" s="270"/>
      <c r="F1797" s="270"/>
      <c r="G1797" s="270"/>
      <c r="H1797" s="266"/>
      <c r="I1797" s="270"/>
      <c r="J1797" s="270"/>
      <c r="K1797" s="263"/>
    </row>
    <row r="1798">
      <c r="A1798" s="269"/>
      <c r="B1798" s="264"/>
      <c r="C1798" s="266"/>
      <c r="D1798" s="266"/>
      <c r="E1798" s="270"/>
      <c r="F1798" s="270"/>
      <c r="G1798" s="270"/>
      <c r="H1798" s="266"/>
      <c r="I1798" s="270"/>
      <c r="J1798" s="270"/>
      <c r="K1798" s="263"/>
    </row>
    <row r="1799">
      <c r="A1799" s="269"/>
      <c r="B1799" s="264"/>
      <c r="C1799" s="266"/>
      <c r="D1799" s="266"/>
      <c r="E1799" s="270"/>
      <c r="F1799" s="270"/>
      <c r="G1799" s="270"/>
      <c r="H1799" s="266"/>
      <c r="I1799" s="270"/>
      <c r="J1799" s="270"/>
      <c r="K1799" s="263"/>
    </row>
    <row r="1800">
      <c r="A1800" s="269"/>
      <c r="B1800" s="264"/>
      <c r="C1800" s="266"/>
      <c r="D1800" s="266"/>
      <c r="E1800" s="270"/>
      <c r="F1800" s="270"/>
      <c r="G1800" s="270"/>
      <c r="H1800" s="266"/>
      <c r="I1800" s="270"/>
      <c r="J1800" s="270"/>
      <c r="K1800" s="263"/>
    </row>
    <row r="1801">
      <c r="A1801" s="269"/>
      <c r="B1801" s="264"/>
      <c r="C1801" s="266"/>
      <c r="D1801" s="266"/>
      <c r="E1801" s="270"/>
      <c r="F1801" s="270"/>
      <c r="G1801" s="270"/>
      <c r="H1801" s="266"/>
      <c r="I1801" s="270"/>
      <c r="J1801" s="270"/>
      <c r="K1801" s="263"/>
    </row>
    <row r="1802">
      <c r="A1802" s="269"/>
      <c r="B1802" s="264"/>
      <c r="C1802" s="266"/>
      <c r="D1802" s="266"/>
      <c r="E1802" s="270"/>
      <c r="F1802" s="270"/>
      <c r="G1802" s="270"/>
      <c r="H1802" s="266"/>
      <c r="I1802" s="270"/>
      <c r="J1802" s="270"/>
      <c r="K1802" s="263"/>
    </row>
    <row r="1803">
      <c r="A1803" s="269"/>
      <c r="B1803" s="264"/>
      <c r="C1803" s="266"/>
      <c r="D1803" s="266"/>
      <c r="E1803" s="270"/>
      <c r="F1803" s="270"/>
      <c r="G1803" s="270"/>
      <c r="H1803" s="266"/>
      <c r="I1803" s="270"/>
      <c r="J1803" s="270"/>
      <c r="K1803" s="263"/>
    </row>
    <row r="1804">
      <c r="A1804" s="269"/>
      <c r="B1804" s="264"/>
      <c r="C1804" s="266"/>
      <c r="D1804" s="266"/>
      <c r="E1804" s="270"/>
      <c r="F1804" s="270"/>
      <c r="G1804" s="270"/>
      <c r="H1804" s="266"/>
      <c r="I1804" s="270"/>
      <c r="J1804" s="270"/>
      <c r="K1804" s="263"/>
    </row>
    <row r="1805">
      <c r="A1805" s="269"/>
      <c r="B1805" s="264"/>
      <c r="C1805" s="266"/>
      <c r="D1805" s="266"/>
      <c r="E1805" s="270"/>
      <c r="F1805" s="270"/>
      <c r="G1805" s="270"/>
      <c r="H1805" s="266"/>
      <c r="I1805" s="270"/>
      <c r="J1805" s="270"/>
      <c r="K1805" s="263"/>
    </row>
    <row r="1806">
      <c r="A1806" s="269"/>
      <c r="B1806" s="264"/>
      <c r="C1806" s="266"/>
      <c r="D1806" s="266"/>
      <c r="E1806" s="270"/>
      <c r="F1806" s="270"/>
      <c r="G1806" s="270"/>
      <c r="H1806" s="266"/>
      <c r="I1806" s="270"/>
      <c r="J1806" s="270"/>
      <c r="K1806" s="263"/>
    </row>
    <row r="1807">
      <c r="A1807" s="269"/>
      <c r="B1807" s="264"/>
      <c r="C1807" s="266"/>
      <c r="D1807" s="266"/>
      <c r="E1807" s="270"/>
      <c r="F1807" s="270"/>
      <c r="G1807" s="270"/>
      <c r="H1807" s="266"/>
      <c r="I1807" s="270"/>
      <c r="J1807" s="270"/>
      <c r="K1807" s="263"/>
    </row>
    <row r="1808">
      <c r="A1808" s="269"/>
      <c r="B1808" s="264"/>
      <c r="C1808" s="266"/>
      <c r="D1808" s="266"/>
      <c r="E1808" s="270"/>
      <c r="F1808" s="270"/>
      <c r="G1808" s="270"/>
      <c r="H1808" s="266"/>
      <c r="I1808" s="270"/>
      <c r="J1808" s="270"/>
      <c r="K1808" s="263"/>
    </row>
    <row r="1809">
      <c r="A1809" s="269"/>
      <c r="B1809" s="264"/>
      <c r="C1809" s="266"/>
      <c r="D1809" s="266"/>
      <c r="E1809" s="270"/>
      <c r="F1809" s="270"/>
      <c r="G1809" s="270"/>
      <c r="H1809" s="266"/>
      <c r="I1809" s="270"/>
      <c r="J1809" s="270"/>
      <c r="K1809" s="263"/>
    </row>
    <row r="1810">
      <c r="A1810" s="269"/>
      <c r="B1810" s="264"/>
      <c r="C1810" s="266"/>
      <c r="D1810" s="266"/>
      <c r="E1810" s="270"/>
      <c r="F1810" s="270"/>
      <c r="G1810" s="270"/>
      <c r="H1810" s="266"/>
      <c r="I1810" s="270"/>
      <c r="J1810" s="270"/>
      <c r="K1810" s="263"/>
    </row>
    <row r="1811">
      <c r="A1811" s="269"/>
      <c r="B1811" s="264"/>
      <c r="C1811" s="266"/>
      <c r="D1811" s="266"/>
      <c r="E1811" s="270"/>
      <c r="F1811" s="270"/>
      <c r="G1811" s="270"/>
      <c r="H1811" s="266"/>
      <c r="I1811" s="270"/>
      <c r="J1811" s="270"/>
      <c r="K1811" s="263"/>
    </row>
    <row r="1812">
      <c r="A1812" s="269"/>
      <c r="B1812" s="264"/>
      <c r="C1812" s="266"/>
      <c r="D1812" s="266"/>
      <c r="E1812" s="270"/>
      <c r="F1812" s="270"/>
      <c r="G1812" s="270"/>
      <c r="H1812" s="266"/>
      <c r="I1812" s="270"/>
      <c r="J1812" s="270"/>
      <c r="K1812" s="263"/>
    </row>
    <row r="1813">
      <c r="A1813" s="269"/>
      <c r="B1813" s="264"/>
      <c r="C1813" s="266"/>
      <c r="D1813" s="266"/>
      <c r="E1813" s="270"/>
      <c r="F1813" s="270"/>
      <c r="G1813" s="270"/>
      <c r="H1813" s="266"/>
      <c r="I1813" s="270"/>
      <c r="J1813" s="270"/>
      <c r="K1813" s="263"/>
    </row>
    <row r="1814">
      <c r="A1814" s="269"/>
      <c r="B1814" s="264"/>
      <c r="C1814" s="266"/>
      <c r="D1814" s="266"/>
      <c r="E1814" s="270"/>
      <c r="F1814" s="270"/>
      <c r="G1814" s="270"/>
      <c r="H1814" s="266"/>
      <c r="I1814" s="270"/>
      <c r="J1814" s="270"/>
      <c r="K1814" s="263"/>
    </row>
    <row r="1815">
      <c r="A1815" s="269"/>
      <c r="B1815" s="264"/>
      <c r="C1815" s="266"/>
      <c r="D1815" s="266"/>
      <c r="E1815" s="270"/>
      <c r="F1815" s="270"/>
      <c r="G1815" s="270"/>
      <c r="H1815" s="266"/>
      <c r="I1815" s="270"/>
      <c r="J1815" s="270"/>
      <c r="K1815" s="263"/>
    </row>
    <row r="1816">
      <c r="A1816" s="269"/>
      <c r="B1816" s="264"/>
      <c r="C1816" s="266"/>
      <c r="D1816" s="266"/>
      <c r="E1816" s="270"/>
      <c r="F1816" s="270"/>
      <c r="G1816" s="270"/>
      <c r="H1816" s="266"/>
      <c r="I1816" s="270"/>
      <c r="J1816" s="270"/>
      <c r="K1816" s="263"/>
    </row>
    <row r="1817">
      <c r="A1817" s="269"/>
      <c r="B1817" s="264"/>
      <c r="C1817" s="266"/>
      <c r="D1817" s="266"/>
      <c r="E1817" s="270"/>
      <c r="F1817" s="270"/>
      <c r="G1817" s="270"/>
      <c r="H1817" s="266"/>
      <c r="I1817" s="270"/>
      <c r="J1817" s="270"/>
      <c r="K1817" s="263"/>
    </row>
    <row r="1818">
      <c r="A1818" s="269"/>
      <c r="B1818" s="264"/>
      <c r="C1818" s="266"/>
      <c r="D1818" s="266"/>
      <c r="E1818" s="270"/>
      <c r="F1818" s="270"/>
      <c r="G1818" s="270"/>
      <c r="H1818" s="266"/>
      <c r="I1818" s="270"/>
      <c r="J1818" s="270"/>
      <c r="K1818" s="263"/>
    </row>
    <row r="1819">
      <c r="A1819" s="269"/>
      <c r="B1819" s="264"/>
      <c r="C1819" s="266"/>
      <c r="D1819" s="266"/>
      <c r="E1819" s="270"/>
      <c r="F1819" s="270"/>
      <c r="G1819" s="270"/>
      <c r="H1819" s="266"/>
      <c r="I1819" s="270"/>
      <c r="J1819" s="270"/>
      <c r="K1819" s="263"/>
    </row>
    <row r="1820">
      <c r="A1820" s="269"/>
      <c r="B1820" s="264"/>
      <c r="C1820" s="266"/>
      <c r="D1820" s="266"/>
      <c r="E1820" s="270"/>
      <c r="F1820" s="270"/>
      <c r="G1820" s="270"/>
      <c r="H1820" s="266"/>
      <c r="I1820" s="270"/>
      <c r="J1820" s="270"/>
      <c r="K1820" s="263"/>
    </row>
    <row r="1821">
      <c r="A1821" s="269"/>
      <c r="B1821" s="264"/>
      <c r="C1821" s="266"/>
      <c r="D1821" s="266"/>
      <c r="E1821" s="270"/>
      <c r="F1821" s="270"/>
      <c r="G1821" s="270"/>
      <c r="H1821" s="266"/>
      <c r="I1821" s="270"/>
      <c r="J1821" s="270"/>
      <c r="K1821" s="263"/>
    </row>
    <row r="1822">
      <c r="A1822" s="269"/>
      <c r="B1822" s="264"/>
      <c r="C1822" s="266"/>
      <c r="D1822" s="266"/>
      <c r="E1822" s="270"/>
      <c r="F1822" s="270"/>
      <c r="G1822" s="270"/>
      <c r="H1822" s="266"/>
      <c r="I1822" s="270"/>
      <c r="J1822" s="270"/>
      <c r="K1822" s="263"/>
    </row>
    <row r="1823">
      <c r="A1823" s="269"/>
      <c r="B1823" s="264"/>
      <c r="C1823" s="266"/>
      <c r="D1823" s="266"/>
      <c r="E1823" s="270"/>
      <c r="F1823" s="270"/>
      <c r="G1823" s="270"/>
      <c r="H1823" s="266"/>
      <c r="I1823" s="270"/>
      <c r="J1823" s="270"/>
      <c r="K1823" s="263"/>
    </row>
    <row r="1824">
      <c r="A1824" s="269"/>
      <c r="B1824" s="264"/>
      <c r="C1824" s="266"/>
      <c r="D1824" s="266"/>
      <c r="E1824" s="270"/>
      <c r="F1824" s="270"/>
      <c r="G1824" s="270"/>
      <c r="H1824" s="266"/>
      <c r="I1824" s="270"/>
      <c r="J1824" s="270"/>
      <c r="K1824" s="263"/>
    </row>
    <row r="1825">
      <c r="A1825" s="269"/>
      <c r="B1825" s="264"/>
      <c r="C1825" s="266"/>
      <c r="D1825" s="266"/>
      <c r="E1825" s="270"/>
      <c r="F1825" s="270"/>
      <c r="G1825" s="270"/>
      <c r="H1825" s="266"/>
      <c r="I1825" s="270"/>
      <c r="J1825" s="270"/>
      <c r="K1825" s="263"/>
    </row>
    <row r="1826">
      <c r="A1826" s="269"/>
      <c r="B1826" s="264"/>
      <c r="C1826" s="266"/>
      <c r="D1826" s="266"/>
      <c r="E1826" s="270"/>
      <c r="F1826" s="270"/>
      <c r="G1826" s="270"/>
      <c r="H1826" s="266"/>
      <c r="I1826" s="270"/>
      <c r="J1826" s="270"/>
      <c r="K1826" s="263"/>
    </row>
    <row r="1827">
      <c r="A1827" s="269"/>
      <c r="B1827" s="264"/>
      <c r="C1827" s="266"/>
      <c r="D1827" s="266"/>
      <c r="E1827" s="270"/>
      <c r="F1827" s="270"/>
      <c r="G1827" s="270"/>
      <c r="H1827" s="266"/>
      <c r="I1827" s="270"/>
      <c r="J1827" s="270"/>
      <c r="K1827" s="263"/>
    </row>
    <row r="1828">
      <c r="A1828" s="269"/>
      <c r="B1828" s="264"/>
      <c r="C1828" s="266"/>
      <c r="D1828" s="266"/>
      <c r="E1828" s="270"/>
      <c r="F1828" s="270"/>
      <c r="G1828" s="270"/>
      <c r="H1828" s="266"/>
      <c r="I1828" s="270"/>
      <c r="J1828" s="270"/>
      <c r="K1828" s="263"/>
    </row>
    <row r="1829">
      <c r="A1829" s="269"/>
      <c r="B1829" s="264"/>
      <c r="C1829" s="266"/>
      <c r="D1829" s="266"/>
      <c r="E1829" s="270"/>
      <c r="F1829" s="270"/>
      <c r="G1829" s="270"/>
      <c r="H1829" s="266"/>
      <c r="I1829" s="270"/>
      <c r="J1829" s="270"/>
      <c r="K1829" s="263"/>
    </row>
    <row r="1830">
      <c r="A1830" s="269"/>
      <c r="B1830" s="264"/>
      <c r="C1830" s="266"/>
      <c r="D1830" s="266"/>
      <c r="E1830" s="270"/>
      <c r="F1830" s="270"/>
      <c r="G1830" s="270"/>
      <c r="H1830" s="266"/>
      <c r="I1830" s="270"/>
      <c r="J1830" s="270"/>
      <c r="K1830" s="263"/>
    </row>
    <row r="1831">
      <c r="A1831" s="269"/>
      <c r="B1831" s="264"/>
      <c r="C1831" s="266"/>
      <c r="D1831" s="266"/>
      <c r="E1831" s="270"/>
      <c r="F1831" s="270"/>
      <c r="G1831" s="270"/>
      <c r="H1831" s="266"/>
      <c r="I1831" s="270"/>
      <c r="J1831" s="270"/>
      <c r="K1831" s="263"/>
    </row>
    <row r="1832">
      <c r="A1832" s="269"/>
      <c r="B1832" s="264"/>
      <c r="C1832" s="266"/>
      <c r="D1832" s="266"/>
      <c r="E1832" s="270"/>
      <c r="F1832" s="270"/>
      <c r="G1832" s="270"/>
      <c r="H1832" s="266"/>
      <c r="I1832" s="270"/>
      <c r="J1832" s="270"/>
      <c r="K1832" s="263"/>
    </row>
    <row r="1833">
      <c r="A1833" s="269"/>
      <c r="B1833" s="264"/>
      <c r="C1833" s="266"/>
      <c r="D1833" s="266"/>
      <c r="E1833" s="270"/>
      <c r="F1833" s="270"/>
      <c r="G1833" s="270"/>
      <c r="H1833" s="266"/>
      <c r="I1833" s="270"/>
      <c r="J1833" s="270"/>
      <c r="K1833" s="263"/>
    </row>
    <row r="1834">
      <c r="A1834" s="269"/>
      <c r="B1834" s="264"/>
      <c r="C1834" s="266"/>
      <c r="D1834" s="266"/>
      <c r="E1834" s="270"/>
      <c r="F1834" s="270"/>
      <c r="G1834" s="270"/>
      <c r="H1834" s="266"/>
      <c r="I1834" s="270"/>
      <c r="J1834" s="270"/>
      <c r="K1834" s="263"/>
    </row>
    <row r="1835">
      <c r="A1835" s="269"/>
      <c r="B1835" s="264"/>
      <c r="C1835" s="266"/>
      <c r="D1835" s="266"/>
      <c r="E1835" s="270"/>
      <c r="F1835" s="270"/>
      <c r="G1835" s="270"/>
      <c r="H1835" s="266"/>
      <c r="I1835" s="270"/>
      <c r="J1835" s="270"/>
      <c r="K1835" s="263"/>
    </row>
    <row r="1836">
      <c r="A1836" s="269"/>
      <c r="B1836" s="264"/>
      <c r="C1836" s="266"/>
      <c r="D1836" s="266"/>
      <c r="E1836" s="270"/>
      <c r="F1836" s="270"/>
      <c r="G1836" s="270"/>
      <c r="H1836" s="266"/>
      <c r="I1836" s="270"/>
      <c r="J1836" s="270"/>
      <c r="K1836" s="263"/>
    </row>
    <row r="1837">
      <c r="A1837" s="269"/>
      <c r="B1837" s="264"/>
      <c r="C1837" s="266"/>
      <c r="D1837" s="266"/>
      <c r="E1837" s="270"/>
      <c r="F1837" s="270"/>
      <c r="G1837" s="270"/>
      <c r="H1837" s="266"/>
      <c r="I1837" s="270"/>
      <c r="J1837" s="270"/>
      <c r="K1837" s="263"/>
    </row>
    <row r="1838">
      <c r="A1838" s="269"/>
      <c r="B1838" s="264"/>
      <c r="C1838" s="266"/>
      <c r="D1838" s="266"/>
      <c r="E1838" s="270"/>
      <c r="F1838" s="270"/>
      <c r="G1838" s="270"/>
      <c r="H1838" s="266"/>
      <c r="I1838" s="270"/>
      <c r="J1838" s="270"/>
      <c r="K1838" s="263"/>
    </row>
    <row r="1839">
      <c r="A1839" s="269"/>
      <c r="B1839" s="264"/>
      <c r="C1839" s="266"/>
      <c r="D1839" s="266"/>
      <c r="E1839" s="270"/>
      <c r="F1839" s="270"/>
      <c r="G1839" s="270"/>
      <c r="H1839" s="266"/>
      <c r="I1839" s="270"/>
      <c r="J1839" s="270"/>
      <c r="K1839" s="263"/>
    </row>
    <row r="1840">
      <c r="A1840" s="269"/>
      <c r="B1840" s="264"/>
      <c r="C1840" s="266"/>
      <c r="D1840" s="266"/>
      <c r="E1840" s="270"/>
      <c r="F1840" s="270"/>
      <c r="G1840" s="270"/>
      <c r="H1840" s="266"/>
      <c r="I1840" s="270"/>
      <c r="J1840" s="270"/>
      <c r="K1840" s="263"/>
    </row>
    <row r="1841">
      <c r="A1841" s="269"/>
      <c r="B1841" s="264"/>
      <c r="C1841" s="266"/>
      <c r="D1841" s="266"/>
      <c r="E1841" s="270"/>
      <c r="F1841" s="270"/>
      <c r="G1841" s="270"/>
      <c r="H1841" s="266"/>
      <c r="I1841" s="270"/>
      <c r="J1841" s="270"/>
      <c r="K1841" s="263"/>
    </row>
    <row r="1842">
      <c r="A1842" s="269"/>
      <c r="B1842" s="264"/>
      <c r="C1842" s="266"/>
      <c r="D1842" s="266"/>
      <c r="E1842" s="270"/>
      <c r="F1842" s="270"/>
      <c r="G1842" s="270"/>
      <c r="H1842" s="266"/>
      <c r="I1842" s="270"/>
      <c r="J1842" s="270"/>
      <c r="K1842" s="263"/>
    </row>
    <row r="1843">
      <c r="A1843" s="269"/>
      <c r="B1843" s="264"/>
      <c r="C1843" s="266"/>
      <c r="D1843" s="266"/>
      <c r="E1843" s="270"/>
      <c r="F1843" s="270"/>
      <c r="G1843" s="270"/>
      <c r="H1843" s="266"/>
      <c r="I1843" s="270"/>
      <c r="J1843" s="270"/>
      <c r="K1843" s="263"/>
    </row>
    <row r="1844">
      <c r="A1844" s="269"/>
      <c r="B1844" s="264"/>
      <c r="C1844" s="266"/>
      <c r="D1844" s="266"/>
      <c r="E1844" s="270"/>
      <c r="F1844" s="270"/>
      <c r="G1844" s="270"/>
      <c r="H1844" s="266"/>
      <c r="I1844" s="270"/>
      <c r="J1844" s="270"/>
      <c r="K1844" s="263"/>
    </row>
    <row r="1845">
      <c r="A1845" s="269"/>
      <c r="B1845" s="264"/>
      <c r="C1845" s="266"/>
      <c r="D1845" s="266"/>
      <c r="E1845" s="270"/>
      <c r="F1845" s="270"/>
      <c r="G1845" s="270"/>
      <c r="H1845" s="266"/>
      <c r="I1845" s="270"/>
      <c r="J1845" s="270"/>
      <c r="K1845" s="263"/>
    </row>
    <row r="1846">
      <c r="A1846" s="269"/>
      <c r="B1846" s="264"/>
      <c r="C1846" s="266"/>
      <c r="D1846" s="266"/>
      <c r="E1846" s="270"/>
      <c r="F1846" s="270"/>
      <c r="G1846" s="270"/>
      <c r="H1846" s="266"/>
      <c r="I1846" s="270"/>
      <c r="J1846" s="270"/>
      <c r="K1846" s="263"/>
    </row>
    <row r="1847">
      <c r="A1847" s="269"/>
      <c r="B1847" s="264"/>
      <c r="C1847" s="266"/>
      <c r="D1847" s="266"/>
      <c r="E1847" s="270"/>
      <c r="F1847" s="270"/>
      <c r="G1847" s="270"/>
      <c r="H1847" s="266"/>
      <c r="I1847" s="270"/>
      <c r="J1847" s="270"/>
      <c r="K1847" s="263"/>
    </row>
    <row r="1848">
      <c r="A1848" s="269"/>
      <c r="B1848" s="264"/>
      <c r="C1848" s="266"/>
      <c r="D1848" s="266"/>
      <c r="E1848" s="270"/>
      <c r="F1848" s="270"/>
      <c r="G1848" s="270"/>
      <c r="H1848" s="266"/>
      <c r="I1848" s="270"/>
      <c r="J1848" s="270"/>
      <c r="K1848" s="263"/>
    </row>
    <row r="1849">
      <c r="A1849" s="269"/>
      <c r="B1849" s="264"/>
      <c r="C1849" s="266"/>
      <c r="D1849" s="266"/>
      <c r="E1849" s="270"/>
      <c r="F1849" s="270"/>
      <c r="G1849" s="270"/>
      <c r="H1849" s="266"/>
      <c r="I1849" s="270"/>
      <c r="J1849" s="270"/>
      <c r="K1849" s="263"/>
    </row>
    <row r="1850">
      <c r="A1850" s="269"/>
      <c r="B1850" s="264"/>
      <c r="C1850" s="266"/>
      <c r="D1850" s="266"/>
      <c r="E1850" s="270"/>
      <c r="F1850" s="270"/>
      <c r="G1850" s="270"/>
      <c r="H1850" s="266"/>
      <c r="I1850" s="270"/>
      <c r="J1850" s="270"/>
      <c r="K1850" s="263"/>
    </row>
    <row r="1851">
      <c r="A1851" s="269"/>
      <c r="B1851" s="264"/>
      <c r="C1851" s="266"/>
      <c r="D1851" s="266"/>
      <c r="E1851" s="270"/>
      <c r="F1851" s="270"/>
      <c r="G1851" s="270"/>
      <c r="H1851" s="266"/>
      <c r="I1851" s="270"/>
      <c r="J1851" s="270"/>
      <c r="K1851" s="263"/>
    </row>
    <row r="1852">
      <c r="A1852" s="269"/>
      <c r="B1852" s="264"/>
      <c r="C1852" s="266"/>
      <c r="D1852" s="266"/>
      <c r="E1852" s="270"/>
      <c r="F1852" s="270"/>
      <c r="G1852" s="270"/>
      <c r="H1852" s="266"/>
      <c r="I1852" s="270"/>
      <c r="J1852" s="270"/>
      <c r="K1852" s="263"/>
    </row>
    <row r="1853">
      <c r="A1853" s="269"/>
      <c r="B1853" s="264"/>
      <c r="C1853" s="266"/>
      <c r="D1853" s="266"/>
      <c r="E1853" s="270"/>
      <c r="F1853" s="270"/>
      <c r="G1853" s="270"/>
      <c r="H1853" s="266"/>
      <c r="I1853" s="270"/>
      <c r="J1853" s="270"/>
      <c r="K1853" s="263"/>
    </row>
    <row r="1854">
      <c r="A1854" s="269"/>
      <c r="B1854" s="264"/>
      <c r="C1854" s="266"/>
      <c r="D1854" s="266"/>
      <c r="E1854" s="270"/>
      <c r="F1854" s="270"/>
      <c r="G1854" s="270"/>
      <c r="H1854" s="266"/>
      <c r="I1854" s="270"/>
      <c r="J1854" s="270"/>
      <c r="K1854" s="263"/>
    </row>
    <row r="1855">
      <c r="A1855" s="269"/>
      <c r="B1855" s="264"/>
      <c r="C1855" s="266"/>
      <c r="D1855" s="266"/>
      <c r="E1855" s="270"/>
      <c r="F1855" s="270"/>
      <c r="G1855" s="270"/>
      <c r="H1855" s="266"/>
      <c r="I1855" s="270"/>
      <c r="J1855" s="270"/>
      <c r="K1855" s="263"/>
    </row>
    <row r="1856">
      <c r="A1856" s="269"/>
      <c r="B1856" s="264"/>
      <c r="C1856" s="266"/>
      <c r="D1856" s="266"/>
      <c r="E1856" s="270"/>
      <c r="F1856" s="270"/>
      <c r="G1856" s="270"/>
      <c r="H1856" s="266"/>
      <c r="I1856" s="270"/>
      <c r="J1856" s="270"/>
      <c r="K1856" s="263"/>
    </row>
    <row r="1857">
      <c r="A1857" s="269"/>
      <c r="B1857" s="264"/>
      <c r="C1857" s="266"/>
      <c r="D1857" s="266"/>
      <c r="E1857" s="270"/>
      <c r="F1857" s="270"/>
      <c r="G1857" s="270"/>
      <c r="H1857" s="266"/>
      <c r="I1857" s="270"/>
      <c r="J1857" s="270"/>
      <c r="K1857" s="263"/>
    </row>
    <row r="1858">
      <c r="A1858" s="269"/>
      <c r="B1858" s="264"/>
      <c r="C1858" s="266"/>
      <c r="D1858" s="266"/>
      <c r="E1858" s="270"/>
      <c r="F1858" s="270"/>
      <c r="G1858" s="270"/>
      <c r="H1858" s="266"/>
      <c r="I1858" s="270"/>
      <c r="J1858" s="270"/>
      <c r="K1858" s="263"/>
    </row>
    <row r="1859">
      <c r="A1859" s="269"/>
      <c r="B1859" s="264"/>
      <c r="C1859" s="266"/>
      <c r="D1859" s="266"/>
      <c r="E1859" s="270"/>
      <c r="F1859" s="270"/>
      <c r="G1859" s="270"/>
      <c r="H1859" s="266"/>
      <c r="I1859" s="270"/>
      <c r="J1859" s="270"/>
      <c r="K1859" s="263"/>
    </row>
    <row r="1860">
      <c r="A1860" s="269"/>
      <c r="B1860" s="264"/>
      <c r="C1860" s="266"/>
      <c r="D1860" s="266"/>
      <c r="E1860" s="270"/>
      <c r="F1860" s="270"/>
      <c r="G1860" s="270"/>
      <c r="H1860" s="266"/>
      <c r="I1860" s="270"/>
      <c r="J1860" s="270"/>
      <c r="K1860" s="263"/>
    </row>
    <row r="1861">
      <c r="A1861" s="269"/>
      <c r="B1861" s="264"/>
      <c r="C1861" s="266"/>
      <c r="D1861" s="266"/>
      <c r="E1861" s="270"/>
      <c r="F1861" s="270"/>
      <c r="G1861" s="270"/>
      <c r="H1861" s="266"/>
      <c r="I1861" s="270"/>
      <c r="J1861" s="270"/>
      <c r="K1861" s="263"/>
    </row>
    <row r="1862">
      <c r="A1862" s="269"/>
      <c r="B1862" s="264"/>
      <c r="C1862" s="266"/>
      <c r="D1862" s="266"/>
      <c r="E1862" s="270"/>
      <c r="F1862" s="270"/>
      <c r="G1862" s="270"/>
      <c r="H1862" s="266"/>
      <c r="I1862" s="270"/>
      <c r="J1862" s="270"/>
      <c r="K1862" s="263"/>
    </row>
    <row r="1863">
      <c r="A1863" s="269"/>
      <c r="B1863" s="264"/>
      <c r="C1863" s="266"/>
      <c r="D1863" s="266"/>
      <c r="E1863" s="270"/>
      <c r="F1863" s="270"/>
      <c r="G1863" s="270"/>
      <c r="H1863" s="266"/>
      <c r="I1863" s="270"/>
      <c r="J1863" s="270"/>
      <c r="K1863" s="263"/>
    </row>
    <row r="1864">
      <c r="A1864" s="269"/>
      <c r="B1864" s="264"/>
      <c r="C1864" s="266"/>
      <c r="D1864" s="266"/>
      <c r="E1864" s="270"/>
      <c r="F1864" s="270"/>
      <c r="G1864" s="270"/>
      <c r="H1864" s="266"/>
      <c r="I1864" s="270"/>
      <c r="J1864" s="270"/>
      <c r="K1864" s="263"/>
    </row>
    <row r="1865">
      <c r="A1865" s="269"/>
      <c r="B1865" s="264"/>
      <c r="C1865" s="266"/>
      <c r="D1865" s="266"/>
      <c r="E1865" s="270"/>
      <c r="F1865" s="270"/>
      <c r="G1865" s="270"/>
      <c r="H1865" s="266"/>
      <c r="I1865" s="270"/>
      <c r="J1865" s="270"/>
      <c r="K1865" s="263"/>
    </row>
    <row r="1866">
      <c r="A1866" s="269"/>
      <c r="B1866" s="264"/>
      <c r="C1866" s="266"/>
      <c r="D1866" s="266"/>
      <c r="E1866" s="270"/>
      <c r="F1866" s="270"/>
      <c r="G1866" s="270"/>
      <c r="H1866" s="266"/>
      <c r="I1866" s="270"/>
      <c r="J1866" s="270"/>
      <c r="K1866" s="263"/>
    </row>
    <row r="1867">
      <c r="A1867" s="269"/>
      <c r="B1867" s="264"/>
      <c r="C1867" s="266"/>
      <c r="D1867" s="266"/>
      <c r="E1867" s="270"/>
      <c r="F1867" s="270"/>
      <c r="G1867" s="270"/>
      <c r="H1867" s="266"/>
      <c r="I1867" s="270"/>
      <c r="J1867" s="270"/>
      <c r="K1867" s="263"/>
    </row>
    <row r="1868">
      <c r="A1868" s="269"/>
      <c r="B1868" s="264"/>
      <c r="C1868" s="266"/>
      <c r="D1868" s="266"/>
      <c r="E1868" s="270"/>
      <c r="F1868" s="270"/>
      <c r="G1868" s="270"/>
      <c r="H1868" s="266"/>
      <c r="I1868" s="270"/>
      <c r="J1868" s="270"/>
      <c r="K1868" s="263"/>
    </row>
    <row r="1869">
      <c r="A1869" s="269"/>
      <c r="B1869" s="264"/>
      <c r="C1869" s="266"/>
      <c r="D1869" s="266"/>
      <c r="E1869" s="270"/>
      <c r="F1869" s="270"/>
      <c r="G1869" s="270"/>
      <c r="H1869" s="266"/>
      <c r="I1869" s="270"/>
      <c r="J1869" s="270"/>
      <c r="K1869" s="263"/>
    </row>
    <row r="1870">
      <c r="A1870" s="269"/>
      <c r="B1870" s="264"/>
      <c r="C1870" s="266"/>
      <c r="D1870" s="266"/>
      <c r="E1870" s="270"/>
      <c r="F1870" s="270"/>
      <c r="G1870" s="270"/>
      <c r="H1870" s="266"/>
      <c r="I1870" s="270"/>
      <c r="J1870" s="270"/>
      <c r="K1870" s="263"/>
    </row>
    <row r="1871">
      <c r="A1871" s="269"/>
      <c r="B1871" s="264"/>
      <c r="C1871" s="266"/>
      <c r="D1871" s="266"/>
      <c r="E1871" s="270"/>
      <c r="F1871" s="270"/>
      <c r="G1871" s="270"/>
      <c r="H1871" s="266"/>
      <c r="I1871" s="270"/>
      <c r="J1871" s="270"/>
      <c r="K1871" s="263"/>
    </row>
    <row r="1872">
      <c r="A1872" s="269"/>
      <c r="B1872" s="264"/>
      <c r="C1872" s="266"/>
      <c r="D1872" s="266"/>
      <c r="E1872" s="270"/>
      <c r="F1872" s="270"/>
      <c r="G1872" s="270"/>
      <c r="H1872" s="266"/>
      <c r="I1872" s="270"/>
      <c r="J1872" s="270"/>
      <c r="K1872" s="263"/>
    </row>
    <row r="1873">
      <c r="A1873" s="269"/>
      <c r="B1873" s="264"/>
      <c r="C1873" s="266"/>
      <c r="D1873" s="266"/>
      <c r="E1873" s="270"/>
      <c r="F1873" s="270"/>
      <c r="G1873" s="270"/>
      <c r="H1873" s="266"/>
      <c r="I1873" s="270"/>
      <c r="J1873" s="270"/>
      <c r="K1873" s="263"/>
    </row>
    <row r="1874">
      <c r="A1874" s="269"/>
      <c r="B1874" s="264"/>
      <c r="C1874" s="266"/>
      <c r="D1874" s="266"/>
      <c r="E1874" s="270"/>
      <c r="F1874" s="270"/>
      <c r="G1874" s="270"/>
      <c r="H1874" s="266"/>
      <c r="I1874" s="270"/>
      <c r="J1874" s="270"/>
      <c r="K1874" s="263"/>
    </row>
    <row r="1875">
      <c r="A1875" s="269"/>
      <c r="B1875" s="264"/>
      <c r="C1875" s="266"/>
      <c r="D1875" s="266"/>
      <c r="E1875" s="270"/>
      <c r="F1875" s="270"/>
      <c r="G1875" s="270"/>
      <c r="H1875" s="266"/>
      <c r="I1875" s="270"/>
      <c r="J1875" s="270"/>
      <c r="K1875" s="263"/>
    </row>
    <row r="1876">
      <c r="A1876" s="269"/>
      <c r="B1876" s="264"/>
      <c r="C1876" s="266"/>
      <c r="D1876" s="266"/>
      <c r="E1876" s="270"/>
      <c r="F1876" s="270"/>
      <c r="G1876" s="270"/>
      <c r="H1876" s="266"/>
      <c r="I1876" s="270"/>
      <c r="J1876" s="270"/>
      <c r="K1876" s="263"/>
    </row>
    <row r="1877">
      <c r="A1877" s="269"/>
      <c r="B1877" s="264"/>
      <c r="C1877" s="266"/>
      <c r="D1877" s="266"/>
      <c r="E1877" s="270"/>
      <c r="F1877" s="270"/>
      <c r="G1877" s="270"/>
      <c r="H1877" s="266"/>
      <c r="I1877" s="270"/>
      <c r="J1877" s="270"/>
      <c r="K1877" s="263"/>
    </row>
    <row r="1878">
      <c r="A1878" s="269"/>
      <c r="B1878" s="264"/>
      <c r="C1878" s="266"/>
      <c r="D1878" s="266"/>
      <c r="E1878" s="270"/>
      <c r="F1878" s="270"/>
      <c r="G1878" s="270"/>
      <c r="H1878" s="266"/>
      <c r="I1878" s="270"/>
      <c r="J1878" s="270"/>
      <c r="K1878" s="263"/>
    </row>
    <row r="1879">
      <c r="A1879" s="269"/>
      <c r="B1879" s="264"/>
      <c r="C1879" s="266"/>
      <c r="D1879" s="266"/>
      <c r="E1879" s="270"/>
      <c r="F1879" s="270"/>
      <c r="G1879" s="270"/>
      <c r="H1879" s="266"/>
      <c r="I1879" s="270"/>
      <c r="J1879" s="270"/>
      <c r="K1879" s="263"/>
    </row>
    <row r="1880">
      <c r="A1880" s="269"/>
      <c r="B1880" s="264"/>
      <c r="C1880" s="266"/>
      <c r="D1880" s="266"/>
      <c r="E1880" s="270"/>
      <c r="F1880" s="270"/>
      <c r="G1880" s="270"/>
      <c r="H1880" s="266"/>
      <c r="I1880" s="270"/>
      <c r="J1880" s="270"/>
      <c r="K1880" s="263"/>
    </row>
    <row r="1881">
      <c r="A1881" s="269"/>
      <c r="B1881" s="264"/>
      <c r="C1881" s="266"/>
      <c r="D1881" s="266"/>
      <c r="E1881" s="270"/>
      <c r="F1881" s="270"/>
      <c r="G1881" s="270"/>
      <c r="H1881" s="266"/>
      <c r="I1881" s="270"/>
      <c r="J1881" s="270"/>
      <c r="K1881" s="263"/>
    </row>
    <row r="1882">
      <c r="A1882" s="269"/>
      <c r="B1882" s="264"/>
      <c r="C1882" s="266"/>
      <c r="D1882" s="266"/>
      <c r="E1882" s="270"/>
      <c r="F1882" s="270"/>
      <c r="G1882" s="270"/>
      <c r="H1882" s="266"/>
      <c r="I1882" s="270"/>
      <c r="J1882" s="270"/>
      <c r="K1882" s="263"/>
    </row>
    <row r="1883">
      <c r="A1883" s="269"/>
      <c r="B1883" s="264"/>
      <c r="C1883" s="266"/>
      <c r="D1883" s="266"/>
      <c r="E1883" s="270"/>
      <c r="F1883" s="270"/>
      <c r="G1883" s="270"/>
      <c r="H1883" s="266"/>
      <c r="I1883" s="270"/>
      <c r="J1883" s="270"/>
      <c r="K1883" s="263"/>
    </row>
    <row r="1884">
      <c r="A1884" s="269"/>
      <c r="B1884" s="264"/>
      <c r="C1884" s="266"/>
      <c r="D1884" s="266"/>
      <c r="E1884" s="270"/>
      <c r="F1884" s="270"/>
      <c r="G1884" s="270"/>
      <c r="H1884" s="266"/>
      <c r="I1884" s="270"/>
      <c r="J1884" s="270"/>
      <c r="K1884" s="263"/>
    </row>
    <row r="1885">
      <c r="A1885" s="269"/>
      <c r="B1885" s="264"/>
      <c r="C1885" s="266"/>
      <c r="D1885" s="266"/>
      <c r="E1885" s="270"/>
      <c r="F1885" s="270"/>
      <c r="G1885" s="270"/>
      <c r="H1885" s="266"/>
      <c r="I1885" s="270"/>
      <c r="J1885" s="270"/>
      <c r="K1885" s="263"/>
    </row>
    <row r="1886">
      <c r="A1886" s="269"/>
      <c r="B1886" s="264"/>
      <c r="C1886" s="266"/>
      <c r="D1886" s="266"/>
      <c r="E1886" s="270"/>
      <c r="F1886" s="270"/>
      <c r="G1886" s="270"/>
      <c r="H1886" s="266"/>
      <c r="I1886" s="270"/>
      <c r="J1886" s="270"/>
      <c r="K1886" s="263"/>
    </row>
    <row r="1887">
      <c r="A1887" s="269"/>
      <c r="B1887" s="264"/>
      <c r="C1887" s="266"/>
      <c r="D1887" s="266"/>
      <c r="E1887" s="270"/>
      <c r="F1887" s="270"/>
      <c r="G1887" s="270"/>
      <c r="H1887" s="266"/>
      <c r="I1887" s="270"/>
      <c r="J1887" s="270"/>
      <c r="K1887" s="263"/>
    </row>
    <row r="1888">
      <c r="A1888" s="269"/>
      <c r="B1888" s="264"/>
      <c r="C1888" s="266"/>
      <c r="D1888" s="266"/>
      <c r="E1888" s="270"/>
      <c r="F1888" s="270"/>
      <c r="G1888" s="270"/>
      <c r="H1888" s="266"/>
      <c r="I1888" s="270"/>
      <c r="J1888" s="270"/>
      <c r="K1888" s="263"/>
    </row>
    <row r="1889">
      <c r="A1889" s="269"/>
      <c r="B1889" s="264"/>
      <c r="C1889" s="266"/>
      <c r="D1889" s="266"/>
      <c r="E1889" s="270"/>
      <c r="F1889" s="270"/>
      <c r="G1889" s="270"/>
      <c r="H1889" s="266"/>
      <c r="I1889" s="270"/>
      <c r="J1889" s="270"/>
      <c r="K1889" s="263"/>
    </row>
    <row r="1890">
      <c r="A1890" s="269"/>
      <c r="B1890" s="264"/>
      <c r="C1890" s="266"/>
      <c r="D1890" s="266"/>
      <c r="E1890" s="270"/>
      <c r="F1890" s="270"/>
      <c r="G1890" s="270"/>
      <c r="H1890" s="266"/>
      <c r="I1890" s="270"/>
      <c r="J1890" s="270"/>
      <c r="K1890" s="263"/>
    </row>
    <row r="1891">
      <c r="A1891" s="269"/>
      <c r="B1891" s="264"/>
      <c r="C1891" s="266"/>
      <c r="D1891" s="266"/>
      <c r="E1891" s="270"/>
      <c r="F1891" s="270"/>
      <c r="G1891" s="270"/>
      <c r="H1891" s="266"/>
      <c r="I1891" s="270"/>
      <c r="J1891" s="270"/>
      <c r="K1891" s="263"/>
    </row>
    <row r="1892">
      <c r="A1892" s="269"/>
      <c r="B1892" s="264"/>
      <c r="C1892" s="266"/>
      <c r="D1892" s="266"/>
      <c r="E1892" s="270"/>
      <c r="F1892" s="270"/>
      <c r="G1892" s="270"/>
      <c r="H1892" s="266"/>
      <c r="I1892" s="270"/>
      <c r="J1892" s="270"/>
      <c r="K1892" s="263"/>
    </row>
    <row r="1893">
      <c r="A1893" s="269"/>
      <c r="B1893" s="264"/>
      <c r="C1893" s="266"/>
      <c r="D1893" s="266"/>
      <c r="E1893" s="270"/>
      <c r="F1893" s="270"/>
      <c r="G1893" s="270"/>
      <c r="H1893" s="266"/>
      <c r="I1893" s="270"/>
      <c r="J1893" s="270"/>
      <c r="K1893" s="263"/>
    </row>
    <row r="1894">
      <c r="A1894" s="269"/>
      <c r="B1894" s="264"/>
      <c r="C1894" s="266"/>
      <c r="D1894" s="266"/>
      <c r="E1894" s="270"/>
      <c r="F1894" s="270"/>
      <c r="G1894" s="270"/>
      <c r="H1894" s="266"/>
      <c r="I1894" s="270"/>
      <c r="J1894" s="270"/>
      <c r="K1894" s="263"/>
    </row>
    <row r="1895">
      <c r="A1895" s="269"/>
      <c r="B1895" s="264"/>
      <c r="C1895" s="266"/>
      <c r="D1895" s="266"/>
      <c r="E1895" s="270"/>
      <c r="F1895" s="270"/>
      <c r="G1895" s="270"/>
      <c r="H1895" s="266"/>
      <c r="I1895" s="270"/>
      <c r="J1895" s="270"/>
      <c r="K1895" s="263"/>
    </row>
    <row r="1896">
      <c r="A1896" s="269"/>
      <c r="B1896" s="264"/>
      <c r="C1896" s="266"/>
      <c r="D1896" s="266"/>
      <c r="E1896" s="270"/>
      <c r="F1896" s="270"/>
      <c r="G1896" s="270"/>
      <c r="H1896" s="266"/>
      <c r="I1896" s="270"/>
      <c r="J1896" s="270"/>
      <c r="K1896" s="263"/>
    </row>
    <row r="1897">
      <c r="A1897" s="269"/>
      <c r="B1897" s="264"/>
      <c r="C1897" s="266"/>
      <c r="D1897" s="266"/>
      <c r="E1897" s="270"/>
      <c r="F1897" s="270"/>
      <c r="G1897" s="270"/>
      <c r="H1897" s="266"/>
      <c r="I1897" s="270"/>
      <c r="J1897" s="270"/>
      <c r="K1897" s="263"/>
    </row>
    <row r="1898">
      <c r="A1898" s="269"/>
      <c r="B1898" s="264"/>
      <c r="C1898" s="266"/>
      <c r="D1898" s="266"/>
      <c r="E1898" s="270"/>
      <c r="F1898" s="270"/>
      <c r="G1898" s="270"/>
      <c r="H1898" s="266"/>
      <c r="I1898" s="270"/>
      <c r="J1898" s="270"/>
      <c r="K1898" s="263"/>
    </row>
    <row r="1899">
      <c r="A1899" s="269"/>
      <c r="B1899" s="264"/>
      <c r="C1899" s="266"/>
      <c r="D1899" s="266"/>
      <c r="E1899" s="270"/>
      <c r="F1899" s="270"/>
      <c r="G1899" s="270"/>
      <c r="H1899" s="266"/>
      <c r="I1899" s="270"/>
      <c r="J1899" s="270"/>
      <c r="K1899" s="263"/>
    </row>
    <row r="1900">
      <c r="A1900" s="269"/>
      <c r="B1900" s="264"/>
      <c r="C1900" s="266"/>
      <c r="D1900" s="266"/>
      <c r="E1900" s="270"/>
      <c r="F1900" s="270"/>
      <c r="G1900" s="270"/>
      <c r="H1900" s="266"/>
      <c r="I1900" s="270"/>
      <c r="J1900" s="270"/>
      <c r="K1900" s="263"/>
    </row>
    <row r="1901">
      <c r="A1901" s="269"/>
      <c r="B1901" s="264"/>
      <c r="C1901" s="266"/>
      <c r="D1901" s="266"/>
      <c r="E1901" s="270"/>
      <c r="F1901" s="270"/>
      <c r="G1901" s="270"/>
      <c r="H1901" s="266"/>
      <c r="I1901" s="270"/>
      <c r="J1901" s="270"/>
      <c r="K1901" s="263"/>
    </row>
    <row r="1902">
      <c r="A1902" s="269"/>
      <c r="B1902" s="264"/>
      <c r="C1902" s="266"/>
      <c r="D1902" s="266"/>
      <c r="E1902" s="270"/>
      <c r="F1902" s="270"/>
      <c r="G1902" s="270"/>
      <c r="H1902" s="266"/>
      <c r="I1902" s="270"/>
      <c r="J1902" s="270"/>
      <c r="K1902" s="263"/>
    </row>
    <row r="1903">
      <c r="A1903" s="269"/>
      <c r="B1903" s="264"/>
      <c r="C1903" s="266"/>
      <c r="D1903" s="266"/>
      <c r="E1903" s="270"/>
      <c r="F1903" s="270"/>
      <c r="G1903" s="270"/>
      <c r="H1903" s="266"/>
      <c r="I1903" s="270"/>
      <c r="J1903" s="270"/>
      <c r="K1903" s="263"/>
    </row>
    <row r="1904">
      <c r="A1904" s="269"/>
      <c r="B1904" s="264"/>
      <c r="C1904" s="266"/>
      <c r="D1904" s="266"/>
      <c r="E1904" s="270"/>
      <c r="F1904" s="270"/>
      <c r="G1904" s="270"/>
      <c r="H1904" s="266"/>
      <c r="I1904" s="270"/>
      <c r="J1904" s="270"/>
      <c r="K1904" s="263"/>
    </row>
    <row r="1905">
      <c r="A1905" s="269"/>
      <c r="B1905" s="264"/>
      <c r="C1905" s="266"/>
      <c r="D1905" s="266"/>
      <c r="E1905" s="270"/>
      <c r="F1905" s="270"/>
      <c r="G1905" s="270"/>
      <c r="H1905" s="266"/>
      <c r="I1905" s="270"/>
      <c r="J1905" s="270"/>
      <c r="K1905" s="263"/>
    </row>
    <row r="1906">
      <c r="A1906" s="269"/>
      <c r="B1906" s="264"/>
      <c r="C1906" s="266"/>
      <c r="D1906" s="266"/>
      <c r="E1906" s="270"/>
      <c r="F1906" s="270"/>
      <c r="G1906" s="270"/>
      <c r="H1906" s="266"/>
      <c r="I1906" s="270"/>
      <c r="J1906" s="270"/>
      <c r="K1906" s="263"/>
    </row>
    <row r="1907">
      <c r="A1907" s="269"/>
      <c r="B1907" s="264"/>
      <c r="C1907" s="266"/>
      <c r="D1907" s="266"/>
      <c r="E1907" s="270"/>
      <c r="F1907" s="270"/>
      <c r="G1907" s="270"/>
      <c r="H1907" s="266"/>
      <c r="I1907" s="270"/>
      <c r="J1907" s="270"/>
      <c r="K1907" s="263"/>
    </row>
    <row r="1908">
      <c r="A1908" s="269"/>
      <c r="B1908" s="264"/>
      <c r="C1908" s="266"/>
      <c r="D1908" s="266"/>
      <c r="E1908" s="270"/>
      <c r="F1908" s="270"/>
      <c r="G1908" s="270"/>
      <c r="H1908" s="266"/>
      <c r="I1908" s="270"/>
      <c r="J1908" s="270"/>
      <c r="K1908" s="263"/>
    </row>
    <row r="1909">
      <c r="A1909" s="269"/>
      <c r="B1909" s="264"/>
      <c r="C1909" s="266"/>
      <c r="D1909" s="266"/>
      <c r="E1909" s="270"/>
      <c r="F1909" s="270"/>
      <c r="G1909" s="270"/>
      <c r="H1909" s="266"/>
      <c r="I1909" s="270"/>
      <c r="J1909" s="270"/>
      <c r="K1909" s="263"/>
    </row>
    <row r="1910">
      <c r="A1910" s="269"/>
      <c r="B1910" s="264"/>
      <c r="C1910" s="266"/>
      <c r="D1910" s="266"/>
      <c r="E1910" s="270"/>
      <c r="F1910" s="270"/>
      <c r="G1910" s="270"/>
      <c r="H1910" s="266"/>
      <c r="I1910" s="270"/>
      <c r="J1910" s="270"/>
      <c r="K1910" s="263"/>
    </row>
    <row r="1911">
      <c r="A1911" s="269"/>
      <c r="B1911" s="264"/>
      <c r="C1911" s="266"/>
      <c r="D1911" s="266"/>
      <c r="E1911" s="270"/>
      <c r="F1911" s="270"/>
      <c r="G1911" s="270"/>
      <c r="H1911" s="266"/>
      <c r="I1911" s="270"/>
      <c r="J1911" s="270"/>
      <c r="K1911" s="263"/>
    </row>
    <row r="1912">
      <c r="A1912" s="269"/>
      <c r="B1912" s="264"/>
      <c r="C1912" s="266"/>
      <c r="D1912" s="266"/>
      <c r="E1912" s="270"/>
      <c r="F1912" s="270"/>
      <c r="G1912" s="270"/>
      <c r="H1912" s="266"/>
      <c r="I1912" s="270"/>
      <c r="J1912" s="270"/>
      <c r="K1912" s="263"/>
    </row>
    <row r="1913">
      <c r="A1913" s="269"/>
      <c r="B1913" s="264"/>
      <c r="C1913" s="266"/>
      <c r="D1913" s="266"/>
      <c r="E1913" s="270"/>
      <c r="F1913" s="270"/>
      <c r="G1913" s="270"/>
      <c r="H1913" s="266"/>
      <c r="I1913" s="270"/>
      <c r="J1913" s="270"/>
      <c r="K1913" s="263"/>
    </row>
    <row r="1914">
      <c r="A1914" s="269"/>
      <c r="B1914" s="264"/>
      <c r="C1914" s="266"/>
      <c r="D1914" s="266"/>
      <c r="E1914" s="270"/>
      <c r="F1914" s="270"/>
      <c r="G1914" s="270"/>
      <c r="H1914" s="266"/>
      <c r="I1914" s="270"/>
      <c r="J1914" s="270"/>
      <c r="K1914" s="263"/>
    </row>
    <row r="1915">
      <c r="A1915" s="269"/>
      <c r="B1915" s="264"/>
      <c r="C1915" s="266"/>
      <c r="D1915" s="266"/>
      <c r="E1915" s="270"/>
      <c r="F1915" s="270"/>
      <c r="G1915" s="270"/>
      <c r="H1915" s="266"/>
      <c r="I1915" s="270"/>
      <c r="J1915" s="270"/>
      <c r="K1915" s="263"/>
    </row>
    <row r="1916">
      <c r="A1916" s="269"/>
      <c r="B1916" s="264"/>
      <c r="C1916" s="266"/>
      <c r="D1916" s="266"/>
      <c r="E1916" s="270"/>
      <c r="F1916" s="270"/>
      <c r="G1916" s="270"/>
      <c r="H1916" s="266"/>
      <c r="I1916" s="270"/>
      <c r="J1916" s="270"/>
      <c r="K1916" s="263"/>
    </row>
    <row r="1917">
      <c r="A1917" s="269"/>
      <c r="B1917" s="264"/>
      <c r="C1917" s="266"/>
      <c r="D1917" s="266"/>
      <c r="E1917" s="270"/>
      <c r="F1917" s="270"/>
      <c r="G1917" s="270"/>
      <c r="H1917" s="266"/>
      <c r="I1917" s="270"/>
      <c r="J1917" s="270"/>
      <c r="K1917" s="263"/>
    </row>
    <row r="1918">
      <c r="A1918" s="269"/>
      <c r="B1918" s="264"/>
      <c r="C1918" s="266"/>
      <c r="D1918" s="266"/>
      <c r="E1918" s="270"/>
      <c r="F1918" s="270"/>
      <c r="G1918" s="270"/>
      <c r="H1918" s="266"/>
      <c r="I1918" s="270"/>
      <c r="J1918" s="270"/>
      <c r="K1918" s="263"/>
    </row>
    <row r="1919">
      <c r="A1919" s="269"/>
      <c r="B1919" s="264"/>
      <c r="C1919" s="266"/>
      <c r="D1919" s="266"/>
      <c r="E1919" s="270"/>
      <c r="F1919" s="270"/>
      <c r="G1919" s="270"/>
      <c r="H1919" s="266"/>
      <c r="I1919" s="270"/>
      <c r="J1919" s="270"/>
      <c r="K1919" s="263"/>
    </row>
    <row r="1920">
      <c r="A1920" s="269"/>
      <c r="B1920" s="264"/>
      <c r="C1920" s="266"/>
      <c r="D1920" s="266"/>
      <c r="E1920" s="270"/>
      <c r="F1920" s="270"/>
      <c r="G1920" s="270"/>
      <c r="H1920" s="266"/>
      <c r="I1920" s="270"/>
      <c r="J1920" s="270"/>
      <c r="K1920" s="263"/>
    </row>
    <row r="1921">
      <c r="A1921" s="269"/>
      <c r="B1921" s="264"/>
      <c r="C1921" s="266"/>
      <c r="D1921" s="266"/>
      <c r="E1921" s="270"/>
      <c r="F1921" s="270"/>
      <c r="G1921" s="270"/>
      <c r="H1921" s="266"/>
      <c r="I1921" s="270"/>
      <c r="J1921" s="270"/>
      <c r="K1921" s="263"/>
    </row>
    <row r="1922">
      <c r="A1922" s="269"/>
      <c r="B1922" s="264"/>
      <c r="C1922" s="266"/>
      <c r="D1922" s="266"/>
      <c r="E1922" s="270"/>
      <c r="F1922" s="270"/>
      <c r="G1922" s="270"/>
      <c r="H1922" s="266"/>
      <c r="I1922" s="270"/>
      <c r="J1922" s="270"/>
      <c r="K1922" s="263"/>
    </row>
    <row r="1923">
      <c r="A1923" s="269"/>
      <c r="B1923" s="264"/>
      <c r="C1923" s="266"/>
      <c r="D1923" s="266"/>
      <c r="E1923" s="270"/>
      <c r="F1923" s="270"/>
      <c r="G1923" s="270"/>
      <c r="H1923" s="266"/>
      <c r="I1923" s="270"/>
      <c r="J1923" s="270"/>
      <c r="K1923" s="263"/>
    </row>
    <row r="1924">
      <c r="A1924" s="269"/>
      <c r="B1924" s="264"/>
      <c r="C1924" s="266"/>
      <c r="D1924" s="266"/>
      <c r="E1924" s="270"/>
      <c r="F1924" s="270"/>
      <c r="G1924" s="270"/>
      <c r="H1924" s="266"/>
      <c r="I1924" s="270"/>
      <c r="J1924" s="270"/>
      <c r="K1924" s="263"/>
    </row>
    <row r="1925">
      <c r="A1925" s="269"/>
      <c r="B1925" s="264"/>
      <c r="C1925" s="266"/>
      <c r="D1925" s="266"/>
      <c r="E1925" s="270"/>
      <c r="F1925" s="270"/>
      <c r="G1925" s="270"/>
      <c r="H1925" s="266"/>
      <c r="I1925" s="270"/>
      <c r="J1925" s="270"/>
      <c r="K1925" s="263"/>
    </row>
    <row r="1926">
      <c r="A1926" s="269"/>
      <c r="B1926" s="264"/>
      <c r="C1926" s="266"/>
      <c r="D1926" s="266"/>
      <c r="E1926" s="270"/>
      <c r="F1926" s="270"/>
      <c r="G1926" s="270"/>
      <c r="H1926" s="266"/>
      <c r="I1926" s="270"/>
      <c r="J1926" s="270"/>
      <c r="K1926" s="263"/>
    </row>
    <row r="1927">
      <c r="A1927" s="269"/>
      <c r="B1927" s="264"/>
      <c r="C1927" s="266"/>
      <c r="D1927" s="266"/>
      <c r="E1927" s="270"/>
      <c r="F1927" s="270"/>
      <c r="G1927" s="270"/>
      <c r="H1927" s="266"/>
      <c r="I1927" s="270"/>
      <c r="J1927" s="270"/>
      <c r="K1927" s="263"/>
    </row>
    <row r="1928">
      <c r="A1928" s="269"/>
      <c r="B1928" s="264"/>
      <c r="C1928" s="266"/>
      <c r="D1928" s="266"/>
      <c r="E1928" s="270"/>
      <c r="F1928" s="270"/>
      <c r="G1928" s="270"/>
      <c r="H1928" s="266"/>
      <c r="I1928" s="270"/>
      <c r="J1928" s="270"/>
      <c r="K1928" s="263"/>
    </row>
    <row r="1929">
      <c r="A1929" s="269"/>
      <c r="B1929" s="264"/>
      <c r="C1929" s="266"/>
      <c r="D1929" s="266"/>
      <c r="E1929" s="270"/>
      <c r="F1929" s="270"/>
      <c r="G1929" s="270"/>
      <c r="H1929" s="266"/>
      <c r="I1929" s="270"/>
      <c r="J1929" s="270"/>
      <c r="K1929" s="263"/>
    </row>
    <row r="1930">
      <c r="A1930" s="269"/>
      <c r="B1930" s="264"/>
      <c r="C1930" s="266"/>
      <c r="D1930" s="266"/>
      <c r="E1930" s="270"/>
      <c r="F1930" s="270"/>
      <c r="G1930" s="270"/>
      <c r="H1930" s="266"/>
      <c r="I1930" s="270"/>
      <c r="J1930" s="270"/>
      <c r="K1930" s="263"/>
    </row>
    <row r="1931">
      <c r="A1931" s="269"/>
      <c r="B1931" s="264"/>
      <c r="C1931" s="266"/>
      <c r="D1931" s="266"/>
      <c r="E1931" s="270"/>
      <c r="F1931" s="270"/>
      <c r="G1931" s="270"/>
      <c r="H1931" s="266"/>
      <c r="I1931" s="270"/>
      <c r="J1931" s="270"/>
      <c r="K1931" s="263"/>
    </row>
    <row r="1932">
      <c r="A1932" s="269"/>
      <c r="B1932" s="264"/>
      <c r="C1932" s="266"/>
      <c r="D1932" s="266"/>
      <c r="E1932" s="270"/>
      <c r="F1932" s="270"/>
      <c r="G1932" s="270"/>
      <c r="H1932" s="266"/>
      <c r="I1932" s="270"/>
      <c r="J1932" s="270"/>
      <c r="K1932" s="263"/>
    </row>
    <row r="1933">
      <c r="A1933" s="269"/>
      <c r="B1933" s="264"/>
      <c r="C1933" s="266"/>
      <c r="D1933" s="266"/>
      <c r="E1933" s="270"/>
      <c r="F1933" s="270"/>
      <c r="G1933" s="270"/>
      <c r="H1933" s="266"/>
      <c r="I1933" s="270"/>
      <c r="J1933" s="270"/>
      <c r="K1933" s="263"/>
    </row>
    <row r="1934">
      <c r="A1934" s="269"/>
      <c r="B1934" s="264"/>
      <c r="C1934" s="266"/>
      <c r="D1934" s="266"/>
      <c r="E1934" s="270"/>
      <c r="F1934" s="270"/>
      <c r="G1934" s="270"/>
      <c r="H1934" s="266"/>
      <c r="I1934" s="270"/>
      <c r="J1934" s="270"/>
      <c r="K1934" s="263"/>
    </row>
    <row r="1935">
      <c r="A1935" s="269"/>
      <c r="B1935" s="264"/>
      <c r="C1935" s="266"/>
      <c r="D1935" s="266"/>
      <c r="E1935" s="270"/>
      <c r="F1935" s="270"/>
      <c r="G1935" s="270"/>
      <c r="H1935" s="266"/>
      <c r="I1935" s="270"/>
      <c r="J1935" s="270"/>
      <c r="K1935" s="263"/>
    </row>
    <row r="1936">
      <c r="A1936" s="269"/>
      <c r="B1936" s="264"/>
      <c r="C1936" s="266"/>
      <c r="D1936" s="266"/>
      <c r="E1936" s="270"/>
      <c r="F1936" s="270"/>
      <c r="G1936" s="270"/>
      <c r="H1936" s="266"/>
      <c r="I1936" s="270"/>
      <c r="J1936" s="270"/>
      <c r="K1936" s="263"/>
    </row>
    <row r="1937">
      <c r="A1937" s="269"/>
      <c r="B1937" s="264"/>
      <c r="C1937" s="266"/>
      <c r="D1937" s="266"/>
      <c r="E1937" s="270"/>
      <c r="F1937" s="270"/>
      <c r="G1937" s="270"/>
      <c r="H1937" s="266"/>
      <c r="I1937" s="270"/>
      <c r="J1937" s="270"/>
      <c r="K1937" s="263"/>
    </row>
    <row r="1938">
      <c r="A1938" s="269"/>
      <c r="B1938" s="264"/>
      <c r="C1938" s="266"/>
      <c r="D1938" s="266"/>
      <c r="E1938" s="270"/>
      <c r="F1938" s="270"/>
      <c r="G1938" s="270"/>
      <c r="H1938" s="266"/>
      <c r="I1938" s="270"/>
      <c r="J1938" s="270"/>
      <c r="K1938" s="263"/>
    </row>
    <row r="1939">
      <c r="A1939" s="269"/>
      <c r="B1939" s="264"/>
      <c r="C1939" s="266"/>
      <c r="D1939" s="266"/>
      <c r="E1939" s="270"/>
      <c r="F1939" s="270"/>
      <c r="G1939" s="270"/>
      <c r="H1939" s="266"/>
      <c r="I1939" s="270"/>
      <c r="J1939" s="270"/>
      <c r="K1939" s="263"/>
    </row>
    <row r="1940">
      <c r="A1940" s="269"/>
      <c r="B1940" s="264"/>
      <c r="C1940" s="266"/>
      <c r="D1940" s="266"/>
      <c r="E1940" s="270"/>
      <c r="F1940" s="270"/>
      <c r="G1940" s="270"/>
      <c r="H1940" s="266"/>
      <c r="I1940" s="270"/>
      <c r="J1940" s="270"/>
      <c r="K1940" s="263"/>
    </row>
    <row r="1941">
      <c r="A1941" s="269"/>
      <c r="B1941" s="264"/>
      <c r="C1941" s="266"/>
      <c r="D1941" s="266"/>
      <c r="E1941" s="270"/>
      <c r="F1941" s="270"/>
      <c r="G1941" s="270"/>
      <c r="H1941" s="266"/>
      <c r="I1941" s="270"/>
      <c r="J1941" s="270"/>
      <c r="K1941" s="263"/>
    </row>
    <row r="1942">
      <c r="A1942" s="269"/>
      <c r="B1942" s="264"/>
      <c r="C1942" s="266"/>
      <c r="D1942" s="266"/>
      <c r="E1942" s="270"/>
      <c r="F1942" s="270"/>
      <c r="G1942" s="270"/>
      <c r="H1942" s="266"/>
      <c r="I1942" s="270"/>
      <c r="J1942" s="270"/>
      <c r="K1942" s="263"/>
    </row>
    <row r="1943">
      <c r="A1943" s="269"/>
      <c r="B1943" s="264"/>
      <c r="C1943" s="266"/>
      <c r="D1943" s="266"/>
      <c r="E1943" s="270"/>
      <c r="F1943" s="270"/>
      <c r="G1943" s="270"/>
      <c r="H1943" s="266"/>
      <c r="I1943" s="270"/>
      <c r="J1943" s="270"/>
      <c r="K1943" s="263"/>
    </row>
    <row r="1944">
      <c r="A1944" s="269"/>
      <c r="B1944" s="264"/>
      <c r="C1944" s="266"/>
      <c r="D1944" s="266"/>
      <c r="E1944" s="270"/>
      <c r="F1944" s="270"/>
      <c r="G1944" s="270"/>
      <c r="H1944" s="266"/>
      <c r="I1944" s="270"/>
      <c r="J1944" s="270"/>
      <c r="K1944" s="263"/>
    </row>
    <row r="1945">
      <c r="A1945" s="269"/>
      <c r="B1945" s="264"/>
      <c r="C1945" s="266"/>
      <c r="D1945" s="266"/>
      <c r="E1945" s="270"/>
      <c r="F1945" s="270"/>
      <c r="G1945" s="270"/>
      <c r="H1945" s="266"/>
      <c r="I1945" s="270"/>
      <c r="J1945" s="270"/>
      <c r="K1945" s="263"/>
    </row>
    <row r="1946">
      <c r="A1946" s="269"/>
      <c r="B1946" s="264"/>
      <c r="C1946" s="266"/>
      <c r="D1946" s="266"/>
      <c r="E1946" s="270"/>
      <c r="F1946" s="270"/>
      <c r="G1946" s="270"/>
      <c r="H1946" s="266"/>
      <c r="I1946" s="270"/>
      <c r="J1946" s="270"/>
      <c r="K1946" s="263"/>
    </row>
    <row r="1947">
      <c r="A1947" s="269"/>
      <c r="B1947" s="264"/>
      <c r="C1947" s="266"/>
      <c r="D1947" s="266"/>
      <c r="E1947" s="270"/>
      <c r="F1947" s="270"/>
      <c r="G1947" s="270"/>
      <c r="H1947" s="266"/>
      <c r="I1947" s="270"/>
      <c r="J1947" s="270"/>
      <c r="K1947" s="263"/>
    </row>
    <row r="1948">
      <c r="A1948" s="269"/>
      <c r="B1948" s="264"/>
      <c r="C1948" s="266"/>
      <c r="D1948" s="266"/>
      <c r="E1948" s="270"/>
      <c r="F1948" s="270"/>
      <c r="G1948" s="270"/>
      <c r="H1948" s="266"/>
      <c r="I1948" s="270"/>
      <c r="J1948" s="270"/>
      <c r="K1948" s="263"/>
    </row>
    <row r="1949">
      <c r="A1949" s="269"/>
      <c r="B1949" s="264"/>
      <c r="C1949" s="266"/>
      <c r="D1949" s="266"/>
      <c r="E1949" s="270"/>
      <c r="F1949" s="270"/>
      <c r="G1949" s="270"/>
      <c r="H1949" s="266"/>
      <c r="I1949" s="270"/>
      <c r="J1949" s="270"/>
      <c r="K1949" s="263"/>
    </row>
    <row r="1950">
      <c r="A1950" s="269"/>
      <c r="B1950" s="264"/>
      <c r="C1950" s="266"/>
      <c r="D1950" s="266"/>
      <c r="E1950" s="270"/>
      <c r="F1950" s="270"/>
      <c r="G1950" s="270"/>
      <c r="H1950" s="266"/>
      <c r="I1950" s="270"/>
      <c r="J1950" s="270"/>
      <c r="K1950" s="263"/>
    </row>
    <row r="1951">
      <c r="A1951" s="269"/>
      <c r="B1951" s="264"/>
      <c r="C1951" s="266"/>
      <c r="D1951" s="266"/>
      <c r="E1951" s="270"/>
      <c r="F1951" s="270"/>
      <c r="G1951" s="270"/>
      <c r="H1951" s="266"/>
      <c r="I1951" s="270"/>
      <c r="J1951" s="270"/>
      <c r="K1951" s="263"/>
    </row>
    <row r="1952">
      <c r="A1952" s="269"/>
      <c r="B1952" s="264"/>
      <c r="C1952" s="266"/>
      <c r="D1952" s="266"/>
      <c r="E1952" s="270"/>
      <c r="F1952" s="270"/>
      <c r="G1952" s="270"/>
      <c r="H1952" s="266"/>
      <c r="I1952" s="270"/>
      <c r="J1952" s="270"/>
      <c r="K1952" s="263"/>
    </row>
    <row r="1953">
      <c r="A1953" s="269"/>
      <c r="B1953" s="264"/>
      <c r="C1953" s="266"/>
      <c r="D1953" s="266"/>
      <c r="E1953" s="270"/>
      <c r="F1953" s="270"/>
      <c r="G1953" s="270"/>
      <c r="H1953" s="266"/>
      <c r="I1953" s="270"/>
      <c r="J1953" s="270"/>
      <c r="K1953" s="263"/>
    </row>
    <row r="1954">
      <c r="A1954" s="269"/>
      <c r="B1954" s="264"/>
      <c r="C1954" s="266"/>
      <c r="D1954" s="266"/>
      <c r="E1954" s="270"/>
      <c r="F1954" s="270"/>
      <c r="G1954" s="270"/>
      <c r="H1954" s="266"/>
      <c r="I1954" s="270"/>
      <c r="J1954" s="270"/>
      <c r="K1954" s="263"/>
    </row>
    <row r="1955">
      <c r="A1955" s="269"/>
      <c r="B1955" s="264"/>
      <c r="C1955" s="266"/>
      <c r="D1955" s="266"/>
      <c r="E1955" s="270"/>
      <c r="F1955" s="270"/>
      <c r="G1955" s="270"/>
      <c r="H1955" s="266"/>
      <c r="I1955" s="270"/>
      <c r="J1955" s="270"/>
      <c r="K1955" s="263"/>
    </row>
    <row r="1956">
      <c r="A1956" s="269"/>
      <c r="B1956" s="264"/>
      <c r="C1956" s="266"/>
      <c r="D1956" s="266"/>
      <c r="E1956" s="270"/>
      <c r="F1956" s="270"/>
      <c r="G1956" s="270"/>
      <c r="H1956" s="266"/>
      <c r="I1956" s="270"/>
      <c r="J1956" s="270"/>
      <c r="K1956" s="263"/>
    </row>
    <row r="1957">
      <c r="A1957" s="269"/>
      <c r="B1957" s="264"/>
      <c r="C1957" s="266"/>
      <c r="D1957" s="266"/>
      <c r="E1957" s="270"/>
      <c r="F1957" s="270"/>
      <c r="G1957" s="270"/>
      <c r="H1957" s="266"/>
      <c r="I1957" s="270"/>
      <c r="J1957" s="270"/>
      <c r="K1957" s="263"/>
    </row>
    <row r="1958">
      <c r="A1958" s="269"/>
      <c r="B1958" s="264"/>
      <c r="C1958" s="266"/>
      <c r="D1958" s="266"/>
      <c r="E1958" s="270"/>
      <c r="F1958" s="270"/>
      <c r="G1958" s="270"/>
      <c r="H1958" s="266"/>
      <c r="I1958" s="270"/>
      <c r="J1958" s="270"/>
      <c r="K1958" s="263"/>
    </row>
    <row r="1959">
      <c r="A1959" s="269"/>
      <c r="B1959" s="264"/>
      <c r="C1959" s="266"/>
      <c r="D1959" s="266"/>
      <c r="E1959" s="270"/>
      <c r="F1959" s="270"/>
      <c r="G1959" s="270"/>
      <c r="H1959" s="266"/>
      <c r="I1959" s="270"/>
      <c r="J1959" s="270"/>
      <c r="K1959" s="263"/>
    </row>
    <row r="1960">
      <c r="A1960" s="269"/>
      <c r="B1960" s="264"/>
      <c r="C1960" s="266"/>
      <c r="D1960" s="266"/>
      <c r="E1960" s="270"/>
      <c r="F1960" s="270"/>
      <c r="G1960" s="270"/>
      <c r="H1960" s="266"/>
      <c r="I1960" s="270"/>
      <c r="J1960" s="270"/>
      <c r="K1960" s="263"/>
    </row>
    <row r="1961">
      <c r="A1961" s="269"/>
      <c r="B1961" s="264"/>
      <c r="C1961" s="266"/>
      <c r="D1961" s="266"/>
      <c r="E1961" s="270"/>
      <c r="F1961" s="270"/>
      <c r="G1961" s="270"/>
      <c r="H1961" s="266"/>
      <c r="I1961" s="270"/>
      <c r="J1961" s="270"/>
      <c r="K1961" s="263"/>
    </row>
    <row r="1962">
      <c r="A1962" s="269"/>
      <c r="B1962" s="264"/>
      <c r="C1962" s="266"/>
      <c r="D1962" s="266"/>
      <c r="E1962" s="270"/>
      <c r="F1962" s="270"/>
      <c r="G1962" s="270"/>
      <c r="H1962" s="266"/>
      <c r="I1962" s="270"/>
      <c r="J1962" s="270"/>
      <c r="K1962" s="263"/>
    </row>
    <row r="1963">
      <c r="A1963" s="269"/>
      <c r="B1963" s="264"/>
      <c r="C1963" s="266"/>
      <c r="D1963" s="266"/>
      <c r="E1963" s="270"/>
      <c r="F1963" s="270"/>
      <c r="G1963" s="270"/>
      <c r="H1963" s="266"/>
      <c r="I1963" s="270"/>
      <c r="J1963" s="270"/>
      <c r="K1963" s="263"/>
    </row>
    <row r="1964">
      <c r="A1964" s="269"/>
      <c r="B1964" s="264"/>
      <c r="C1964" s="266"/>
      <c r="D1964" s="266"/>
      <c r="E1964" s="270"/>
      <c r="F1964" s="270"/>
      <c r="G1964" s="270"/>
      <c r="H1964" s="266"/>
      <c r="I1964" s="270"/>
      <c r="J1964" s="270"/>
      <c r="K1964" s="263"/>
    </row>
    <row r="1965">
      <c r="A1965" s="269"/>
      <c r="B1965" s="264"/>
      <c r="C1965" s="266"/>
      <c r="D1965" s="266"/>
      <c r="E1965" s="270"/>
      <c r="F1965" s="270"/>
      <c r="G1965" s="270"/>
      <c r="H1965" s="266"/>
      <c r="I1965" s="270"/>
      <c r="J1965" s="270"/>
      <c r="K1965" s="263"/>
    </row>
    <row r="1966">
      <c r="A1966" s="269"/>
      <c r="B1966" s="264"/>
      <c r="C1966" s="266"/>
      <c r="D1966" s="266"/>
      <c r="E1966" s="270"/>
      <c r="F1966" s="270"/>
      <c r="G1966" s="270"/>
      <c r="H1966" s="266"/>
      <c r="I1966" s="270"/>
      <c r="J1966" s="270"/>
      <c r="K1966" s="263"/>
    </row>
    <row r="1967">
      <c r="A1967" s="269"/>
      <c r="B1967" s="264"/>
      <c r="C1967" s="266"/>
      <c r="D1967" s="266"/>
      <c r="E1967" s="270"/>
      <c r="F1967" s="270"/>
      <c r="G1967" s="270"/>
      <c r="H1967" s="266"/>
      <c r="I1967" s="270"/>
      <c r="J1967" s="270"/>
      <c r="K1967" s="263"/>
    </row>
    <row r="1968">
      <c r="A1968" s="269"/>
      <c r="B1968" s="264"/>
      <c r="C1968" s="266"/>
      <c r="D1968" s="266"/>
      <c r="E1968" s="270"/>
      <c r="F1968" s="270"/>
      <c r="G1968" s="270"/>
      <c r="H1968" s="266"/>
      <c r="I1968" s="270"/>
      <c r="J1968" s="270"/>
      <c r="K1968" s="263"/>
    </row>
    <row r="1969">
      <c r="A1969" s="269"/>
      <c r="B1969" s="264"/>
      <c r="C1969" s="266"/>
      <c r="D1969" s="266"/>
      <c r="E1969" s="270"/>
      <c r="F1969" s="270"/>
      <c r="G1969" s="270"/>
      <c r="H1969" s="266"/>
      <c r="I1969" s="270"/>
      <c r="J1969" s="270"/>
      <c r="K1969" s="263"/>
    </row>
    <row r="1970">
      <c r="A1970" s="269"/>
      <c r="B1970" s="264"/>
      <c r="C1970" s="266"/>
      <c r="D1970" s="266"/>
      <c r="E1970" s="270"/>
      <c r="F1970" s="270"/>
      <c r="G1970" s="270"/>
      <c r="H1970" s="266"/>
      <c r="I1970" s="270"/>
      <c r="J1970" s="270"/>
      <c r="K1970" s="263"/>
    </row>
    <row r="1971">
      <c r="A1971" s="269"/>
      <c r="B1971" s="264"/>
      <c r="C1971" s="266"/>
      <c r="D1971" s="266"/>
      <c r="E1971" s="270"/>
      <c r="F1971" s="270"/>
      <c r="G1971" s="270"/>
      <c r="H1971" s="266"/>
      <c r="I1971" s="270"/>
      <c r="J1971" s="270"/>
      <c r="K1971" s="263"/>
    </row>
    <row r="1972">
      <c r="A1972" s="269"/>
      <c r="B1972" s="264"/>
      <c r="C1972" s="266"/>
      <c r="D1972" s="266"/>
      <c r="E1972" s="270"/>
      <c r="F1972" s="270"/>
      <c r="G1972" s="270"/>
      <c r="H1972" s="266"/>
      <c r="I1972" s="270"/>
      <c r="J1972" s="270"/>
      <c r="K1972" s="263"/>
    </row>
    <row r="1973">
      <c r="A1973" s="269"/>
      <c r="B1973" s="264"/>
      <c r="C1973" s="266"/>
      <c r="D1973" s="266"/>
      <c r="E1973" s="270"/>
      <c r="F1973" s="270"/>
      <c r="G1973" s="270"/>
      <c r="H1973" s="266"/>
      <c r="I1973" s="270"/>
      <c r="J1973" s="270"/>
      <c r="K1973" s="263"/>
    </row>
    <row r="1974">
      <c r="A1974" s="269"/>
      <c r="B1974" s="264"/>
      <c r="C1974" s="266"/>
      <c r="D1974" s="266"/>
      <c r="E1974" s="270"/>
      <c r="F1974" s="270"/>
      <c r="G1974" s="270"/>
      <c r="H1974" s="266"/>
      <c r="I1974" s="270"/>
      <c r="J1974" s="270"/>
      <c r="K1974" s="263"/>
    </row>
    <row r="1975">
      <c r="A1975" s="269"/>
      <c r="B1975" s="264"/>
      <c r="C1975" s="266"/>
      <c r="D1975" s="266"/>
      <c r="E1975" s="270"/>
      <c r="F1975" s="270"/>
      <c r="G1975" s="270"/>
      <c r="H1975" s="266"/>
      <c r="I1975" s="270"/>
      <c r="J1975" s="270"/>
      <c r="K1975" s="263"/>
    </row>
    <row r="1976">
      <c r="A1976" s="269"/>
      <c r="B1976" s="264"/>
      <c r="C1976" s="266"/>
      <c r="D1976" s="266"/>
      <c r="E1976" s="270"/>
      <c r="F1976" s="270"/>
      <c r="G1976" s="270"/>
      <c r="H1976" s="266"/>
      <c r="I1976" s="270"/>
      <c r="J1976" s="270"/>
      <c r="K1976" s="263"/>
    </row>
    <row r="1977">
      <c r="A1977" s="269"/>
      <c r="B1977" s="264"/>
      <c r="C1977" s="266"/>
      <c r="D1977" s="266"/>
      <c r="E1977" s="270"/>
      <c r="F1977" s="270"/>
      <c r="G1977" s="270"/>
      <c r="H1977" s="266"/>
      <c r="I1977" s="270"/>
      <c r="J1977" s="270"/>
      <c r="K1977" s="263"/>
    </row>
    <row r="1978">
      <c r="A1978" s="269"/>
      <c r="B1978" s="264"/>
      <c r="C1978" s="266"/>
      <c r="D1978" s="266"/>
      <c r="E1978" s="270"/>
      <c r="F1978" s="270"/>
      <c r="G1978" s="270"/>
      <c r="H1978" s="266"/>
      <c r="I1978" s="270"/>
      <c r="J1978" s="270"/>
      <c r="K1978" s="263"/>
    </row>
    <row r="1979">
      <c r="A1979" s="269"/>
      <c r="B1979" s="264"/>
      <c r="C1979" s="266"/>
      <c r="D1979" s="266"/>
      <c r="E1979" s="270"/>
      <c r="F1979" s="270"/>
      <c r="G1979" s="270"/>
      <c r="H1979" s="266"/>
      <c r="I1979" s="270"/>
      <c r="J1979" s="270"/>
      <c r="K1979" s="263"/>
    </row>
    <row r="1980">
      <c r="A1980" s="269"/>
      <c r="B1980" s="264"/>
      <c r="C1980" s="266"/>
      <c r="D1980" s="266"/>
      <c r="E1980" s="270"/>
      <c r="F1980" s="270"/>
      <c r="G1980" s="270"/>
      <c r="H1980" s="266"/>
      <c r="I1980" s="270"/>
      <c r="J1980" s="270"/>
      <c r="K1980" s="263"/>
    </row>
    <row r="1981">
      <c r="A1981" s="269"/>
      <c r="B1981" s="264"/>
      <c r="C1981" s="266"/>
      <c r="D1981" s="266"/>
      <c r="E1981" s="270"/>
      <c r="F1981" s="270"/>
      <c r="G1981" s="270"/>
      <c r="H1981" s="266"/>
      <c r="I1981" s="270"/>
      <c r="J1981" s="270"/>
      <c r="K1981" s="263"/>
    </row>
    <row r="1982">
      <c r="A1982" s="269"/>
      <c r="B1982" s="264"/>
      <c r="C1982" s="266"/>
      <c r="D1982" s="266"/>
      <c r="E1982" s="270"/>
      <c r="F1982" s="270"/>
      <c r="G1982" s="270"/>
      <c r="H1982" s="266"/>
      <c r="I1982" s="270"/>
      <c r="J1982" s="270"/>
      <c r="K1982" s="263"/>
    </row>
    <row r="1983">
      <c r="A1983" s="269"/>
      <c r="B1983" s="264"/>
      <c r="C1983" s="266"/>
      <c r="D1983" s="266"/>
      <c r="E1983" s="270"/>
      <c r="F1983" s="270"/>
      <c r="G1983" s="270"/>
      <c r="H1983" s="266"/>
      <c r="I1983" s="270"/>
      <c r="J1983" s="270"/>
      <c r="K1983" s="263"/>
    </row>
    <row r="1984">
      <c r="A1984" s="269"/>
      <c r="B1984" s="264"/>
      <c r="C1984" s="266"/>
      <c r="D1984" s="266"/>
      <c r="E1984" s="270"/>
      <c r="F1984" s="270"/>
      <c r="G1984" s="270"/>
      <c r="H1984" s="266"/>
      <c r="I1984" s="270"/>
      <c r="J1984" s="270"/>
      <c r="K1984" s="263"/>
    </row>
    <row r="1985">
      <c r="A1985" s="269"/>
      <c r="B1985" s="264"/>
      <c r="C1985" s="266"/>
      <c r="D1985" s="266"/>
      <c r="E1985" s="270"/>
      <c r="F1985" s="270"/>
      <c r="G1985" s="270"/>
      <c r="H1985" s="266"/>
      <c r="I1985" s="270"/>
      <c r="J1985" s="270"/>
      <c r="K1985" s="263"/>
    </row>
    <row r="1986">
      <c r="A1986" s="269"/>
      <c r="B1986" s="264"/>
      <c r="C1986" s="266"/>
      <c r="D1986" s="266"/>
      <c r="E1986" s="270"/>
      <c r="F1986" s="270"/>
      <c r="G1986" s="270"/>
      <c r="H1986" s="266"/>
      <c r="I1986" s="270"/>
      <c r="J1986" s="270"/>
      <c r="K1986" s="263"/>
    </row>
    <row r="1987">
      <c r="A1987" s="269"/>
      <c r="B1987" s="264"/>
      <c r="C1987" s="266"/>
      <c r="D1987" s="266"/>
      <c r="E1987" s="270"/>
      <c r="F1987" s="270"/>
      <c r="G1987" s="270"/>
      <c r="H1987" s="266"/>
      <c r="I1987" s="270"/>
      <c r="J1987" s="270"/>
      <c r="K1987" s="263"/>
    </row>
    <row r="1988">
      <c r="A1988" s="269"/>
      <c r="B1988" s="264"/>
      <c r="C1988" s="266"/>
      <c r="D1988" s="266"/>
      <c r="E1988" s="270"/>
      <c r="F1988" s="270"/>
      <c r="G1988" s="270"/>
      <c r="H1988" s="266"/>
      <c r="I1988" s="270"/>
      <c r="J1988" s="270"/>
      <c r="K1988" s="263"/>
    </row>
    <row r="1989">
      <c r="A1989" s="269"/>
      <c r="B1989" s="264"/>
      <c r="C1989" s="266"/>
      <c r="D1989" s="266"/>
      <c r="E1989" s="270"/>
      <c r="F1989" s="270"/>
      <c r="G1989" s="270"/>
      <c r="H1989" s="266"/>
      <c r="I1989" s="270"/>
      <c r="J1989" s="270"/>
      <c r="K1989" s="263"/>
    </row>
    <row r="1990">
      <c r="A1990" s="269"/>
      <c r="B1990" s="264"/>
      <c r="C1990" s="266"/>
      <c r="D1990" s="266"/>
      <c r="E1990" s="270"/>
      <c r="F1990" s="270"/>
      <c r="G1990" s="270"/>
      <c r="H1990" s="266"/>
      <c r="I1990" s="270"/>
      <c r="J1990" s="270"/>
      <c r="K1990" s="263"/>
    </row>
    <row r="1991">
      <c r="A1991" s="269"/>
      <c r="B1991" s="264"/>
      <c r="C1991" s="266"/>
      <c r="D1991" s="266"/>
      <c r="E1991" s="270"/>
      <c r="F1991" s="270"/>
      <c r="G1991" s="270"/>
      <c r="H1991" s="266"/>
      <c r="I1991" s="270"/>
      <c r="J1991" s="270"/>
      <c r="K1991" s="263"/>
    </row>
    <row r="1992">
      <c r="A1992" s="269"/>
      <c r="B1992" s="264"/>
      <c r="C1992" s="266"/>
      <c r="D1992" s="266"/>
      <c r="E1992" s="270"/>
      <c r="F1992" s="270"/>
      <c r="G1992" s="270"/>
      <c r="H1992" s="266"/>
      <c r="I1992" s="270"/>
      <c r="J1992" s="270"/>
      <c r="K1992" s="263"/>
    </row>
    <row r="1993">
      <c r="A1993" s="269"/>
      <c r="B1993" s="264"/>
      <c r="C1993" s="266"/>
      <c r="D1993" s="266"/>
      <c r="E1993" s="270"/>
      <c r="F1993" s="270"/>
      <c r="G1993" s="270"/>
      <c r="H1993" s="266"/>
      <c r="I1993" s="270"/>
      <c r="J1993" s="270"/>
      <c r="K1993" s="263"/>
    </row>
    <row r="1994">
      <c r="A1994" s="269"/>
      <c r="B1994" s="264"/>
      <c r="C1994" s="266"/>
      <c r="D1994" s="266"/>
      <c r="E1994" s="270"/>
      <c r="F1994" s="270"/>
      <c r="G1994" s="270"/>
      <c r="H1994" s="266"/>
      <c r="I1994" s="270"/>
      <c r="J1994" s="270"/>
      <c r="K1994" s="263"/>
    </row>
    <row r="1995">
      <c r="A1995" s="269"/>
      <c r="B1995" s="264"/>
      <c r="C1995" s="266"/>
      <c r="D1995" s="266"/>
      <c r="E1995" s="270"/>
      <c r="F1995" s="270"/>
      <c r="G1995" s="270"/>
      <c r="H1995" s="266"/>
      <c r="I1995" s="270"/>
      <c r="J1995" s="270"/>
      <c r="K1995" s="263"/>
    </row>
    <row r="1996">
      <c r="A1996" s="269"/>
      <c r="B1996" s="264"/>
      <c r="C1996" s="266"/>
      <c r="D1996" s="266"/>
      <c r="E1996" s="270"/>
      <c r="F1996" s="270"/>
      <c r="G1996" s="270"/>
      <c r="H1996" s="266"/>
      <c r="I1996" s="270"/>
      <c r="J1996" s="270"/>
      <c r="K1996" s="263"/>
    </row>
    <row r="1997">
      <c r="A1997" s="269"/>
      <c r="B1997" s="264"/>
      <c r="C1997" s="266"/>
      <c r="D1997" s="266"/>
      <c r="E1997" s="270"/>
      <c r="F1997" s="270"/>
      <c r="G1997" s="270"/>
      <c r="H1997" s="266"/>
      <c r="I1997" s="270"/>
      <c r="J1997" s="270"/>
      <c r="K1997" s="263"/>
    </row>
    <row r="1998">
      <c r="A1998" s="269"/>
      <c r="B1998" s="264"/>
      <c r="C1998" s="266"/>
      <c r="D1998" s="266"/>
      <c r="E1998" s="270"/>
      <c r="F1998" s="270"/>
      <c r="G1998" s="270"/>
      <c r="H1998" s="266"/>
      <c r="I1998" s="270"/>
      <c r="J1998" s="270"/>
      <c r="K1998" s="263"/>
    </row>
    <row r="1999">
      <c r="A1999" s="269"/>
      <c r="B1999" s="264"/>
      <c r="C1999" s="266"/>
      <c r="D1999" s="266"/>
      <c r="E1999" s="270"/>
      <c r="F1999" s="270"/>
      <c r="G1999" s="270"/>
      <c r="H1999" s="266"/>
      <c r="I1999" s="270"/>
      <c r="J1999" s="270"/>
      <c r="K1999" s="263"/>
    </row>
    <row r="2000">
      <c r="A2000" s="269"/>
      <c r="B2000" s="264"/>
      <c r="C2000" s="266"/>
      <c r="D2000" s="266"/>
      <c r="E2000" s="270"/>
      <c r="F2000" s="270"/>
      <c r="G2000" s="270"/>
      <c r="H2000" s="266"/>
      <c r="I2000" s="270"/>
      <c r="J2000" s="270"/>
      <c r="K2000" s="263"/>
    </row>
    <row r="2001">
      <c r="A2001" s="269"/>
      <c r="B2001" s="264"/>
      <c r="C2001" s="266"/>
      <c r="D2001" s="266"/>
      <c r="E2001" s="270"/>
      <c r="F2001" s="270"/>
      <c r="G2001" s="270"/>
      <c r="H2001" s="266"/>
      <c r="I2001" s="270"/>
      <c r="J2001" s="270"/>
      <c r="K2001" s="263"/>
    </row>
    <row r="2002">
      <c r="A2002" s="269"/>
      <c r="B2002" s="264"/>
      <c r="C2002" s="266"/>
      <c r="D2002" s="266"/>
      <c r="E2002" s="270"/>
      <c r="F2002" s="270"/>
      <c r="G2002" s="270"/>
      <c r="H2002" s="266"/>
      <c r="I2002" s="270"/>
      <c r="J2002" s="270"/>
      <c r="K2002" s="263"/>
    </row>
    <row r="2003">
      <c r="A2003" s="269"/>
      <c r="B2003" s="264"/>
      <c r="C2003" s="266"/>
      <c r="D2003" s="266"/>
      <c r="E2003" s="270"/>
      <c r="F2003" s="270"/>
      <c r="G2003" s="270"/>
      <c r="H2003" s="266"/>
      <c r="I2003" s="270"/>
      <c r="J2003" s="270"/>
      <c r="K2003" s="263"/>
    </row>
    <row r="2004">
      <c r="A2004" s="269"/>
      <c r="B2004" s="264"/>
      <c r="C2004" s="266"/>
      <c r="D2004" s="266"/>
      <c r="E2004" s="270"/>
      <c r="F2004" s="270"/>
      <c r="G2004" s="270"/>
      <c r="H2004" s="266"/>
      <c r="I2004" s="270"/>
      <c r="J2004" s="270"/>
      <c r="K2004" s="263"/>
    </row>
    <row r="2005">
      <c r="A2005" s="269"/>
      <c r="B2005" s="264"/>
      <c r="C2005" s="266"/>
      <c r="D2005" s="266"/>
      <c r="E2005" s="270"/>
      <c r="F2005" s="270"/>
      <c r="G2005" s="270"/>
      <c r="H2005" s="266"/>
      <c r="I2005" s="270"/>
      <c r="J2005" s="270"/>
      <c r="K2005" s="263"/>
    </row>
    <row r="2006">
      <c r="A2006" s="269"/>
      <c r="B2006" s="264"/>
      <c r="C2006" s="266"/>
      <c r="D2006" s="266"/>
      <c r="E2006" s="270"/>
      <c r="F2006" s="270"/>
      <c r="G2006" s="270"/>
      <c r="H2006" s="266"/>
      <c r="I2006" s="270"/>
      <c r="J2006" s="270"/>
      <c r="K2006" s="263"/>
    </row>
    <row r="2007">
      <c r="A2007" s="269"/>
      <c r="B2007" s="264"/>
      <c r="C2007" s="266"/>
      <c r="D2007" s="266"/>
      <c r="E2007" s="270"/>
      <c r="F2007" s="270"/>
      <c r="G2007" s="270"/>
      <c r="H2007" s="266"/>
      <c r="I2007" s="270"/>
      <c r="J2007" s="270"/>
      <c r="K2007" s="263"/>
    </row>
  </sheetData>
  <hyperlinks>
    <hyperlink r:id="rId1" ref="C3"/>
    <hyperlink r:id="rId2" ref="I3"/>
    <hyperlink r:id="rId3" ref="C4"/>
    <hyperlink r:id="rId4" ref="I4"/>
    <hyperlink r:id="rId5" ref="C5"/>
    <hyperlink r:id="rId6" ref="I5"/>
    <hyperlink r:id="rId7" ref="C6"/>
    <hyperlink r:id="rId8" ref="I6"/>
    <hyperlink r:id="rId9" ref="C7"/>
    <hyperlink r:id="rId10" ref="I7"/>
    <hyperlink r:id="rId11" ref="C8"/>
    <hyperlink r:id="rId12" ref="I8"/>
    <hyperlink r:id="rId13" ref="C9"/>
    <hyperlink r:id="rId14" ref="I9"/>
    <hyperlink r:id="rId15" ref="C10"/>
    <hyperlink r:id="rId16" ref="I10"/>
    <hyperlink r:id="rId17" ref="C11"/>
    <hyperlink r:id="rId18" ref="I11"/>
    <hyperlink r:id="rId19" ref="C12"/>
    <hyperlink r:id="rId20" ref="I12"/>
    <hyperlink r:id="rId21" ref="C13"/>
    <hyperlink r:id="rId22" ref="I13"/>
    <hyperlink r:id="rId23" ref="C14"/>
    <hyperlink r:id="rId24" ref="I14"/>
    <hyperlink r:id="rId25" ref="C15"/>
    <hyperlink r:id="rId26" ref="I15"/>
    <hyperlink r:id="rId27" ref="C16"/>
    <hyperlink r:id="rId28" ref="I16"/>
    <hyperlink r:id="rId29" ref="C17"/>
    <hyperlink r:id="rId30" ref="I17"/>
    <hyperlink r:id="rId31" ref="C18"/>
    <hyperlink r:id="rId32" ref="I18"/>
    <hyperlink r:id="rId33" ref="C19"/>
    <hyperlink r:id="rId34" ref="I19"/>
    <hyperlink r:id="rId35" ref="C20"/>
    <hyperlink r:id="rId36" ref="I20"/>
    <hyperlink r:id="rId37" ref="C21"/>
    <hyperlink r:id="rId38" ref="I21"/>
    <hyperlink r:id="rId39" ref="C22"/>
    <hyperlink r:id="rId40" ref="I22"/>
    <hyperlink r:id="rId41" ref="C23"/>
    <hyperlink r:id="rId42" ref="I23"/>
    <hyperlink r:id="rId43" ref="C24"/>
    <hyperlink r:id="rId44" ref="I24"/>
    <hyperlink r:id="rId45" ref="C25"/>
    <hyperlink r:id="rId46" ref="I25"/>
    <hyperlink r:id="rId47" ref="C26"/>
    <hyperlink r:id="rId48" ref="I26"/>
    <hyperlink r:id="rId49" ref="C27"/>
    <hyperlink r:id="rId50" ref="I27"/>
    <hyperlink r:id="rId51" ref="C28"/>
    <hyperlink r:id="rId52" ref="I28"/>
    <hyperlink r:id="rId53" ref="C29"/>
    <hyperlink r:id="rId54" ref="I29"/>
    <hyperlink r:id="rId55" ref="C30"/>
    <hyperlink r:id="rId56" ref="I30"/>
    <hyperlink r:id="rId57" ref="C31"/>
    <hyperlink r:id="rId58" ref="I31"/>
    <hyperlink r:id="rId59" ref="C32"/>
    <hyperlink r:id="rId60" ref="I32"/>
    <hyperlink r:id="rId61" ref="C33"/>
    <hyperlink r:id="rId62" ref="I33"/>
    <hyperlink r:id="rId63" ref="C34"/>
    <hyperlink r:id="rId64" ref="I34"/>
    <hyperlink r:id="rId65" ref="C35"/>
    <hyperlink r:id="rId66" ref="I35"/>
    <hyperlink r:id="rId67" ref="C36"/>
    <hyperlink r:id="rId68" ref="I36"/>
    <hyperlink r:id="rId69" ref="C37"/>
    <hyperlink r:id="rId70" ref="I37"/>
    <hyperlink r:id="rId71" ref="C38"/>
    <hyperlink r:id="rId72" ref="I38"/>
    <hyperlink r:id="rId73" ref="C39"/>
    <hyperlink r:id="rId74" ref="I39"/>
    <hyperlink r:id="rId75" ref="C40"/>
    <hyperlink r:id="rId76" ref="I40"/>
    <hyperlink r:id="rId77" ref="C41"/>
    <hyperlink r:id="rId78" ref="I41"/>
    <hyperlink r:id="rId79" ref="C42"/>
    <hyperlink r:id="rId80" ref="I42"/>
    <hyperlink r:id="rId81" ref="C43"/>
    <hyperlink r:id="rId82" ref="I43"/>
    <hyperlink r:id="rId83" ref="C44"/>
    <hyperlink r:id="rId84" ref="I44"/>
    <hyperlink r:id="rId85" ref="C45"/>
    <hyperlink r:id="rId86" ref="I45"/>
    <hyperlink r:id="rId87" ref="C46"/>
    <hyperlink r:id="rId88" ref="I46"/>
    <hyperlink r:id="rId89" ref="C47"/>
    <hyperlink r:id="rId90" ref="I47"/>
    <hyperlink r:id="rId91" ref="C48"/>
    <hyperlink r:id="rId92" ref="I48"/>
    <hyperlink r:id="rId93" ref="C49"/>
    <hyperlink r:id="rId94" ref="I49"/>
    <hyperlink r:id="rId95" ref="C50"/>
    <hyperlink r:id="rId96" ref="I50"/>
    <hyperlink r:id="rId97" ref="C51"/>
    <hyperlink r:id="rId98" ref="I51"/>
    <hyperlink r:id="rId99" ref="C52"/>
    <hyperlink r:id="rId100" ref="I52"/>
    <hyperlink r:id="rId101" ref="C53"/>
    <hyperlink r:id="rId102" ref="I53"/>
    <hyperlink r:id="rId103" ref="C54"/>
    <hyperlink r:id="rId104" ref="I54"/>
    <hyperlink r:id="rId105" ref="C55"/>
    <hyperlink r:id="rId106" ref="I55"/>
    <hyperlink r:id="rId107" ref="C56"/>
    <hyperlink r:id="rId108" ref="I56"/>
    <hyperlink r:id="rId109" ref="C57"/>
    <hyperlink r:id="rId110" ref="I57"/>
    <hyperlink r:id="rId111" ref="C58"/>
    <hyperlink r:id="rId112" ref="I58"/>
    <hyperlink r:id="rId113" ref="C59"/>
    <hyperlink r:id="rId114" ref="I59"/>
    <hyperlink r:id="rId115" ref="C60"/>
    <hyperlink r:id="rId116" ref="I60"/>
    <hyperlink r:id="rId117" ref="C61"/>
    <hyperlink r:id="rId118" ref="I61"/>
    <hyperlink r:id="rId119" ref="C62"/>
    <hyperlink r:id="rId120" ref="I62"/>
    <hyperlink r:id="rId121" ref="C63"/>
    <hyperlink r:id="rId122" ref="I63"/>
    <hyperlink r:id="rId123" ref="C64"/>
    <hyperlink r:id="rId124" ref="I64"/>
    <hyperlink r:id="rId125" ref="C65"/>
    <hyperlink r:id="rId126" ref="I65"/>
    <hyperlink r:id="rId127" ref="C66"/>
    <hyperlink r:id="rId128" ref="I66"/>
    <hyperlink r:id="rId129" ref="C67"/>
    <hyperlink r:id="rId130" ref="I67"/>
    <hyperlink r:id="rId131" ref="C68"/>
    <hyperlink r:id="rId132" ref="I68"/>
    <hyperlink r:id="rId133" ref="C69"/>
    <hyperlink r:id="rId134" ref="I69"/>
    <hyperlink r:id="rId135" ref="C70"/>
    <hyperlink r:id="rId136" ref="I70"/>
    <hyperlink r:id="rId137" ref="C71"/>
    <hyperlink r:id="rId138" ref="I71"/>
    <hyperlink r:id="rId139" ref="C72"/>
    <hyperlink r:id="rId140" ref="I72"/>
    <hyperlink r:id="rId141" ref="C73"/>
    <hyperlink r:id="rId142" ref="I73"/>
    <hyperlink r:id="rId143" ref="C74"/>
    <hyperlink r:id="rId144" ref="I74"/>
    <hyperlink r:id="rId145" ref="C75"/>
    <hyperlink r:id="rId146" ref="I75"/>
    <hyperlink r:id="rId147" ref="C76"/>
    <hyperlink r:id="rId148" ref="I76"/>
    <hyperlink r:id="rId149" ref="C77"/>
    <hyperlink r:id="rId150" ref="I77"/>
    <hyperlink r:id="rId151" ref="C78"/>
    <hyperlink r:id="rId152" ref="I78"/>
    <hyperlink r:id="rId153" ref="C79"/>
    <hyperlink r:id="rId154" ref="I79"/>
    <hyperlink r:id="rId155" ref="C80"/>
    <hyperlink r:id="rId156" ref="I80"/>
    <hyperlink r:id="rId157" ref="C81"/>
    <hyperlink r:id="rId158" ref="I81"/>
    <hyperlink r:id="rId159" ref="C82"/>
    <hyperlink r:id="rId160" ref="I82"/>
    <hyperlink r:id="rId161" ref="C83"/>
    <hyperlink r:id="rId162" ref="I83"/>
    <hyperlink r:id="rId163" ref="C84"/>
    <hyperlink r:id="rId164" ref="I84"/>
    <hyperlink r:id="rId165" ref="C85"/>
    <hyperlink r:id="rId166" ref="I85"/>
    <hyperlink r:id="rId167" ref="C86"/>
    <hyperlink r:id="rId168" ref="I86"/>
    <hyperlink r:id="rId169" ref="C87"/>
    <hyperlink r:id="rId170" ref="I87"/>
    <hyperlink r:id="rId171" ref="C88"/>
    <hyperlink r:id="rId172" ref="I88"/>
    <hyperlink r:id="rId173" ref="C89"/>
    <hyperlink r:id="rId174" ref="I89"/>
    <hyperlink r:id="rId175" ref="C90"/>
    <hyperlink r:id="rId176" ref="I90"/>
    <hyperlink r:id="rId177" ref="C91"/>
    <hyperlink r:id="rId178" ref="I91"/>
    <hyperlink r:id="rId179" ref="C92"/>
    <hyperlink r:id="rId180" ref="I92"/>
    <hyperlink r:id="rId181" ref="C93"/>
    <hyperlink r:id="rId182" ref="I93"/>
    <hyperlink r:id="rId183" ref="C94"/>
    <hyperlink r:id="rId184" ref="I94"/>
    <hyperlink r:id="rId185" ref="C95"/>
    <hyperlink r:id="rId186" ref="I95"/>
    <hyperlink r:id="rId187" ref="C96"/>
    <hyperlink r:id="rId188" ref="I96"/>
    <hyperlink r:id="rId189" ref="C97"/>
    <hyperlink r:id="rId190" ref="I97"/>
    <hyperlink r:id="rId191" ref="C98"/>
    <hyperlink r:id="rId192" ref="I98"/>
    <hyperlink r:id="rId193" ref="C99"/>
    <hyperlink r:id="rId194" ref="I99"/>
    <hyperlink r:id="rId195" ref="C100"/>
    <hyperlink r:id="rId196" ref="I100"/>
    <hyperlink r:id="rId197" ref="C101"/>
    <hyperlink r:id="rId198" ref="I101"/>
    <hyperlink r:id="rId199" ref="C102"/>
    <hyperlink r:id="rId200" ref="I102"/>
    <hyperlink r:id="rId201" ref="C103"/>
    <hyperlink r:id="rId202" ref="I103"/>
    <hyperlink r:id="rId203" ref="C104"/>
    <hyperlink r:id="rId204" ref="I104"/>
    <hyperlink r:id="rId205" ref="C105"/>
    <hyperlink r:id="rId206" ref="I105"/>
    <hyperlink r:id="rId207" ref="C106"/>
    <hyperlink r:id="rId208" ref="I106"/>
    <hyperlink r:id="rId209" ref="C107"/>
    <hyperlink r:id="rId210" ref="I107"/>
    <hyperlink r:id="rId211" ref="C108"/>
    <hyperlink r:id="rId212" ref="I108"/>
    <hyperlink r:id="rId213" ref="C109"/>
    <hyperlink r:id="rId214" ref="I109"/>
    <hyperlink r:id="rId215" ref="C110"/>
    <hyperlink r:id="rId216" ref="I110"/>
    <hyperlink r:id="rId217" ref="C111"/>
    <hyperlink r:id="rId218" ref="I111"/>
    <hyperlink r:id="rId219" ref="C112"/>
    <hyperlink r:id="rId220" ref="I112"/>
    <hyperlink r:id="rId221" ref="C113"/>
    <hyperlink r:id="rId222" ref="I113"/>
    <hyperlink r:id="rId223" ref="C114"/>
    <hyperlink r:id="rId224" ref="I114"/>
    <hyperlink r:id="rId225" ref="C115"/>
    <hyperlink r:id="rId226" ref="I115"/>
    <hyperlink r:id="rId227" ref="C116"/>
    <hyperlink r:id="rId228" ref="I116"/>
    <hyperlink r:id="rId229" ref="C117"/>
    <hyperlink r:id="rId230" ref="I117"/>
    <hyperlink r:id="rId231" ref="C118"/>
    <hyperlink r:id="rId232" ref="I118"/>
    <hyperlink r:id="rId233" ref="C119"/>
    <hyperlink r:id="rId234" ref="I119"/>
    <hyperlink r:id="rId235" ref="C120"/>
    <hyperlink r:id="rId236" ref="I120"/>
    <hyperlink r:id="rId237" ref="C121"/>
    <hyperlink r:id="rId238" ref="I121"/>
    <hyperlink r:id="rId239" ref="C122"/>
    <hyperlink r:id="rId240" ref="I122"/>
    <hyperlink r:id="rId241" ref="C123"/>
    <hyperlink r:id="rId242" ref="I123"/>
    <hyperlink r:id="rId243" ref="C124"/>
    <hyperlink r:id="rId244" ref="I124"/>
    <hyperlink r:id="rId245" ref="C125"/>
    <hyperlink r:id="rId246" ref="I125"/>
    <hyperlink r:id="rId247" ref="C126"/>
    <hyperlink r:id="rId248" ref="I126"/>
    <hyperlink r:id="rId249" ref="C127"/>
    <hyperlink r:id="rId250" ref="I127"/>
    <hyperlink r:id="rId251" ref="C128"/>
    <hyperlink r:id="rId252" ref="I128"/>
    <hyperlink r:id="rId253" ref="C129"/>
    <hyperlink r:id="rId254" ref="I129"/>
    <hyperlink r:id="rId255" ref="C130"/>
    <hyperlink r:id="rId256" ref="I130"/>
    <hyperlink r:id="rId257" ref="C131"/>
    <hyperlink r:id="rId258" ref="I131"/>
    <hyperlink r:id="rId259" ref="C132"/>
    <hyperlink r:id="rId260" ref="I132"/>
    <hyperlink r:id="rId261" ref="C133"/>
    <hyperlink r:id="rId262" ref="I133"/>
    <hyperlink r:id="rId263" ref="C134"/>
    <hyperlink r:id="rId264" ref="I134"/>
    <hyperlink r:id="rId265" ref="C135"/>
    <hyperlink r:id="rId266" ref="I135"/>
    <hyperlink r:id="rId267" ref="C136"/>
    <hyperlink r:id="rId268" ref="I136"/>
    <hyperlink r:id="rId269" ref="C137"/>
    <hyperlink r:id="rId270" ref="I137"/>
    <hyperlink r:id="rId271" ref="C138"/>
    <hyperlink r:id="rId272" ref="I138"/>
    <hyperlink r:id="rId273" ref="C139"/>
    <hyperlink r:id="rId274" ref="I139"/>
    <hyperlink r:id="rId275" ref="C140"/>
    <hyperlink r:id="rId276" ref="I140"/>
    <hyperlink r:id="rId277" ref="C141"/>
    <hyperlink r:id="rId278" ref="I141"/>
    <hyperlink r:id="rId279" ref="C142"/>
    <hyperlink r:id="rId280" ref="I142"/>
    <hyperlink r:id="rId281" ref="C143"/>
    <hyperlink r:id="rId282" ref="I143"/>
    <hyperlink r:id="rId283" ref="C144"/>
    <hyperlink r:id="rId284" ref="I144"/>
    <hyperlink r:id="rId285" ref="C145"/>
    <hyperlink r:id="rId286" ref="I145"/>
    <hyperlink r:id="rId287" ref="C146"/>
    <hyperlink r:id="rId288" ref="I146"/>
    <hyperlink r:id="rId289" ref="C147"/>
    <hyperlink r:id="rId290" ref="I147"/>
    <hyperlink r:id="rId291" ref="C148"/>
    <hyperlink r:id="rId292" ref="I148"/>
    <hyperlink r:id="rId293" ref="C149"/>
    <hyperlink r:id="rId294" ref="I149"/>
    <hyperlink r:id="rId295" ref="C150"/>
    <hyperlink r:id="rId296" ref="I150"/>
    <hyperlink r:id="rId297" ref="C151"/>
    <hyperlink r:id="rId298" ref="I151"/>
    <hyperlink r:id="rId299" ref="C152"/>
    <hyperlink r:id="rId300" ref="I152"/>
    <hyperlink r:id="rId301" ref="C153"/>
    <hyperlink r:id="rId302" ref="I153"/>
    <hyperlink r:id="rId303" ref="C154"/>
    <hyperlink r:id="rId304" ref="I154"/>
    <hyperlink r:id="rId305" ref="C155"/>
    <hyperlink r:id="rId306" ref="I155"/>
    <hyperlink r:id="rId307" ref="C156"/>
    <hyperlink r:id="rId308" ref="I156"/>
    <hyperlink r:id="rId309" ref="C157"/>
    <hyperlink r:id="rId310" ref="I157"/>
    <hyperlink r:id="rId311" ref="C158"/>
    <hyperlink r:id="rId312" ref="I158"/>
    <hyperlink r:id="rId313" ref="C159"/>
    <hyperlink r:id="rId314" ref="I159"/>
    <hyperlink r:id="rId315" ref="C160"/>
    <hyperlink r:id="rId316" ref="I160"/>
    <hyperlink r:id="rId317" ref="C161"/>
    <hyperlink r:id="rId318" ref="I161"/>
    <hyperlink r:id="rId319" ref="C162"/>
    <hyperlink r:id="rId320" ref="I162"/>
    <hyperlink r:id="rId321" ref="C163"/>
    <hyperlink r:id="rId322" ref="I163"/>
    <hyperlink r:id="rId323" ref="C164"/>
    <hyperlink r:id="rId324" ref="I164"/>
    <hyperlink r:id="rId325" ref="C165"/>
    <hyperlink r:id="rId326" ref="I165"/>
    <hyperlink r:id="rId327" ref="C166"/>
    <hyperlink r:id="rId328" ref="I166"/>
    <hyperlink r:id="rId329" ref="C167"/>
    <hyperlink r:id="rId330" ref="I167"/>
    <hyperlink r:id="rId331" ref="C168"/>
    <hyperlink r:id="rId332" ref="I168"/>
    <hyperlink r:id="rId333" ref="C169"/>
    <hyperlink r:id="rId334" ref="I169"/>
    <hyperlink r:id="rId335" ref="C170"/>
    <hyperlink r:id="rId336" ref="I170"/>
    <hyperlink r:id="rId337" ref="C171"/>
    <hyperlink r:id="rId338" ref="I171"/>
    <hyperlink r:id="rId339" ref="C172"/>
    <hyperlink r:id="rId340" ref="I172"/>
    <hyperlink r:id="rId341" ref="C173"/>
    <hyperlink r:id="rId342" ref="I173"/>
    <hyperlink r:id="rId343" ref="C174"/>
    <hyperlink r:id="rId344" ref="I174"/>
    <hyperlink r:id="rId345" ref="C175"/>
    <hyperlink r:id="rId346" ref="I175"/>
    <hyperlink r:id="rId347" ref="C176"/>
    <hyperlink r:id="rId348" ref="I176"/>
    <hyperlink r:id="rId349" ref="C177"/>
    <hyperlink r:id="rId350" ref="I177"/>
    <hyperlink r:id="rId351" ref="C178"/>
    <hyperlink r:id="rId352" ref="I178"/>
    <hyperlink r:id="rId353" ref="C179"/>
    <hyperlink r:id="rId354" ref="I179"/>
    <hyperlink r:id="rId355" ref="C180"/>
    <hyperlink r:id="rId356" ref="I180"/>
    <hyperlink r:id="rId357" ref="C181"/>
    <hyperlink r:id="rId358" ref="I181"/>
    <hyperlink r:id="rId359" ref="C182"/>
    <hyperlink r:id="rId360" ref="I182"/>
    <hyperlink r:id="rId361" ref="C183"/>
    <hyperlink r:id="rId362" ref="I183"/>
    <hyperlink r:id="rId363" ref="C184"/>
    <hyperlink r:id="rId364" ref="I184"/>
    <hyperlink r:id="rId365" ref="C185"/>
    <hyperlink r:id="rId366" ref="I185"/>
    <hyperlink r:id="rId367" ref="C186"/>
    <hyperlink r:id="rId368" ref="I186"/>
    <hyperlink r:id="rId369" ref="C187"/>
    <hyperlink r:id="rId370" ref="I187"/>
    <hyperlink r:id="rId371" ref="C188"/>
    <hyperlink r:id="rId372" ref="I188"/>
    <hyperlink r:id="rId373" ref="C189"/>
    <hyperlink r:id="rId374" ref="I189"/>
    <hyperlink r:id="rId375" ref="C190"/>
    <hyperlink r:id="rId376" ref="I190"/>
    <hyperlink r:id="rId377" ref="C191"/>
    <hyperlink r:id="rId378" ref="I191"/>
    <hyperlink r:id="rId379" ref="C192"/>
    <hyperlink r:id="rId380" ref="I192"/>
    <hyperlink r:id="rId381" ref="C193"/>
    <hyperlink r:id="rId382" ref="I193"/>
    <hyperlink r:id="rId383" ref="C194"/>
    <hyperlink r:id="rId384" ref="I194"/>
    <hyperlink r:id="rId385" ref="C195"/>
    <hyperlink r:id="rId386" ref="I195"/>
    <hyperlink r:id="rId387" ref="C196"/>
    <hyperlink r:id="rId388" ref="I196"/>
    <hyperlink r:id="rId389" ref="C197"/>
    <hyperlink r:id="rId390" ref="I197"/>
    <hyperlink r:id="rId391" ref="C198"/>
    <hyperlink r:id="rId392" ref="I198"/>
    <hyperlink r:id="rId393" ref="C199"/>
    <hyperlink r:id="rId394" ref="I199"/>
    <hyperlink r:id="rId395" ref="C200"/>
    <hyperlink r:id="rId396" ref="I200"/>
    <hyperlink r:id="rId397" ref="C201"/>
    <hyperlink r:id="rId398" ref="I201"/>
    <hyperlink r:id="rId399" ref="C202"/>
    <hyperlink r:id="rId400" ref="I202"/>
    <hyperlink r:id="rId401" ref="C203"/>
    <hyperlink r:id="rId402" ref="I203"/>
    <hyperlink r:id="rId403" ref="C204"/>
    <hyperlink r:id="rId404" ref="I204"/>
    <hyperlink r:id="rId405" ref="C205"/>
    <hyperlink r:id="rId406" ref="I205"/>
    <hyperlink r:id="rId407" ref="C206"/>
    <hyperlink r:id="rId408" ref="I206"/>
    <hyperlink r:id="rId409" ref="C207"/>
    <hyperlink r:id="rId410" ref="I207"/>
    <hyperlink r:id="rId411" ref="C208"/>
    <hyperlink r:id="rId412" ref="I208"/>
    <hyperlink r:id="rId413" ref="C209"/>
    <hyperlink r:id="rId414" ref="I209"/>
    <hyperlink r:id="rId415" ref="C210"/>
    <hyperlink r:id="rId416" ref="I210"/>
    <hyperlink r:id="rId417" ref="C211"/>
    <hyperlink r:id="rId418" ref="I211"/>
    <hyperlink r:id="rId419" ref="C212"/>
    <hyperlink r:id="rId420" ref="I212"/>
    <hyperlink r:id="rId421" ref="C213"/>
    <hyperlink r:id="rId422" ref="I213"/>
    <hyperlink r:id="rId423" ref="C214"/>
    <hyperlink r:id="rId424" ref="I214"/>
    <hyperlink r:id="rId425" ref="C215"/>
    <hyperlink r:id="rId426" ref="I215"/>
    <hyperlink r:id="rId427" ref="C216"/>
    <hyperlink r:id="rId428" ref="I216"/>
    <hyperlink r:id="rId429" ref="C217"/>
    <hyperlink r:id="rId430" ref="I217"/>
    <hyperlink r:id="rId431" ref="C218"/>
    <hyperlink r:id="rId432" ref="I218"/>
    <hyperlink r:id="rId433" ref="C219"/>
    <hyperlink r:id="rId434" ref="I219"/>
    <hyperlink r:id="rId435" ref="C220"/>
    <hyperlink r:id="rId436" ref="I220"/>
    <hyperlink r:id="rId437" ref="C221"/>
    <hyperlink r:id="rId438" ref="I221"/>
    <hyperlink r:id="rId439" ref="C222"/>
    <hyperlink r:id="rId440" ref="I222"/>
    <hyperlink r:id="rId441" ref="C223"/>
    <hyperlink r:id="rId442" ref="I223"/>
    <hyperlink r:id="rId443" ref="C224"/>
    <hyperlink r:id="rId444" ref="I224"/>
    <hyperlink r:id="rId445" ref="C225"/>
    <hyperlink r:id="rId446" ref="I225"/>
    <hyperlink r:id="rId447" ref="C226"/>
    <hyperlink r:id="rId448" ref="I226"/>
    <hyperlink r:id="rId449" ref="C227"/>
    <hyperlink r:id="rId450" ref="I227"/>
    <hyperlink r:id="rId451" ref="C228"/>
    <hyperlink r:id="rId452" ref="I228"/>
    <hyperlink r:id="rId453" ref="C229"/>
    <hyperlink r:id="rId454" ref="I229"/>
    <hyperlink r:id="rId455" ref="C230"/>
    <hyperlink r:id="rId456" ref="I230"/>
    <hyperlink r:id="rId457" ref="C231"/>
    <hyperlink r:id="rId458" ref="I231"/>
    <hyperlink r:id="rId459" ref="C232"/>
    <hyperlink r:id="rId460" ref="I232"/>
    <hyperlink r:id="rId461" ref="C233"/>
    <hyperlink r:id="rId462" ref="I233"/>
    <hyperlink r:id="rId463" ref="C234"/>
    <hyperlink r:id="rId464" ref="I234"/>
    <hyperlink r:id="rId465" ref="C235"/>
    <hyperlink r:id="rId466" ref="I235"/>
    <hyperlink r:id="rId467" ref="C236"/>
    <hyperlink r:id="rId468" ref="I236"/>
    <hyperlink r:id="rId469" ref="C237"/>
    <hyperlink r:id="rId470" ref="I237"/>
    <hyperlink r:id="rId471" ref="C238"/>
    <hyperlink r:id="rId472" ref="I238"/>
    <hyperlink r:id="rId473" ref="C239"/>
    <hyperlink r:id="rId474" ref="I239"/>
    <hyperlink r:id="rId475" ref="C240"/>
    <hyperlink r:id="rId476" ref="I240"/>
    <hyperlink r:id="rId477" ref="C241"/>
    <hyperlink r:id="rId478" ref="I241"/>
    <hyperlink r:id="rId479" ref="C242"/>
    <hyperlink r:id="rId480" ref="I242"/>
    <hyperlink r:id="rId481" ref="C243"/>
    <hyperlink r:id="rId482" ref="I243"/>
    <hyperlink r:id="rId483" ref="C244"/>
    <hyperlink r:id="rId484" ref="I244"/>
    <hyperlink r:id="rId485" ref="C245"/>
    <hyperlink r:id="rId486" ref="I245"/>
    <hyperlink r:id="rId487" ref="C246"/>
    <hyperlink r:id="rId488" ref="I246"/>
    <hyperlink r:id="rId489" ref="C247"/>
    <hyperlink r:id="rId490" ref="I247"/>
    <hyperlink r:id="rId491" ref="C248"/>
    <hyperlink r:id="rId492" ref="I248"/>
    <hyperlink r:id="rId493" ref="C249"/>
    <hyperlink r:id="rId494" ref="I249"/>
    <hyperlink r:id="rId495" ref="C250"/>
    <hyperlink r:id="rId496" ref="I250"/>
    <hyperlink r:id="rId497" ref="C251"/>
    <hyperlink r:id="rId498" ref="I251"/>
    <hyperlink r:id="rId499" ref="C252"/>
    <hyperlink r:id="rId500" ref="I252"/>
    <hyperlink r:id="rId501" ref="C253"/>
    <hyperlink r:id="rId502" ref="I253"/>
    <hyperlink r:id="rId503" ref="C254"/>
    <hyperlink r:id="rId504" ref="I254"/>
    <hyperlink r:id="rId505" ref="C255"/>
    <hyperlink r:id="rId506" ref="I255"/>
    <hyperlink r:id="rId507" ref="C256"/>
    <hyperlink r:id="rId508" ref="I256"/>
    <hyperlink r:id="rId509" ref="C257"/>
    <hyperlink r:id="rId510" ref="I257"/>
    <hyperlink r:id="rId511" ref="C258"/>
    <hyperlink r:id="rId512" ref="I258"/>
    <hyperlink r:id="rId513" ref="C259"/>
    <hyperlink r:id="rId514" ref="I259"/>
    <hyperlink r:id="rId515" ref="C260"/>
    <hyperlink r:id="rId516" ref="I260"/>
    <hyperlink r:id="rId517" ref="C261"/>
    <hyperlink r:id="rId518" ref="I261"/>
    <hyperlink r:id="rId519" ref="C262"/>
    <hyperlink r:id="rId520" ref="I262"/>
    <hyperlink r:id="rId521" ref="C263"/>
    <hyperlink r:id="rId522" ref="I263"/>
    <hyperlink r:id="rId523" ref="C264"/>
    <hyperlink r:id="rId524" ref="I264"/>
    <hyperlink r:id="rId525" ref="C265"/>
    <hyperlink r:id="rId526" ref="I265"/>
    <hyperlink r:id="rId527" ref="C266"/>
    <hyperlink r:id="rId528" ref="I266"/>
    <hyperlink r:id="rId529" ref="C267"/>
    <hyperlink r:id="rId530" ref="I267"/>
    <hyperlink r:id="rId531" ref="C268"/>
    <hyperlink r:id="rId532" ref="I268"/>
    <hyperlink r:id="rId533" ref="C269"/>
    <hyperlink r:id="rId534" ref="I269"/>
    <hyperlink r:id="rId535" ref="C270"/>
    <hyperlink r:id="rId536" ref="I270"/>
    <hyperlink r:id="rId537" ref="C271"/>
    <hyperlink r:id="rId538" ref="I271"/>
    <hyperlink r:id="rId539" ref="C272"/>
    <hyperlink r:id="rId540" ref="I272"/>
    <hyperlink r:id="rId541" ref="C273"/>
    <hyperlink r:id="rId542" ref="I273"/>
    <hyperlink r:id="rId543" ref="C274"/>
    <hyperlink r:id="rId544" ref="I274"/>
    <hyperlink r:id="rId545" ref="C275"/>
    <hyperlink r:id="rId546" ref="I275"/>
    <hyperlink r:id="rId547" ref="C276"/>
    <hyperlink r:id="rId548" ref="I276"/>
    <hyperlink r:id="rId549" ref="C277"/>
    <hyperlink r:id="rId550" ref="I277"/>
    <hyperlink r:id="rId551" ref="C278"/>
    <hyperlink r:id="rId552" ref="I278"/>
    <hyperlink r:id="rId553" ref="C279"/>
    <hyperlink r:id="rId554" ref="I279"/>
    <hyperlink r:id="rId555" ref="C280"/>
    <hyperlink r:id="rId556" ref="I280"/>
    <hyperlink r:id="rId557" ref="C281"/>
    <hyperlink r:id="rId558" ref="I281"/>
    <hyperlink r:id="rId559" ref="C282"/>
    <hyperlink r:id="rId560" ref="I282"/>
    <hyperlink r:id="rId561" ref="C283"/>
    <hyperlink r:id="rId562" ref="I283"/>
    <hyperlink r:id="rId563" ref="C284"/>
    <hyperlink r:id="rId564" ref="I284"/>
    <hyperlink r:id="rId565" ref="C285"/>
    <hyperlink r:id="rId566" ref="I285"/>
    <hyperlink r:id="rId567" ref="C286"/>
    <hyperlink r:id="rId568" ref="I286"/>
    <hyperlink r:id="rId569" ref="C287"/>
    <hyperlink r:id="rId570" ref="I287"/>
    <hyperlink r:id="rId571" ref="C288"/>
    <hyperlink r:id="rId572" ref="I288"/>
    <hyperlink r:id="rId573" ref="C289"/>
    <hyperlink r:id="rId574" ref="I289"/>
    <hyperlink r:id="rId575" ref="C290"/>
    <hyperlink r:id="rId576" ref="I290"/>
    <hyperlink r:id="rId577" ref="C291"/>
    <hyperlink r:id="rId578" ref="I291"/>
    <hyperlink r:id="rId579" ref="C292"/>
    <hyperlink r:id="rId580" ref="I292"/>
    <hyperlink r:id="rId581" ref="C293"/>
    <hyperlink r:id="rId582" ref="I293"/>
    <hyperlink r:id="rId583" ref="C294"/>
    <hyperlink r:id="rId584" ref="I294"/>
    <hyperlink r:id="rId585" ref="C295"/>
    <hyperlink r:id="rId586" ref="I295"/>
    <hyperlink r:id="rId587" ref="C296"/>
    <hyperlink r:id="rId588" ref="I296"/>
    <hyperlink r:id="rId589" ref="C297"/>
    <hyperlink r:id="rId590" ref="I297"/>
    <hyperlink r:id="rId591" ref="C298"/>
    <hyperlink r:id="rId592" ref="I298"/>
    <hyperlink r:id="rId593" ref="C299"/>
    <hyperlink r:id="rId594" ref="I299"/>
    <hyperlink r:id="rId595" ref="C300"/>
    <hyperlink r:id="rId596" ref="I300"/>
    <hyperlink r:id="rId597" ref="C301"/>
    <hyperlink r:id="rId598" ref="I301"/>
    <hyperlink r:id="rId599" ref="C302"/>
    <hyperlink r:id="rId600" ref="I302"/>
    <hyperlink r:id="rId601" ref="C303"/>
    <hyperlink r:id="rId602" ref="I303"/>
    <hyperlink r:id="rId603" ref="C304"/>
    <hyperlink r:id="rId604" ref="I304"/>
    <hyperlink r:id="rId605" ref="C305"/>
    <hyperlink r:id="rId606" ref="I305"/>
    <hyperlink r:id="rId607" ref="C306"/>
    <hyperlink r:id="rId608" ref="I306"/>
    <hyperlink r:id="rId609" ref="C307"/>
    <hyperlink r:id="rId610" ref="I307"/>
    <hyperlink r:id="rId611" ref="C308"/>
    <hyperlink r:id="rId612" ref="I308"/>
    <hyperlink r:id="rId613" ref="C309"/>
    <hyperlink r:id="rId614" ref="I309"/>
    <hyperlink r:id="rId615" ref="C310"/>
    <hyperlink r:id="rId616" ref="I310"/>
    <hyperlink r:id="rId617" ref="C311"/>
    <hyperlink r:id="rId618" ref="I311"/>
    <hyperlink r:id="rId619" ref="C312"/>
    <hyperlink r:id="rId620" ref="I312"/>
    <hyperlink r:id="rId621" ref="C313"/>
    <hyperlink r:id="rId622" ref="I313"/>
    <hyperlink r:id="rId623" ref="C314"/>
    <hyperlink r:id="rId624" ref="I314"/>
    <hyperlink r:id="rId625" ref="C315"/>
    <hyperlink r:id="rId626" ref="I315"/>
    <hyperlink r:id="rId627" ref="C316"/>
    <hyperlink r:id="rId628" ref="I316"/>
    <hyperlink r:id="rId629" ref="C317"/>
    <hyperlink r:id="rId630" ref="I317"/>
    <hyperlink r:id="rId631" ref="C318"/>
    <hyperlink r:id="rId632" ref="I318"/>
    <hyperlink r:id="rId633" ref="C319"/>
    <hyperlink r:id="rId634" ref="I319"/>
    <hyperlink r:id="rId635" ref="C320"/>
    <hyperlink r:id="rId636" ref="I320"/>
    <hyperlink r:id="rId637" ref="C321"/>
    <hyperlink r:id="rId638" ref="I321"/>
    <hyperlink r:id="rId639" ref="C322"/>
    <hyperlink r:id="rId640" ref="I322"/>
    <hyperlink r:id="rId641" ref="C323"/>
    <hyperlink r:id="rId642" ref="I323"/>
    <hyperlink r:id="rId643" ref="C324"/>
    <hyperlink r:id="rId644" ref="I324"/>
    <hyperlink r:id="rId645" ref="C325"/>
    <hyperlink r:id="rId646" ref="I325"/>
    <hyperlink r:id="rId647" ref="C326"/>
    <hyperlink r:id="rId648" ref="I326"/>
    <hyperlink r:id="rId649" ref="C327"/>
    <hyperlink r:id="rId650" ref="I327"/>
    <hyperlink r:id="rId651" ref="C328"/>
    <hyperlink r:id="rId652" ref="I328"/>
    <hyperlink r:id="rId653" ref="C329"/>
    <hyperlink r:id="rId654" ref="I329"/>
    <hyperlink r:id="rId655" ref="C330"/>
    <hyperlink r:id="rId656" ref="I330"/>
    <hyperlink r:id="rId657" ref="C331"/>
    <hyperlink r:id="rId658" ref="I331"/>
    <hyperlink r:id="rId659" ref="C332"/>
    <hyperlink r:id="rId660" ref="I332"/>
    <hyperlink r:id="rId661" ref="C333"/>
    <hyperlink r:id="rId662" ref="I333"/>
    <hyperlink r:id="rId663" ref="C334"/>
    <hyperlink r:id="rId664" ref="I334"/>
    <hyperlink r:id="rId665" ref="C335"/>
    <hyperlink r:id="rId666" ref="I335"/>
    <hyperlink r:id="rId667" ref="C336"/>
    <hyperlink r:id="rId668" ref="I336"/>
    <hyperlink r:id="rId669" ref="C337"/>
    <hyperlink r:id="rId670" ref="I337"/>
    <hyperlink r:id="rId671" ref="C338"/>
    <hyperlink r:id="rId672" ref="I338"/>
    <hyperlink r:id="rId673" ref="C339"/>
    <hyperlink r:id="rId674" ref="I339"/>
    <hyperlink r:id="rId675" ref="C340"/>
    <hyperlink r:id="rId676" ref="I340"/>
    <hyperlink r:id="rId677" ref="C341"/>
    <hyperlink r:id="rId678" ref="I341"/>
    <hyperlink r:id="rId679" ref="C342"/>
    <hyperlink r:id="rId680" ref="I342"/>
    <hyperlink r:id="rId681" ref="C343"/>
    <hyperlink r:id="rId682" ref="I343"/>
    <hyperlink r:id="rId683" ref="C344"/>
    <hyperlink r:id="rId684" ref="I344"/>
  </hyperlinks>
  <drawing r:id="rId68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0.88"/>
    <col customWidth="1" min="7" max="8" width="25.13"/>
    <col customWidth="1" min="10" max="10" width="61.38"/>
    <col customWidth="1" min="14" max="14" width="54.88"/>
    <col customWidth="1" min="16" max="16" width="6.38"/>
    <col customWidth="1" min="17" max="17" width="61.38"/>
  </cols>
  <sheetData>
    <row r="1" ht="75.0" customHeight="1">
      <c r="A1" s="272" t="s">
        <v>1811</v>
      </c>
      <c r="B1" s="273" t="str">
        <f t="array" ref="B1:B361">IMAGE(A1:A361)</f>
        <v/>
      </c>
      <c r="C1" s="274" t="s">
        <v>1812</v>
      </c>
      <c r="D1" s="274" t="s">
        <v>1812</v>
      </c>
      <c r="E1" s="273"/>
      <c r="F1" s="275"/>
      <c r="G1" s="273" t="s">
        <v>1813</v>
      </c>
      <c r="H1" s="273" t="str">
        <f t="shared" ref="H1:H355" si="1">D1</f>
        <v>Navy Infiltrator ~ Portgaz D. Ace</v>
      </c>
      <c r="I1" s="275"/>
      <c r="J1" s="274" t="s">
        <v>1814</v>
      </c>
      <c r="K1" s="273"/>
      <c r="L1" s="273"/>
      <c r="M1" s="273"/>
      <c r="N1" s="273" t="str">
        <f>IFERROR(__xludf.DUMMYFUNCTION("FILTER('Characters CSV'!D2:D1000, 'Characters CSV'!D2:D1000 &lt;&gt; """")"),"Baroque Works / Officer Agent ~ Mr. 5")</f>
        <v>Baroque Works / Officer Agent ~ Mr. 5</v>
      </c>
      <c r="O1" s="273">
        <f>IFERROR(__xludf.DUMMYFUNCTION("FILTER('Characters CSV'!B2:B1000, 'Characters CSV'!B2:B1000 &lt;&gt; """")"),343.0)</f>
        <v>343</v>
      </c>
      <c r="P1" s="275" t="str">
        <f t="shared" ref="P1:P341" si="2">IF(COUNTIF(C:C, N1) &gt; 0, , N1)</f>
        <v>Baroque Works / Officer Agent ~ Mr. 5</v>
      </c>
      <c r="Q1" s="273" t="str">
        <f>IFERROR(__xludf.DUMMYFUNCTION("FILTER(REGEXREPLACE(J1:J355, "" Art"", """"), NOT(REGEXMATCH(J1:J355, ""Art 2"")))"),"076 Navy Infiltrator - Portgaz D. Ace")</f>
        <v>076 Navy Infiltrator - Portgaz D. Ace</v>
      </c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</row>
    <row r="2" ht="75.0" customHeight="1">
      <c r="A2" s="272" t="s">
        <v>1815</v>
      </c>
      <c r="B2" s="273"/>
      <c r="C2" s="274" t="s">
        <v>1816</v>
      </c>
      <c r="D2" s="274" t="s">
        <v>1816</v>
      </c>
      <c r="E2" s="273"/>
      <c r="F2" s="275"/>
      <c r="G2" s="273" t="s">
        <v>1817</v>
      </c>
      <c r="H2" s="273" t="str">
        <f t="shared" si="1"/>
        <v>Fire Fist ~ Portgaz D. Ace</v>
      </c>
      <c r="I2" s="275"/>
      <c r="J2" s="274" t="s">
        <v>1818</v>
      </c>
      <c r="K2" s="273"/>
      <c r="L2" s="273"/>
      <c r="M2" s="273"/>
      <c r="N2" s="273" t="str">
        <f>IFERROR(__xludf.DUMMYFUNCTION("""COMPUTED_VALUE"""),"Baroque Works / Officer Agent ~ Ms. Valentine")</f>
        <v>Baroque Works / Officer Agent ~ Ms. Valentine</v>
      </c>
      <c r="O2" s="273">
        <f>IFERROR(__xludf.DUMMYFUNCTION("""COMPUTED_VALUE"""),342.0)</f>
        <v>342</v>
      </c>
      <c r="P2" s="275" t="str">
        <f t="shared" si="2"/>
        <v>Baroque Works / Officer Agent ~ Ms. Valentine</v>
      </c>
      <c r="Q2" s="273" t="str">
        <f>IFERROR(__xludf.DUMMYFUNCTION("""COMPUTED_VALUE"""),"149 Fire Fist - Portgaz D. Ace 1")</f>
        <v>149 Fire Fist - Portgaz D. Ace 1</v>
      </c>
      <c r="R2" s="273"/>
      <c r="S2" s="273"/>
      <c r="T2" s="273"/>
      <c r="U2" s="273"/>
      <c r="V2" s="273"/>
      <c r="W2" s="273"/>
      <c r="X2" s="273"/>
      <c r="Y2" s="273"/>
      <c r="Z2" s="273"/>
      <c r="AA2" s="273"/>
      <c r="AB2" s="273"/>
      <c r="AC2" s="273"/>
    </row>
    <row r="3" ht="75.0" customHeight="1">
      <c r="A3" s="272" t="s">
        <v>1819</v>
      </c>
      <c r="B3" s="273"/>
      <c r="C3" s="274" t="s">
        <v>1816</v>
      </c>
      <c r="D3" s="274" t="s">
        <v>1816</v>
      </c>
      <c r="E3" s="273"/>
      <c r="F3" s="275"/>
      <c r="G3" s="273" t="s">
        <v>1817</v>
      </c>
      <c r="H3" s="273" t="str">
        <f t="shared" si="1"/>
        <v>Fire Fist ~ Portgaz D. Ace</v>
      </c>
      <c r="I3" s="275"/>
      <c r="J3" s="274" t="s">
        <v>1820</v>
      </c>
      <c r="K3" s="273"/>
      <c r="L3" s="273"/>
      <c r="M3" s="273"/>
      <c r="N3" s="273" t="str">
        <f>IFERROR(__xludf.DUMMYFUNCTION("""COMPUTED_VALUE"""),"The Four Emperors ~ Marshall D. Teach")</f>
        <v>The Four Emperors ~ Marshall D. Teach</v>
      </c>
      <c r="O3" s="273">
        <f>IFERROR(__xludf.DUMMYFUNCTION("""COMPUTED_VALUE"""),341.0)</f>
        <v>341</v>
      </c>
      <c r="P3" s="275" t="str">
        <f t="shared" si="2"/>
        <v/>
      </c>
      <c r="Q3" s="273" t="str">
        <f>IFERROR(__xludf.DUMMYFUNCTION("""COMPUTED_VALUE"""),"149 Fire Fist - Portgaz D. Ace 2")</f>
        <v>149 Fire Fist - Portgaz D. Ace 2</v>
      </c>
      <c r="R3" s="273"/>
      <c r="S3" s="273"/>
      <c r="T3" s="273"/>
      <c r="U3" s="273"/>
      <c r="V3" s="273"/>
      <c r="W3" s="273"/>
      <c r="X3" s="273"/>
      <c r="Y3" s="273"/>
      <c r="Z3" s="273"/>
      <c r="AA3" s="273"/>
      <c r="AB3" s="273"/>
      <c r="AC3" s="273"/>
    </row>
    <row r="4" ht="75.0" customHeight="1">
      <c r="A4" s="272" t="s">
        <v>1821</v>
      </c>
      <c r="B4" s="273"/>
      <c r="C4" s="274" t="s">
        <v>1822</v>
      </c>
      <c r="D4" s="274" t="s">
        <v>1822</v>
      </c>
      <c r="E4" s="273"/>
      <c r="F4" s="275"/>
      <c r="G4" s="273" t="s">
        <v>1823</v>
      </c>
      <c r="H4" s="273" t="str">
        <f t="shared" si="1"/>
        <v>Whitebeard Pirates / 2nd Division Commander ~ Portgaz D. Ace</v>
      </c>
      <c r="I4" s="275"/>
      <c r="J4" s="274" t="s">
        <v>1824</v>
      </c>
      <c r="K4" s="273"/>
      <c r="L4" s="273"/>
      <c r="M4" s="273"/>
      <c r="N4" s="273" t="str">
        <f>IFERROR(__xludf.DUMMYFUNCTION("""COMPUTED_VALUE"""),"ASL ~ Ace &amp; Sabo &amp; Luffy")</f>
        <v>ASL ~ Ace &amp; Sabo &amp; Luffy</v>
      </c>
      <c r="O4" s="273">
        <f>IFERROR(__xludf.DUMMYFUNCTION("""COMPUTED_VALUE"""),340.0)</f>
        <v>340</v>
      </c>
      <c r="P4" s="275" t="str">
        <f t="shared" si="2"/>
        <v/>
      </c>
      <c r="Q4" s="273" t="str">
        <f>IFERROR(__xludf.DUMMYFUNCTION("""COMPUTED_VALUE"""),"048 Whitebeard Pirates / 2nd Division Commander - Portgaz D. Ace")</f>
        <v>048 Whitebeard Pirates / 2nd Division Commander - Portgaz D. Ace</v>
      </c>
      <c r="R4" s="273"/>
      <c r="S4" s="273"/>
      <c r="T4" s="273"/>
      <c r="U4" s="273"/>
      <c r="V4" s="273"/>
      <c r="W4" s="273"/>
      <c r="X4" s="273"/>
      <c r="Y4" s="273"/>
      <c r="Z4" s="273"/>
      <c r="AA4" s="273"/>
      <c r="AB4" s="273"/>
      <c r="AC4" s="273"/>
    </row>
    <row r="5" ht="75.0" customHeight="1">
      <c r="A5" s="272" t="s">
        <v>1825</v>
      </c>
      <c r="B5" s="273"/>
      <c r="C5" s="274" t="s">
        <v>1826</v>
      </c>
      <c r="D5" s="274" t="s">
        <v>1826</v>
      </c>
      <c r="E5" s="273"/>
      <c r="F5" s="275"/>
      <c r="G5" s="273" t="s">
        <v>1827</v>
      </c>
      <c r="H5" s="273" t="str">
        <f t="shared" si="1"/>
        <v>Son of the King of the Pirates ~ Portgaz D. Ace</v>
      </c>
      <c r="I5" s="275"/>
      <c r="J5" s="274" t="s">
        <v>1828</v>
      </c>
      <c r="K5" s="273"/>
      <c r="L5" s="273"/>
      <c r="M5" s="273"/>
      <c r="N5" s="273" t="str">
        <f>IFERROR(__xludf.DUMMYFUNCTION("""COMPUTED_VALUE"""),"Winner Island ~ Trafalgar Law")</f>
        <v>Winner Island ~ Trafalgar Law</v>
      </c>
      <c r="O5" s="273">
        <f>IFERROR(__xludf.DUMMYFUNCTION("""COMPUTED_VALUE"""),339.0)</f>
        <v>339</v>
      </c>
      <c r="P5" s="275" t="str">
        <f t="shared" si="2"/>
        <v/>
      </c>
      <c r="Q5" s="273" t="str">
        <f>IFERROR(__xludf.DUMMYFUNCTION("""COMPUTED_VALUE"""),"100 Son of the King of the Pirates - Portgaz D. Ace")</f>
        <v>100 Son of the King of the Pirates - Portgaz D. Ace</v>
      </c>
      <c r="R5" s="273"/>
      <c r="S5" s="273"/>
      <c r="T5" s="273"/>
      <c r="U5" s="273"/>
      <c r="V5" s="273"/>
      <c r="W5" s="273"/>
      <c r="X5" s="273"/>
      <c r="Y5" s="273"/>
      <c r="Z5" s="273"/>
      <c r="AA5" s="273"/>
      <c r="AB5" s="273"/>
      <c r="AC5" s="273"/>
    </row>
    <row r="6" ht="75.0" customHeight="1">
      <c r="A6" s="272" t="s">
        <v>1829</v>
      </c>
      <c r="B6" s="273"/>
      <c r="C6" s="274" t="s">
        <v>1830</v>
      </c>
      <c r="D6" s="274" t="s">
        <v>1830</v>
      </c>
      <c r="E6" s="273"/>
      <c r="F6" s="275"/>
      <c r="G6" s="273" t="s">
        <v>1831</v>
      </c>
      <c r="H6" s="273" t="str">
        <f t="shared" si="1"/>
        <v>ASL ~ Ace &amp; Sabo &amp; Luffy</v>
      </c>
      <c r="I6" s="275"/>
      <c r="J6" s="274" t="s">
        <v>1832</v>
      </c>
      <c r="K6" s="273"/>
      <c r="L6" s="273"/>
      <c r="M6" s="273"/>
      <c r="N6" s="273" t="str">
        <f>IFERROR(__xludf.DUMMYFUNCTION("""COMPUTED_VALUE"""),"Winner Island ~ Bepo")</f>
        <v>Winner Island ~ Bepo</v>
      </c>
      <c r="O6" s="273">
        <f>IFERROR(__xludf.DUMMYFUNCTION("""COMPUTED_VALUE"""),338.0)</f>
        <v>338</v>
      </c>
      <c r="P6" s="275" t="str">
        <f t="shared" si="2"/>
        <v/>
      </c>
      <c r="Q6" s="273" t="str">
        <f>IFERROR(__xludf.DUMMYFUNCTION("""COMPUTED_VALUE"""),"340 ASL - Ace &amp; Sabo &amp; Luffy")</f>
        <v>340 ASL - Ace &amp; Sabo &amp; Luffy</v>
      </c>
      <c r="R6" s="273"/>
      <c r="S6" s="273"/>
      <c r="T6" s="273"/>
      <c r="U6" s="273"/>
      <c r="V6" s="273"/>
      <c r="W6" s="273"/>
      <c r="X6" s="273"/>
      <c r="Y6" s="273"/>
      <c r="Z6" s="273"/>
      <c r="AA6" s="273"/>
      <c r="AB6" s="273"/>
      <c r="AC6" s="273"/>
    </row>
    <row r="7" ht="75.0" customHeight="1">
      <c r="A7" s="272" t="s">
        <v>1833</v>
      </c>
      <c r="B7" s="273"/>
      <c r="C7" s="274" t="s">
        <v>1834</v>
      </c>
      <c r="D7" s="274" t="s">
        <v>1834</v>
      </c>
      <c r="E7" s="273"/>
      <c r="F7" s="275"/>
      <c r="G7" s="273" t="s">
        <v>1835</v>
      </c>
      <c r="H7" s="273" t="str">
        <f t="shared" si="1"/>
        <v>Fire Fist Ogre Princess ~ Ace &amp; Yamato</v>
      </c>
      <c r="I7" s="275"/>
      <c r="J7" s="274" t="s">
        <v>1836</v>
      </c>
      <c r="K7" s="273"/>
      <c r="L7" s="273"/>
      <c r="M7" s="273"/>
      <c r="N7" s="273" t="str">
        <f>IFERROR(__xludf.DUMMYFUNCTION("""COMPUTED_VALUE"""),"Genius Scientist ~ Vegapunk")</f>
        <v>Genius Scientist ~ Vegapunk</v>
      </c>
      <c r="O7" s="273">
        <f>IFERROR(__xludf.DUMMYFUNCTION("""COMPUTED_VALUE"""),337.0)</f>
        <v>337</v>
      </c>
      <c r="P7" s="275" t="str">
        <f t="shared" si="2"/>
        <v/>
      </c>
      <c r="Q7" s="273" t="str">
        <f>IFERROR(__xludf.DUMMYFUNCTION("""COMPUTED_VALUE"""),"275 Fire Fist Ogre Princess - Ace &amp; Yamato 2 1")</f>
        <v>275 Fire Fist Ogre Princess - Ace &amp; Yamato 2 1</v>
      </c>
      <c r="R7" s="273"/>
      <c r="S7" s="273"/>
      <c r="T7" s="273"/>
      <c r="U7" s="273"/>
      <c r="V7" s="273"/>
      <c r="W7" s="273"/>
      <c r="X7" s="273"/>
      <c r="Y7" s="273"/>
      <c r="Z7" s="273"/>
      <c r="AA7" s="273"/>
      <c r="AB7" s="273"/>
      <c r="AC7" s="273"/>
    </row>
    <row r="8" ht="75.0" customHeight="1">
      <c r="A8" s="272" t="s">
        <v>1837</v>
      </c>
      <c r="B8" s="273"/>
      <c r="C8" s="274" t="s">
        <v>1834</v>
      </c>
      <c r="D8" s="274" t="s">
        <v>1834</v>
      </c>
      <c r="E8" s="273"/>
      <c r="F8" s="275"/>
      <c r="G8" s="273" t="s">
        <v>1835</v>
      </c>
      <c r="H8" s="273" t="str">
        <f t="shared" si="1"/>
        <v>Fire Fist Ogre Princess ~ Ace &amp; Yamato</v>
      </c>
      <c r="I8" s="275"/>
      <c r="J8" s="274" t="s">
        <v>1838</v>
      </c>
      <c r="K8" s="273"/>
      <c r="L8" s="273"/>
      <c r="M8" s="273"/>
      <c r="N8" s="273" t="str">
        <f>IFERROR(__xludf.DUMMYFUNCTION("""COMPUTED_VALUE"""),"Father and Daughter ~ Kuma &amp; Bonney")</f>
        <v>Father and Daughter ~ Kuma &amp; Bonney</v>
      </c>
      <c r="O8" s="273">
        <f>IFERROR(__xludf.DUMMYFUNCTION("""COMPUTED_VALUE"""),336.0)</f>
        <v>336</v>
      </c>
      <c r="P8" s="275" t="str">
        <f t="shared" si="2"/>
        <v/>
      </c>
      <c r="Q8" s="273" t="str">
        <f>IFERROR(__xludf.DUMMYFUNCTION("""COMPUTED_VALUE"""),"275 Fire Fist Ogre Princess - Ace &amp; Yamato 2 2")</f>
        <v>275 Fire Fist Ogre Princess - Ace &amp; Yamato 2 2</v>
      </c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3"/>
      <c r="AC8" s="273"/>
    </row>
    <row r="9" ht="75.0" customHeight="1">
      <c r="A9" s="272" t="s">
        <v>1839</v>
      </c>
      <c r="B9" s="273"/>
      <c r="C9" s="274" t="s">
        <v>1834</v>
      </c>
      <c r="D9" s="274" t="s">
        <v>1834</v>
      </c>
      <c r="E9" s="273"/>
      <c r="F9" s="275"/>
      <c r="G9" s="273" t="s">
        <v>1835</v>
      </c>
      <c r="H9" s="273" t="str">
        <f t="shared" si="1"/>
        <v>Fire Fist Ogre Princess ~ Ace &amp; Yamato</v>
      </c>
      <c r="I9" s="275"/>
      <c r="J9" s="274" t="s">
        <v>1840</v>
      </c>
      <c r="K9" s="273"/>
      <c r="L9" s="273"/>
      <c r="M9" s="273"/>
      <c r="N9" s="273" t="str">
        <f>IFERROR(__xludf.DUMMYFUNCTION("""COMPUTED_VALUE"""),"Egghead ~ Jinbe")</f>
        <v>Egghead ~ Jinbe</v>
      </c>
      <c r="O9" s="273">
        <f>IFERROR(__xludf.DUMMYFUNCTION("""COMPUTED_VALUE"""),335.0)</f>
        <v>335</v>
      </c>
      <c r="P9" s="275" t="str">
        <f t="shared" si="2"/>
        <v/>
      </c>
      <c r="Q9" s="273" t="str">
        <f>IFERROR(__xludf.DUMMYFUNCTION("""COMPUTED_VALUE"""),"275 Fire Fist Ogre Princess - Ace &amp; Yamato 1")</f>
        <v>275 Fire Fist Ogre Princess - Ace &amp; Yamato 1</v>
      </c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3"/>
      <c r="AC9" s="273"/>
    </row>
    <row r="10" ht="75.0" customHeight="1">
      <c r="A10" s="272" t="s">
        <v>1841</v>
      </c>
      <c r="B10" s="273"/>
      <c r="C10" s="274" t="s">
        <v>1842</v>
      </c>
      <c r="D10" s="274" t="s">
        <v>1842</v>
      </c>
      <c r="E10" s="273"/>
      <c r="F10" s="275"/>
      <c r="G10" s="273" t="s">
        <v>1843</v>
      </c>
      <c r="H10" s="273" t="str">
        <f t="shared" si="1"/>
        <v>ODYSSEY ~ Adio Suerte</v>
      </c>
      <c r="I10" s="275"/>
      <c r="J10" s="274" t="s">
        <v>1844</v>
      </c>
      <c r="K10" s="273"/>
      <c r="L10" s="273"/>
      <c r="M10" s="273"/>
      <c r="N10" s="273" t="str">
        <f>IFERROR(__xludf.DUMMYFUNCTION("""COMPUTED_VALUE"""),"Egghead ~ Franky")</f>
        <v>Egghead ~ Franky</v>
      </c>
      <c r="O10" s="273">
        <f>IFERROR(__xludf.DUMMYFUNCTION("""COMPUTED_VALUE"""),334.0)</f>
        <v>334</v>
      </c>
      <c r="P10" s="275" t="str">
        <f t="shared" si="2"/>
        <v/>
      </c>
      <c r="Q10" s="273" t="str">
        <f>IFERROR(__xludf.DUMMYFUNCTION("""COMPUTED_VALUE"""),"232 ODYSSEY - Adio Suerte")</f>
        <v>232 ODYSSEY - Adio Suerte</v>
      </c>
      <c r="R10" s="273"/>
      <c r="S10" s="273"/>
      <c r="T10" s="273"/>
      <c r="U10" s="273"/>
      <c r="V10" s="273"/>
      <c r="W10" s="273"/>
      <c r="X10" s="273"/>
      <c r="Y10" s="273"/>
      <c r="Z10" s="273"/>
      <c r="AA10" s="273"/>
      <c r="AB10" s="273"/>
      <c r="AC10" s="273"/>
    </row>
    <row r="11" ht="75.0" customHeight="1">
      <c r="A11" s="272" t="s">
        <v>1845</v>
      </c>
      <c r="B11" s="273"/>
      <c r="C11" s="274" t="s">
        <v>1846</v>
      </c>
      <c r="D11" s="274" t="s">
        <v>1846</v>
      </c>
      <c r="E11" s="273"/>
      <c r="F11" s="275"/>
      <c r="G11" s="273" t="s">
        <v>1847</v>
      </c>
      <c r="H11" s="273" t="str">
        <f t="shared" si="1"/>
        <v>Navy HQ / Fleet Admiral Akainu ~ [Sakazuki]</v>
      </c>
      <c r="I11" s="275"/>
      <c r="J11" s="274" t="s">
        <v>1848</v>
      </c>
      <c r="K11" s="273"/>
      <c r="L11" s="273"/>
      <c r="M11" s="273"/>
      <c r="N11" s="273" t="str">
        <f>IFERROR(__xludf.DUMMYFUNCTION("""COMPUTED_VALUE"""),"The Five Elders ~ St. Jaygarcia Saturn")</f>
        <v>The Five Elders ~ St. Jaygarcia Saturn</v>
      </c>
      <c r="O11" s="273">
        <f>IFERROR(__xludf.DUMMYFUNCTION("""COMPUTED_VALUE"""),333.0)</f>
        <v>333</v>
      </c>
      <c r="P11" s="275" t="str">
        <f t="shared" si="2"/>
        <v/>
      </c>
      <c r="Q11" s="273" t="str">
        <f>IFERROR(__xludf.DUMMYFUNCTION("""COMPUTED_VALUE"""),"178 Navy HQ / Fleet Admiral Akainu - [Sakazuki]")</f>
        <v>178 Navy HQ / Fleet Admiral Akainu - [Sakazuki]</v>
      </c>
      <c r="R11" s="273"/>
      <c r="S11" s="273"/>
      <c r="T11" s="273"/>
      <c r="U11" s="273"/>
      <c r="V11" s="273"/>
      <c r="W11" s="273"/>
      <c r="X11" s="273"/>
      <c r="Y11" s="273"/>
      <c r="Z11" s="273"/>
      <c r="AA11" s="273"/>
      <c r="AB11" s="273"/>
      <c r="AC11" s="273"/>
    </row>
    <row r="12" ht="75.0" customHeight="1">
      <c r="A12" s="272" t="s">
        <v>1849</v>
      </c>
      <c r="B12" s="273"/>
      <c r="C12" s="274" t="s">
        <v>1850</v>
      </c>
      <c r="D12" s="274" t="s">
        <v>1850</v>
      </c>
      <c r="E12" s="273"/>
      <c r="F12" s="275"/>
      <c r="G12" s="273" t="s">
        <v>1851</v>
      </c>
      <c r="H12" s="273" t="str">
        <f t="shared" si="1"/>
        <v>Navy HQ / Admiral Akainu ~ [Sakazuki]</v>
      </c>
      <c r="I12" s="275"/>
      <c r="J12" s="274" t="s">
        <v>1852</v>
      </c>
      <c r="K12" s="273"/>
      <c r="L12" s="273"/>
      <c r="M12" s="273"/>
      <c r="N12" s="273" t="str">
        <f>IFERROR(__xludf.DUMMYFUNCTION("""COMPUTED_VALUE"""),"Egghead ~ Nico Robin")</f>
        <v>Egghead ~ Nico Robin</v>
      </c>
      <c r="O12" s="273">
        <f>IFERROR(__xludf.DUMMYFUNCTION("""COMPUTED_VALUE"""),332.0)</f>
        <v>332</v>
      </c>
      <c r="P12" s="275" t="str">
        <f t="shared" si="2"/>
        <v/>
      </c>
      <c r="Q12" s="273" t="str">
        <f>IFERROR(__xludf.DUMMYFUNCTION("""COMPUTED_VALUE"""),"049 Navy HQ / Admiral Akainu - [Sakazuki]")</f>
        <v>049 Navy HQ / Admiral Akainu - [Sakazuki]</v>
      </c>
      <c r="R12" s="273"/>
      <c r="S12" s="273"/>
      <c r="T12" s="273"/>
      <c r="U12" s="273"/>
      <c r="V12" s="273"/>
      <c r="W12" s="273"/>
      <c r="X12" s="273"/>
      <c r="Y12" s="273"/>
      <c r="Z12" s="273"/>
      <c r="AA12" s="273"/>
      <c r="AB12" s="273"/>
      <c r="AC12" s="273"/>
    </row>
    <row r="13" ht="75.0" customHeight="1">
      <c r="A13" s="272" t="s">
        <v>1853</v>
      </c>
      <c r="B13" s="273"/>
      <c r="C13" s="274" t="s">
        <v>1854</v>
      </c>
      <c r="D13" s="274" t="s">
        <v>1854</v>
      </c>
      <c r="E13" s="273"/>
      <c r="F13" s="275"/>
      <c r="G13" s="273" t="s">
        <v>1855</v>
      </c>
      <c r="H13" s="273" t="str">
        <f t="shared" si="1"/>
        <v>Alvida Pirates / Captain ~ Alvida</v>
      </c>
      <c r="I13" s="275"/>
      <c r="J13" s="274" t="s">
        <v>1856</v>
      </c>
      <c r="K13" s="273"/>
      <c r="L13" s="273"/>
      <c r="M13" s="273"/>
      <c r="N13" s="273" t="str">
        <f>IFERROR(__xludf.DUMMYFUNCTION("""COMPUTED_VALUE"""),"Egghead ~ Tony Tony Chopper")</f>
        <v>Egghead ~ Tony Tony Chopper</v>
      </c>
      <c r="O13" s="273">
        <f>IFERROR(__xludf.DUMMYFUNCTION("""COMPUTED_VALUE"""),331.0)</f>
        <v>331</v>
      </c>
      <c r="P13" s="275" t="str">
        <f t="shared" si="2"/>
        <v/>
      </c>
      <c r="Q13" s="273" t="str">
        <f>IFERROR(__xludf.DUMMYFUNCTION("""COMPUTED_VALUE"""),"012 Alvida Pirates / Captain - Alvida")</f>
        <v>012 Alvida Pirates / Captain - Alvida</v>
      </c>
      <c r="R13" s="273"/>
      <c r="S13" s="273"/>
      <c r="T13" s="273"/>
      <c r="U13" s="273"/>
      <c r="V13" s="273"/>
      <c r="W13" s="273"/>
      <c r="X13" s="273"/>
      <c r="Y13" s="273"/>
      <c r="Z13" s="273"/>
      <c r="AA13" s="273"/>
      <c r="AB13" s="273"/>
      <c r="AC13" s="273"/>
    </row>
    <row r="14" ht="75.0" customHeight="1">
      <c r="A14" s="272" t="s">
        <v>1857</v>
      </c>
      <c r="B14" s="273"/>
      <c r="C14" s="274" t="s">
        <v>1858</v>
      </c>
      <c r="D14" s="274" t="s">
        <v>1858</v>
      </c>
      <c r="E14" s="273"/>
      <c r="F14" s="275"/>
      <c r="G14" s="273" t="s">
        <v>1859</v>
      </c>
      <c r="H14" s="273" t="str">
        <f t="shared" si="1"/>
        <v>Slip-Slip Fruit ~ Alvida</v>
      </c>
      <c r="I14" s="275"/>
      <c r="J14" s="274" t="s">
        <v>1860</v>
      </c>
      <c r="K14" s="273"/>
      <c r="L14" s="273"/>
      <c r="M14" s="273"/>
      <c r="N14" s="273" t="str">
        <f>IFERROR(__xludf.DUMMYFUNCTION("""COMPUTED_VALUE"""),"Egghead ~ Brook")</f>
        <v>Egghead ~ Brook</v>
      </c>
      <c r="O14" s="273">
        <f>IFERROR(__xludf.DUMMYFUNCTION("""COMPUTED_VALUE"""),330.0)</f>
        <v>330</v>
      </c>
      <c r="P14" s="275" t="str">
        <f t="shared" si="2"/>
        <v/>
      </c>
      <c r="Q14" s="273" t="str">
        <f>IFERROR(__xludf.DUMMYFUNCTION("""COMPUTED_VALUE"""),"029 Slip-Slip Fruit - Alvida")</f>
        <v>029 Slip-Slip Fruit - Alvida</v>
      </c>
      <c r="R14" s="273"/>
      <c r="S14" s="273"/>
      <c r="T14" s="273"/>
      <c r="U14" s="273"/>
      <c r="V14" s="273"/>
      <c r="W14" s="273"/>
      <c r="X14" s="273"/>
      <c r="Y14" s="273"/>
      <c r="Z14" s="273"/>
      <c r="AA14" s="273"/>
      <c r="AB14" s="273"/>
      <c r="AC14" s="273"/>
    </row>
    <row r="15" ht="75.0" customHeight="1">
      <c r="A15" s="272" t="s">
        <v>1861</v>
      </c>
      <c r="B15" s="273"/>
      <c r="C15" s="274" t="s">
        <v>1862</v>
      </c>
      <c r="D15" s="274" t="s">
        <v>1862</v>
      </c>
      <c r="E15" s="273"/>
      <c r="F15" s="275"/>
      <c r="G15" s="273" t="s">
        <v>1863</v>
      </c>
      <c r="H15" s="273" t="str">
        <f t="shared" si="1"/>
        <v>Former Navy Admiral ~ Kuzan</v>
      </c>
      <c r="I15" s="275"/>
      <c r="J15" s="274" t="s">
        <v>1864</v>
      </c>
      <c r="K15" s="273"/>
      <c r="L15" s="273"/>
      <c r="M15" s="273"/>
      <c r="N15" s="273" t="str">
        <f>IFERROR(__xludf.DUMMYFUNCTION("""COMPUTED_VALUE"""),"The Four Emperors ~ Monkey D. Luffy")</f>
        <v>The Four Emperors ~ Monkey D. Luffy</v>
      </c>
      <c r="O15" s="273">
        <f>IFERROR(__xludf.DUMMYFUNCTION("""COMPUTED_VALUE"""),329.0)</f>
        <v>329</v>
      </c>
      <c r="P15" s="275" t="str">
        <f t="shared" si="2"/>
        <v/>
      </c>
      <c r="Q15" s="273" t="str">
        <f>IFERROR(__xludf.DUMMYFUNCTION("""COMPUTED_VALUE"""),"144 Former Navy Admiral - Kuzan")</f>
        <v>144 Former Navy Admiral - Kuzan</v>
      </c>
      <c r="R15" s="273"/>
      <c r="S15" s="273"/>
      <c r="T15" s="273"/>
      <c r="U15" s="273"/>
      <c r="V15" s="273"/>
      <c r="W15" s="273"/>
      <c r="X15" s="273"/>
      <c r="Y15" s="273"/>
      <c r="Z15" s="273"/>
      <c r="AA15" s="273"/>
      <c r="AB15" s="273"/>
      <c r="AC15" s="273"/>
    </row>
    <row r="16" ht="75.0" customHeight="1">
      <c r="A16" s="272" t="s">
        <v>1865</v>
      </c>
      <c r="B16" s="273"/>
      <c r="C16" s="274" t="s">
        <v>1866</v>
      </c>
      <c r="D16" s="274" t="s">
        <v>1866</v>
      </c>
      <c r="E16" s="273"/>
      <c r="F16" s="275"/>
      <c r="G16" s="273" t="s">
        <v>1867</v>
      </c>
      <c r="H16" s="273" t="str">
        <f t="shared" si="1"/>
        <v>Blackbeard Pirates ~ Kuzan</v>
      </c>
      <c r="I16" s="275"/>
      <c r="J16" s="274" t="s">
        <v>1868</v>
      </c>
      <c r="K16" s="273"/>
      <c r="L16" s="273"/>
      <c r="M16" s="273"/>
      <c r="N16" s="273" t="str">
        <f>IFERROR(__xludf.DUMMYFUNCTION("""COMPUTED_VALUE"""),"Egghead ~ Usopp")</f>
        <v>Egghead ~ Usopp</v>
      </c>
      <c r="O16" s="273">
        <f>IFERROR(__xludf.DUMMYFUNCTION("""COMPUTED_VALUE"""),328.0)</f>
        <v>328</v>
      </c>
      <c r="P16" s="275" t="str">
        <f t="shared" si="2"/>
        <v/>
      </c>
      <c r="Q16" s="273" t="str">
        <f>IFERROR(__xludf.DUMMYFUNCTION("""COMPUTED_VALUE"""),"310 Blackbeard Pirates - Kuzan")</f>
        <v>310 Blackbeard Pirates - Kuzan</v>
      </c>
      <c r="R16" s="273"/>
      <c r="S16" s="273"/>
      <c r="T16" s="273"/>
      <c r="U16" s="273"/>
      <c r="V16" s="273"/>
      <c r="W16" s="273"/>
      <c r="X16" s="273"/>
      <c r="Y16" s="273"/>
      <c r="Z16" s="273"/>
      <c r="AA16" s="273"/>
      <c r="AB16" s="273"/>
      <c r="AC16" s="273"/>
    </row>
    <row r="17" ht="75.0" customHeight="1">
      <c r="A17" s="272" t="s">
        <v>1869</v>
      </c>
      <c r="B17" s="273"/>
      <c r="C17" s="274" t="s">
        <v>1870</v>
      </c>
      <c r="D17" s="274" t="s">
        <v>1870</v>
      </c>
      <c r="E17" s="273"/>
      <c r="F17" s="275"/>
      <c r="G17" s="273" t="s">
        <v>1871</v>
      </c>
      <c r="H17" s="273" t="str">
        <f t="shared" si="1"/>
        <v>Navy HQ / Admiral Aokiji ~ [Kuzan]</v>
      </c>
      <c r="I17" s="275"/>
      <c r="J17" s="274" t="s">
        <v>1872</v>
      </c>
      <c r="K17" s="273"/>
      <c r="L17" s="273"/>
      <c r="M17" s="273"/>
      <c r="N17" s="273" t="str">
        <f>IFERROR(__xludf.DUMMYFUNCTION("""COMPUTED_VALUE"""),"Egghead ~ Nami")</f>
        <v>Egghead ~ Nami</v>
      </c>
      <c r="O17" s="273">
        <f>IFERROR(__xludf.DUMMYFUNCTION("""COMPUTED_VALUE"""),327.0)</f>
        <v>327</v>
      </c>
      <c r="P17" s="275" t="str">
        <f t="shared" si="2"/>
        <v/>
      </c>
      <c r="Q17" s="273" t="str">
        <f>IFERROR(__xludf.DUMMYFUNCTION("""COMPUTED_VALUE"""),"050 Navy HQ / Admiral Aokiji - [Kuzan]")</f>
        <v>050 Navy HQ / Admiral Aokiji - [Kuzan]</v>
      </c>
      <c r="R17" s="273"/>
      <c r="S17" s="273"/>
      <c r="T17" s="273"/>
      <c r="U17" s="273"/>
      <c r="V17" s="273"/>
      <c r="W17" s="273"/>
      <c r="X17" s="273"/>
      <c r="Y17" s="273"/>
      <c r="Z17" s="273"/>
      <c r="AA17" s="273"/>
      <c r="AB17" s="273"/>
      <c r="AC17" s="273"/>
    </row>
    <row r="18" ht="75.0" customHeight="1">
      <c r="A18" s="272" t="s">
        <v>1873</v>
      </c>
      <c r="B18" s="273"/>
      <c r="C18" s="274" t="s">
        <v>1874</v>
      </c>
      <c r="D18" s="274" t="s">
        <v>1874</v>
      </c>
      <c r="E18" s="273"/>
      <c r="F18" s="275"/>
      <c r="G18" s="273" t="s">
        <v>1875</v>
      </c>
      <c r="H18" s="273" t="str">
        <f t="shared" si="1"/>
        <v>On-Air Pirates / Captain ~ Scratchmen Apoo</v>
      </c>
      <c r="I18" s="275"/>
      <c r="J18" s="274" t="s">
        <v>1876</v>
      </c>
      <c r="K18" s="273"/>
      <c r="L18" s="273"/>
      <c r="M18" s="273"/>
      <c r="N18" s="273" t="str">
        <f>IFERROR(__xludf.DUMMYFUNCTION("""COMPUTED_VALUE"""),"Blind Swordsman Fujitora ~ [Issho]")</f>
        <v>Blind Swordsman Fujitora ~ [Issho]</v>
      </c>
      <c r="O18" s="273">
        <f>IFERROR(__xludf.DUMMYFUNCTION("""COMPUTED_VALUE"""),326.0)</f>
        <v>326</v>
      </c>
      <c r="P18" s="275" t="str">
        <f t="shared" si="2"/>
        <v/>
      </c>
      <c r="Q18" s="273" t="str">
        <f>IFERROR(__xludf.DUMMYFUNCTION("""COMPUTED_VALUE"""),"123 On-Air Pirates / Captain - Scratchmen Apoo")</f>
        <v>123 On-Air Pirates / Captain - Scratchmen Apoo</v>
      </c>
      <c r="R18" s="273"/>
      <c r="S18" s="273"/>
      <c r="T18" s="273"/>
      <c r="U18" s="273"/>
      <c r="V18" s="273"/>
      <c r="W18" s="273"/>
      <c r="X18" s="273"/>
      <c r="Y18" s="273"/>
      <c r="Z18" s="273"/>
      <c r="AA18" s="273"/>
      <c r="AB18" s="273"/>
      <c r="AC18" s="273"/>
    </row>
    <row r="19" ht="75.0" customHeight="1">
      <c r="A19" s="272" t="s">
        <v>1877</v>
      </c>
      <c r="B19" s="273"/>
      <c r="C19" s="274" t="s">
        <v>1878</v>
      </c>
      <c r="D19" s="274" t="s">
        <v>1878</v>
      </c>
      <c r="E19" s="273"/>
      <c r="F19" s="275"/>
      <c r="G19" s="273" t="s">
        <v>1879</v>
      </c>
      <c r="H19" s="273" t="str">
        <f t="shared" si="1"/>
        <v>Arlong Pirates / Captain ~ Arlong</v>
      </c>
      <c r="I19" s="275"/>
      <c r="J19" s="274" t="s">
        <v>1880</v>
      </c>
      <c r="K19" s="273"/>
      <c r="L19" s="273"/>
      <c r="M19" s="273"/>
      <c r="N19" s="273" t="str">
        <f>IFERROR(__xludf.DUMMYFUNCTION("""COMPUTED_VALUE"""),"Groves of Wrath Ryokugyu ~ [Aramaki]")</f>
        <v>Groves of Wrath Ryokugyu ~ [Aramaki]</v>
      </c>
      <c r="O19" s="273">
        <f>IFERROR(__xludf.DUMMYFUNCTION("""COMPUTED_VALUE"""),325.0)</f>
        <v>325</v>
      </c>
      <c r="P19" s="275" t="str">
        <f t="shared" si="2"/>
        <v/>
      </c>
      <c r="Q19" s="273" t="str">
        <f>IFERROR(__xludf.DUMMYFUNCTION("""COMPUTED_VALUE"""),"039 Arlong Pirates / Captain - Arlong")</f>
        <v>039 Arlong Pirates / Captain - Arlong</v>
      </c>
      <c r="R19" s="273"/>
      <c r="S19" s="273"/>
      <c r="T19" s="273"/>
      <c r="U19" s="273"/>
      <c r="V19" s="273"/>
      <c r="W19" s="273"/>
      <c r="X19" s="273"/>
      <c r="Y19" s="273"/>
      <c r="Z19" s="273"/>
      <c r="AA19" s="273"/>
      <c r="AB19" s="273"/>
      <c r="AC19" s="273"/>
    </row>
    <row r="20" ht="75.0" customHeight="1">
      <c r="A20" s="272" t="s">
        <v>1881</v>
      </c>
      <c r="B20" s="273"/>
      <c r="C20" s="274" t="s">
        <v>1882</v>
      </c>
      <c r="D20" s="274" t="s">
        <v>1882</v>
      </c>
      <c r="E20" s="273"/>
      <c r="F20" s="275"/>
      <c r="G20" s="273" t="s">
        <v>1883</v>
      </c>
      <c r="H20" s="273" t="str">
        <f t="shared" si="1"/>
        <v>Kozuki Clan / Servant ~ Ashura Doji</v>
      </c>
      <c r="I20" s="275"/>
      <c r="J20" s="274" t="s">
        <v>1884</v>
      </c>
      <c r="K20" s="273"/>
      <c r="L20" s="273"/>
      <c r="M20" s="273"/>
      <c r="N20" s="273" t="str">
        <f>IFERROR(__xludf.DUMMYFUNCTION("""COMPUTED_VALUE"""),"Ama no Murakumo Sword Kizaru ~ [Borsalino]")</f>
        <v>Ama no Murakumo Sword Kizaru ~ [Borsalino]</v>
      </c>
      <c r="O20" s="273">
        <f>IFERROR(__xludf.DUMMYFUNCTION("""COMPUTED_VALUE"""),324.0)</f>
        <v>324</v>
      </c>
      <c r="P20" s="275" t="str">
        <f t="shared" si="2"/>
        <v/>
      </c>
      <c r="Q20" s="273" t="str">
        <f>IFERROR(__xludf.DUMMYFUNCTION("""COMPUTED_VALUE"""),"156 Kozuki Clan / Servant - Ashura Doji")</f>
        <v>156 Kozuki Clan / Servant - Ashura Doji</v>
      </c>
      <c r="R20" s="273"/>
      <c r="S20" s="273"/>
      <c r="T20" s="273"/>
      <c r="U20" s="273"/>
      <c r="V20" s="273"/>
      <c r="W20" s="273"/>
      <c r="X20" s="273"/>
      <c r="Y20" s="273"/>
      <c r="Z20" s="273"/>
      <c r="AA20" s="273"/>
      <c r="AB20" s="273"/>
      <c r="AC20" s="273"/>
    </row>
    <row r="21" ht="75.0" customHeight="1">
      <c r="A21" s="272" t="s">
        <v>1885</v>
      </c>
      <c r="B21" s="273"/>
      <c r="C21" s="274" t="s">
        <v>1886</v>
      </c>
      <c r="D21" s="274" t="s">
        <v>1886</v>
      </c>
      <c r="E21" s="273"/>
      <c r="F21" s="275"/>
      <c r="G21" s="273" t="s">
        <v>1887</v>
      </c>
      <c r="H21" s="273" t="str">
        <f t="shared" si="1"/>
        <v>Punk-05 ~ Atlas</v>
      </c>
      <c r="I21" s="275"/>
      <c r="J21" s="274" t="s">
        <v>1888</v>
      </c>
      <c r="K21" s="273"/>
      <c r="L21" s="273"/>
      <c r="M21" s="273"/>
      <c r="N21" s="273" t="str">
        <f>IFERROR(__xludf.DUMMYFUNCTION("""COMPUTED_VALUE"""),"Davy Back Fight ~ Sanji")</f>
        <v>Davy Back Fight ~ Sanji</v>
      </c>
      <c r="O21" s="273">
        <f>IFERROR(__xludf.DUMMYFUNCTION("""COMPUTED_VALUE"""),323.0)</f>
        <v>323</v>
      </c>
      <c r="P21" s="275" t="str">
        <f t="shared" si="2"/>
        <v/>
      </c>
      <c r="Q21" s="273" t="str">
        <f>IFERROR(__xludf.DUMMYFUNCTION("""COMPUTED_VALUE"""),"302 Punk-05 - Atlas")</f>
        <v>302 Punk-05 - Atlas</v>
      </c>
      <c r="R21" s="273"/>
      <c r="S21" s="273"/>
      <c r="T21" s="273"/>
      <c r="U21" s="273"/>
      <c r="V21" s="273"/>
      <c r="W21" s="273"/>
      <c r="X21" s="273"/>
      <c r="Y21" s="273"/>
      <c r="Z21" s="273"/>
      <c r="AA21" s="273"/>
      <c r="AB21" s="273"/>
      <c r="AC21" s="273"/>
    </row>
    <row r="22" ht="75.0" customHeight="1">
      <c r="A22" s="272" t="s">
        <v>1889</v>
      </c>
      <c r="B22" s="273"/>
      <c r="C22" s="274" t="s">
        <v>1890</v>
      </c>
      <c r="D22" s="274" t="s">
        <v>1890</v>
      </c>
      <c r="E22" s="273"/>
      <c r="F22" s="275"/>
      <c r="G22" s="273" t="s">
        <v>1891</v>
      </c>
      <c r="H22" s="273" t="str">
        <f t="shared" si="1"/>
        <v>Don Quixote Pirates / Servant Assassin ~ Baby 5</v>
      </c>
      <c r="I22" s="275"/>
      <c r="J22" s="274" t="s">
        <v>1892</v>
      </c>
      <c r="K22" s="273"/>
      <c r="L22" s="273"/>
      <c r="M22" s="273"/>
      <c r="N22" s="273" t="str">
        <f>IFERROR(__xludf.DUMMYFUNCTION("""COMPUTED_VALUE"""),"Foxy Pirates / Captain ~ Foxy")</f>
        <v>Foxy Pirates / Captain ~ Foxy</v>
      </c>
      <c r="O22" s="273">
        <f>IFERROR(__xludf.DUMMYFUNCTION("""COMPUTED_VALUE"""),322.0)</f>
        <v>322</v>
      </c>
      <c r="P22" s="275" t="str">
        <f t="shared" si="2"/>
        <v/>
      </c>
      <c r="Q22" s="273" t="str">
        <f>IFERROR(__xludf.DUMMYFUNCTION("""COMPUTED_VALUE"""),"181 Don Quixote Pirates / Servant Assassin - Baby 5")</f>
        <v>181 Don Quixote Pirates / Servant Assassin - Baby 5</v>
      </c>
      <c r="R22" s="273"/>
      <c r="S22" s="273"/>
      <c r="T22" s="273"/>
      <c r="U22" s="273"/>
      <c r="V22" s="273"/>
      <c r="W22" s="273"/>
      <c r="X22" s="273"/>
      <c r="Y22" s="273"/>
      <c r="Z22" s="273"/>
      <c r="AA22" s="273"/>
      <c r="AB22" s="273"/>
      <c r="AC22" s="273"/>
    </row>
    <row r="23" ht="75.0" customHeight="1">
      <c r="A23" s="272" t="s">
        <v>1893</v>
      </c>
      <c r="B23" s="273"/>
      <c r="C23" s="274" t="s">
        <v>1894</v>
      </c>
      <c r="D23" s="274" t="s">
        <v>1894</v>
      </c>
      <c r="E23" s="273"/>
      <c r="F23" s="275"/>
      <c r="G23" s="273" t="s">
        <v>1895</v>
      </c>
      <c r="H23" s="273" t="str">
        <f t="shared" si="1"/>
        <v>Barto Club / Captain ~ Bartolomeo</v>
      </c>
      <c r="I23" s="275"/>
      <c r="J23" s="274" t="s">
        <v>1896</v>
      </c>
      <c r="K23" s="273"/>
      <c r="L23" s="273"/>
      <c r="M23" s="273"/>
      <c r="N23" s="273" t="str">
        <f>IFERROR(__xludf.DUMMYFUNCTION("""COMPUTED_VALUE"""),"Davy Back Fight ~ Monkey D. Luffy")</f>
        <v>Davy Back Fight ~ Monkey D. Luffy</v>
      </c>
      <c r="O23" s="273">
        <f>IFERROR(__xludf.DUMMYFUNCTION("""COMPUTED_VALUE"""),321.0)</f>
        <v>321</v>
      </c>
      <c r="P23" s="275" t="str">
        <f t="shared" si="2"/>
        <v/>
      </c>
      <c r="Q23" s="273" t="str">
        <f>IFERROR(__xludf.DUMMYFUNCTION("""COMPUTED_VALUE"""),"106 Barto Club / Captain - Bartolomeo")</f>
        <v>106 Barto Club / Captain - Bartolomeo</v>
      </c>
      <c r="R23" s="273"/>
      <c r="S23" s="273"/>
      <c r="T23" s="273"/>
      <c r="U23" s="273"/>
      <c r="V23" s="273"/>
      <c r="W23" s="273"/>
      <c r="X23" s="273"/>
      <c r="Y23" s="273"/>
      <c r="Z23" s="273"/>
      <c r="AA23" s="273"/>
      <c r="AB23" s="273"/>
      <c r="AC23" s="273"/>
    </row>
    <row r="24" ht="75.0" customHeight="1">
      <c r="A24" s="272" t="s">
        <v>1897</v>
      </c>
      <c r="B24" s="273"/>
      <c r="C24" s="274" t="s">
        <v>1898</v>
      </c>
      <c r="D24" s="274" t="s">
        <v>1898</v>
      </c>
      <c r="E24" s="273"/>
      <c r="F24" s="275"/>
      <c r="G24" s="273" t="s">
        <v>1899</v>
      </c>
      <c r="H24" s="273" t="str">
        <f t="shared" si="1"/>
        <v>Firetank Pirates / Godfather ~ Capone Bege</v>
      </c>
      <c r="I24" s="275"/>
      <c r="J24" s="274" t="s">
        <v>1900</v>
      </c>
      <c r="K24" s="273"/>
      <c r="L24" s="273"/>
      <c r="M24" s="273"/>
      <c r="N24" s="273" t="str">
        <f>IFERROR(__xludf.DUMMYFUNCTION("""COMPUTED_VALUE"""),"Happosui Army / 13th Chief ~ Sai")</f>
        <v>Happosui Army / 13th Chief ~ Sai</v>
      </c>
      <c r="O24" s="273">
        <f>IFERROR(__xludf.DUMMYFUNCTION("""COMPUTED_VALUE"""),320.0)</f>
        <v>320</v>
      </c>
      <c r="P24" s="275" t="str">
        <f t="shared" si="2"/>
        <v/>
      </c>
      <c r="Q24" s="273" t="str">
        <f>IFERROR(__xludf.DUMMYFUNCTION("""COMPUTED_VALUE"""),"093 Firetank Pirates / Godfather - Capone Bege")</f>
        <v>093 Firetank Pirates / Godfather - Capone Bege</v>
      </c>
      <c r="R24" s="273"/>
      <c r="S24" s="273"/>
      <c r="T24" s="273"/>
      <c r="U24" s="273"/>
      <c r="V24" s="273"/>
      <c r="W24" s="273"/>
      <c r="X24" s="273"/>
      <c r="Y24" s="273"/>
      <c r="Z24" s="273"/>
      <c r="AA24" s="273"/>
      <c r="AB24" s="273"/>
      <c r="AC24" s="273"/>
    </row>
    <row r="25" ht="75.0" customHeight="1">
      <c r="A25" s="272" t="s">
        <v>1901</v>
      </c>
      <c r="B25" s="273"/>
      <c r="C25" s="274" t="s">
        <v>1902</v>
      </c>
      <c r="D25" s="274" t="s">
        <v>1902</v>
      </c>
      <c r="E25" s="273"/>
      <c r="F25" s="275"/>
      <c r="G25" s="273" t="s">
        <v>1903</v>
      </c>
      <c r="H25" s="273" t="str">
        <f t="shared" si="1"/>
        <v>The Bullet of Dressrosa ~ Bellamy</v>
      </c>
      <c r="I25" s="275"/>
      <c r="J25" s="274" t="s">
        <v>1904</v>
      </c>
      <c r="K25" s="273"/>
      <c r="L25" s="273"/>
      <c r="M25" s="273"/>
      <c r="N25" s="273" t="str">
        <f>IFERROR(__xludf.DUMMYFUNCTION("""COMPUTED_VALUE"""),"Tontatta Pirates / Captain ~ Leo")</f>
        <v>Tontatta Pirates / Captain ~ Leo</v>
      </c>
      <c r="O25" s="273">
        <f>IFERROR(__xludf.DUMMYFUNCTION("""COMPUTED_VALUE"""),319.0)</f>
        <v>319</v>
      </c>
      <c r="P25" s="275" t="str">
        <f t="shared" si="2"/>
        <v/>
      </c>
      <c r="Q25" s="273" t="str">
        <f>IFERROR(__xludf.DUMMYFUNCTION("""COMPUTED_VALUE"""),"224 The Bullet of Dressrosa - Bellamy")</f>
        <v>224 The Bullet of Dressrosa - Bellamy</v>
      </c>
      <c r="R25" s="273"/>
      <c r="S25" s="273"/>
      <c r="T25" s="273"/>
      <c r="U25" s="273"/>
      <c r="V25" s="273"/>
      <c r="W25" s="273"/>
      <c r="X25" s="273"/>
      <c r="Y25" s="273"/>
      <c r="Z25" s="273"/>
      <c r="AA25" s="273"/>
      <c r="AB25" s="273"/>
      <c r="AC25" s="273"/>
    </row>
    <row r="26" ht="75.0" customHeight="1">
      <c r="A26" s="272" t="s">
        <v>1905</v>
      </c>
      <c r="B26" s="273"/>
      <c r="C26" s="274" t="s">
        <v>1906</v>
      </c>
      <c r="D26" s="274" t="s">
        <v>1906</v>
      </c>
      <c r="E26" s="273"/>
      <c r="F26" s="275"/>
      <c r="G26" s="273" t="s">
        <v>1907</v>
      </c>
      <c r="H26" s="273" t="str">
        <f t="shared" si="1"/>
        <v>Bellamy Pirates / Captain ~ Bellamy</v>
      </c>
      <c r="I26" s="275"/>
      <c r="J26" s="274" t="s">
        <v>1908</v>
      </c>
      <c r="K26" s="273"/>
      <c r="L26" s="273"/>
      <c r="M26" s="273"/>
      <c r="N26" s="273" t="str">
        <f>IFERROR(__xludf.DUMMYFUNCTION("""COMPUTED_VALUE"""),"Celestial Dragon ~ St. Charlos")</f>
        <v>Celestial Dragon ~ St. Charlos</v>
      </c>
      <c r="O26" s="273">
        <f>IFERROR(__xludf.DUMMYFUNCTION("""COMPUTED_VALUE"""),318.0)</f>
        <v>318</v>
      </c>
      <c r="P26" s="275" t="str">
        <f t="shared" si="2"/>
        <v/>
      </c>
      <c r="Q26" s="273" t="str">
        <f>IFERROR(__xludf.DUMMYFUNCTION("""COMPUTED_VALUE"""),"057 Bellamy Pirates / Captain - Bellamy")</f>
        <v>057 Bellamy Pirates / Captain - Bellamy</v>
      </c>
      <c r="R26" s="273"/>
      <c r="S26" s="273"/>
      <c r="T26" s="273"/>
      <c r="U26" s="273"/>
      <c r="V26" s="273"/>
      <c r="W26" s="273"/>
      <c r="X26" s="273"/>
      <c r="Y26" s="273"/>
      <c r="Z26" s="273"/>
      <c r="AA26" s="273"/>
      <c r="AB26" s="273"/>
      <c r="AC26" s="273"/>
    </row>
    <row r="27" ht="75.0" customHeight="1">
      <c r="A27" s="272" t="s">
        <v>1909</v>
      </c>
      <c r="B27" s="273"/>
      <c r="C27" s="274" t="s">
        <v>1910</v>
      </c>
      <c r="D27" s="274" t="s">
        <v>1910</v>
      </c>
      <c r="E27" s="273"/>
      <c r="F27" s="275"/>
      <c r="G27" s="273" t="s">
        <v>1911</v>
      </c>
      <c r="H27" s="273" t="str">
        <f t="shared" si="1"/>
        <v>Revolutionary Army / Captain of the Eastern Forces ~ Belo Betty</v>
      </c>
      <c r="I27" s="275"/>
      <c r="J27" s="274" t="s">
        <v>1912</v>
      </c>
      <c r="K27" s="273"/>
      <c r="L27" s="273"/>
      <c r="M27" s="273"/>
      <c r="N27" s="273" t="str">
        <f>IFERROR(__xludf.DUMMYFUNCTION("""COMPUTED_VALUE"""),"Clear-Clear Fruit ~ Shiryu")</f>
        <v>Clear-Clear Fruit ~ Shiryu</v>
      </c>
      <c r="O27" s="273">
        <f>IFERROR(__xludf.DUMMYFUNCTION("""COMPUTED_VALUE"""),317.0)</f>
        <v>317</v>
      </c>
      <c r="P27" s="275" t="str">
        <f t="shared" si="2"/>
        <v/>
      </c>
      <c r="Q27" s="273" t="str">
        <f>IFERROR(__xludf.DUMMYFUNCTION("""COMPUTED_VALUE"""),"268 Revolutionary Army / Captain of the Eastern Forces - Belo Betty")</f>
        <v>268 Revolutionary Army / Captain of the Eastern Forces - Belo Betty</v>
      </c>
      <c r="R27" s="273"/>
      <c r="S27" s="273"/>
      <c r="T27" s="273"/>
      <c r="U27" s="273"/>
      <c r="V27" s="273"/>
      <c r="W27" s="273"/>
      <c r="X27" s="273"/>
      <c r="Y27" s="273"/>
      <c r="Z27" s="273"/>
      <c r="AA27" s="273"/>
      <c r="AB27" s="273"/>
      <c r="AC27" s="273"/>
    </row>
    <row r="28" ht="75.0" customHeight="1">
      <c r="A28" s="272" t="s">
        <v>1913</v>
      </c>
      <c r="B28" s="273"/>
      <c r="C28" s="274" t="s">
        <v>1914</v>
      </c>
      <c r="D28" s="274" t="s">
        <v>1914</v>
      </c>
      <c r="E28" s="273"/>
      <c r="F28" s="275"/>
      <c r="G28" s="273" t="s">
        <v>1915</v>
      </c>
      <c r="H28" s="273" t="str">
        <f t="shared" si="1"/>
        <v>FILM RED ~ Ben Beckman</v>
      </c>
      <c r="I28" s="275"/>
      <c r="J28" s="274" t="s">
        <v>1916</v>
      </c>
      <c r="K28" s="273"/>
      <c r="L28" s="273"/>
      <c r="M28" s="273"/>
      <c r="N28" s="273" t="str">
        <f>IFERROR(__xludf.DUMMYFUNCTION("""COMPUTED_VALUE"""),"Strong-Strong Fruit ~ Jesus Burgess")</f>
        <v>Strong-Strong Fruit ~ Jesus Burgess</v>
      </c>
      <c r="O28" s="273">
        <f>IFERROR(__xludf.DUMMYFUNCTION("""COMPUTED_VALUE"""),316.0)</f>
        <v>316</v>
      </c>
      <c r="P28" s="275" t="str">
        <f t="shared" si="2"/>
        <v/>
      </c>
      <c r="Q28" s="273" t="str">
        <f>IFERROR(__xludf.DUMMYFUNCTION("""COMPUTED_VALUE"""),"219 FILM RED - Ben Beckman")</f>
        <v>219 FILM RED - Ben Beckman</v>
      </c>
      <c r="R28" s="273"/>
      <c r="S28" s="273"/>
      <c r="T28" s="273"/>
      <c r="U28" s="273"/>
      <c r="V28" s="273"/>
      <c r="W28" s="273"/>
      <c r="X28" s="273"/>
      <c r="Y28" s="273"/>
      <c r="Z28" s="273"/>
      <c r="AA28" s="273"/>
      <c r="AB28" s="273"/>
      <c r="AC28" s="273"/>
    </row>
    <row r="29" ht="75.0" customHeight="1">
      <c r="A29" s="272" t="s">
        <v>1917</v>
      </c>
      <c r="B29" s="273"/>
      <c r="C29" s="274" t="s">
        <v>1918</v>
      </c>
      <c r="D29" s="274" t="s">
        <v>1918</v>
      </c>
      <c r="E29" s="273"/>
      <c r="F29" s="275"/>
      <c r="G29" s="273" t="s">
        <v>1919</v>
      </c>
      <c r="H29" s="273" t="str">
        <f t="shared" si="1"/>
        <v>Winner Island ~ Bepo</v>
      </c>
      <c r="I29" s="275"/>
      <c r="J29" s="274" t="s">
        <v>1920</v>
      </c>
      <c r="K29" s="273"/>
      <c r="L29" s="273"/>
      <c r="M29" s="273"/>
      <c r="N29" s="273" t="str">
        <f>IFERROR(__xludf.DUMMYFUNCTION("""COMPUTED_VALUE"""),"Germa 66 ~ Vinsmoke Yonji")</f>
        <v>Germa 66 ~ Vinsmoke Yonji</v>
      </c>
      <c r="O29" s="273">
        <f>IFERROR(__xludf.DUMMYFUNCTION("""COMPUTED_VALUE"""),315.0)</f>
        <v>315</v>
      </c>
      <c r="P29" s="275" t="str">
        <f t="shared" si="2"/>
        <v/>
      </c>
      <c r="Q29" s="273" t="str">
        <f>IFERROR(__xludf.DUMMYFUNCTION("""COMPUTED_VALUE"""),"338 Winner Island - Bepo")</f>
        <v>338 Winner Island - Bepo</v>
      </c>
      <c r="R29" s="273"/>
      <c r="S29" s="273"/>
      <c r="T29" s="273"/>
      <c r="U29" s="273"/>
      <c r="V29" s="273"/>
      <c r="W29" s="273"/>
      <c r="X29" s="273"/>
      <c r="Y29" s="273"/>
      <c r="Z29" s="273"/>
      <c r="AA29" s="273"/>
      <c r="AB29" s="273"/>
      <c r="AC29" s="273"/>
    </row>
    <row r="30" ht="75.0" customHeight="1">
      <c r="A30" s="272" t="s">
        <v>1921</v>
      </c>
      <c r="B30" s="273"/>
      <c r="C30" s="274" t="s">
        <v>1922</v>
      </c>
      <c r="D30" s="274" t="s">
        <v>1922</v>
      </c>
      <c r="E30" s="273"/>
      <c r="F30" s="275"/>
      <c r="G30" s="273" t="s">
        <v>1923</v>
      </c>
      <c r="H30" s="273" t="str">
        <f t="shared" si="1"/>
        <v>Big Mom Pirates / Captain ~ Charlotte Linlin</v>
      </c>
      <c r="I30" s="275"/>
      <c r="J30" s="274" t="s">
        <v>1924</v>
      </c>
      <c r="K30" s="273"/>
      <c r="L30" s="273"/>
      <c r="M30" s="273"/>
      <c r="N30" s="273" t="str">
        <f>IFERROR(__xludf.DUMMYFUNCTION("""COMPUTED_VALUE"""),"Germa 66 ~ Vinsmoke Neji")</f>
        <v>Germa 66 ~ Vinsmoke Neji</v>
      </c>
      <c r="O30" s="273">
        <f>IFERROR(__xludf.DUMMYFUNCTION("""COMPUTED_VALUE"""),314.0)</f>
        <v>314</v>
      </c>
      <c r="P30" s="275" t="str">
        <f t="shared" si="2"/>
        <v/>
      </c>
      <c r="Q30" s="273" t="str">
        <f>IFERROR(__xludf.DUMMYFUNCTION("""COMPUTED_VALUE"""),"085 Big Mom Pirates / Captain - Charlotte Linlin")</f>
        <v>085 Big Mom Pirates / Captain - Charlotte Linlin</v>
      </c>
      <c r="R30" s="273"/>
      <c r="S30" s="273"/>
      <c r="T30" s="273"/>
      <c r="U30" s="273"/>
      <c r="V30" s="273"/>
      <c r="W30" s="273"/>
      <c r="X30" s="273"/>
      <c r="Y30" s="273"/>
      <c r="Z30" s="273"/>
      <c r="AA30" s="273"/>
      <c r="AB30" s="273"/>
      <c r="AC30" s="273"/>
    </row>
    <row r="31" ht="75.0" customHeight="1">
      <c r="A31" s="272" t="s">
        <v>1925</v>
      </c>
      <c r="B31" s="273"/>
      <c r="C31" s="274" t="s">
        <v>1926</v>
      </c>
      <c r="D31" s="274" t="s">
        <v>1926</v>
      </c>
      <c r="E31" s="273"/>
      <c r="F31" s="275"/>
      <c r="G31" s="273" t="s">
        <v>1927</v>
      </c>
      <c r="H31" s="273" t="str">
        <f t="shared" si="1"/>
        <v>Hunger Pangs ~ Charlotte Linlin</v>
      </c>
      <c r="I31" s="275"/>
      <c r="J31" s="274" t="s">
        <v>1928</v>
      </c>
      <c r="K31" s="273"/>
      <c r="L31" s="273"/>
      <c r="M31" s="273"/>
      <c r="N31" s="273" t="str">
        <f>IFERROR(__xludf.DUMMYFUNCTION("""COMPUTED_VALUE"""),"Germa 66 ~ Vinsmoke Ichiji")</f>
        <v>Germa 66 ~ Vinsmoke Ichiji</v>
      </c>
      <c r="O31" s="273">
        <f>IFERROR(__xludf.DUMMYFUNCTION("""COMPUTED_VALUE"""),313.0)</f>
        <v>313</v>
      </c>
      <c r="P31" s="275" t="str">
        <f t="shared" si="2"/>
        <v/>
      </c>
      <c r="Q31" s="273" t="str">
        <f>IFERROR(__xludf.DUMMYFUNCTION("""COMPUTED_VALUE"""),"134 Hunger Pangs - Charlotte Linlin")</f>
        <v>134 Hunger Pangs - Charlotte Linlin</v>
      </c>
      <c r="R31" s="273"/>
      <c r="S31" s="273"/>
      <c r="T31" s="273"/>
      <c r="U31" s="273"/>
      <c r="V31" s="273"/>
      <c r="W31" s="273"/>
      <c r="X31" s="273"/>
      <c r="Y31" s="273"/>
      <c r="Z31" s="273"/>
      <c r="AA31" s="273"/>
      <c r="AB31" s="273"/>
      <c r="AC31" s="273"/>
    </row>
    <row r="32" ht="75.0" customHeight="1">
      <c r="A32" s="272" t="s">
        <v>1929</v>
      </c>
      <c r="B32" s="273"/>
      <c r="C32" s="274" t="s">
        <v>1930</v>
      </c>
      <c r="D32" s="274" t="s">
        <v>1930</v>
      </c>
      <c r="E32" s="273"/>
      <c r="F32" s="275"/>
      <c r="G32" s="273" t="s">
        <v>1931</v>
      </c>
      <c r="H32" s="273" t="str">
        <f t="shared" si="1"/>
        <v>Battle of Monsters on Onigashima ~ Olin the Oiran</v>
      </c>
      <c r="I32" s="275"/>
      <c r="J32" s="274" t="s">
        <v>1932</v>
      </c>
      <c r="K32" s="273"/>
      <c r="L32" s="273"/>
      <c r="M32" s="273"/>
      <c r="N32" s="273" t="str">
        <f>IFERROR(__xludf.DUMMYFUNCTION("""COMPUTED_VALUE"""),"Flame Emperor ~ Sabo")</f>
        <v>Flame Emperor ~ Sabo</v>
      </c>
      <c r="O32" s="273">
        <f>IFERROR(__xludf.DUMMYFUNCTION("""COMPUTED_VALUE"""),312.0)</f>
        <v>312</v>
      </c>
      <c r="P32" s="275" t="str">
        <f t="shared" si="2"/>
        <v/>
      </c>
      <c r="Q32" s="273" t="str">
        <f>IFERROR(__xludf.DUMMYFUNCTION("""COMPUTED_VALUE"""),"233 Battle of Monsters on Onigashima - Olin the Oiran")</f>
        <v>233 Battle of Monsters on Onigashima - Olin the Oiran</v>
      </c>
      <c r="R32" s="273"/>
      <c r="S32" s="273"/>
      <c r="T32" s="273"/>
      <c r="U32" s="273"/>
      <c r="V32" s="273"/>
      <c r="W32" s="273"/>
      <c r="X32" s="273"/>
      <c r="Y32" s="273"/>
      <c r="Z32" s="273"/>
      <c r="AA32" s="273"/>
      <c r="AB32" s="273"/>
      <c r="AC32" s="273"/>
    </row>
    <row r="33" ht="75.0" customHeight="1">
      <c r="A33" s="272" t="s">
        <v>1933</v>
      </c>
      <c r="B33" s="273"/>
      <c r="C33" s="274" t="s">
        <v>1934</v>
      </c>
      <c r="D33" s="274" t="s">
        <v>1934</v>
      </c>
      <c r="E33" s="273"/>
      <c r="F33" s="275"/>
      <c r="G33" s="273" t="s">
        <v>1935</v>
      </c>
      <c r="H33" s="273" t="str">
        <f t="shared" si="1"/>
        <v>The Seven Warlords of the Sea ~ Bartholomew Kuma</v>
      </c>
      <c r="I33" s="275"/>
      <c r="J33" s="274" t="s">
        <v>1936</v>
      </c>
      <c r="K33" s="273"/>
      <c r="L33" s="273"/>
      <c r="M33" s="273"/>
      <c r="N33" s="273" t="str">
        <f>IFERROR(__xludf.DUMMYFUNCTION("""COMPUTED_VALUE"""),"Assistant Fish-Man Karate Master ~ Koala")</f>
        <v>Assistant Fish-Man Karate Master ~ Koala</v>
      </c>
      <c r="O33" s="273">
        <f>IFERROR(__xludf.DUMMYFUNCTION("""COMPUTED_VALUE"""),311.0)</f>
        <v>311</v>
      </c>
      <c r="P33" s="275" t="str">
        <f t="shared" si="2"/>
        <v/>
      </c>
      <c r="Q33" s="273" t="str">
        <f>IFERROR(__xludf.DUMMYFUNCTION("""COMPUTED_VALUE"""),"095 The Seven Warlords of the Sea - Bartholomew Kuma")</f>
        <v>095 The Seven Warlords of the Sea - Bartholomew Kuma</v>
      </c>
      <c r="R33" s="273"/>
      <c r="S33" s="273"/>
      <c r="T33" s="273"/>
      <c r="U33" s="273"/>
      <c r="V33" s="273"/>
      <c r="W33" s="273"/>
      <c r="X33" s="273"/>
      <c r="Y33" s="273"/>
      <c r="Z33" s="273"/>
      <c r="AA33" s="273"/>
      <c r="AB33" s="273"/>
      <c r="AC33" s="273"/>
    </row>
    <row r="34" ht="75.0" customHeight="1">
      <c r="A34" s="272" t="s">
        <v>1937</v>
      </c>
      <c r="B34" s="273"/>
      <c r="C34" s="274" t="s">
        <v>1938</v>
      </c>
      <c r="D34" s="274" t="s">
        <v>1938</v>
      </c>
      <c r="E34" s="273"/>
      <c r="F34" s="275"/>
      <c r="G34" s="273" t="s">
        <v>1939</v>
      </c>
      <c r="H34" s="273" t="str">
        <f t="shared" si="1"/>
        <v>Animal Kingdom Pirates / Tobi Roppo ~ Black Maria</v>
      </c>
      <c r="I34" s="275"/>
      <c r="J34" s="274" t="s">
        <v>1940</v>
      </c>
      <c r="K34" s="273"/>
      <c r="L34" s="273"/>
      <c r="M34" s="273"/>
      <c r="N34" s="273" t="str">
        <f>IFERROR(__xludf.DUMMYFUNCTION("""COMPUTED_VALUE"""),"Blackbeard Pirates ~ Kuzan")</f>
        <v>Blackbeard Pirates ~ Kuzan</v>
      </c>
      <c r="O34" s="273">
        <f>IFERROR(__xludf.DUMMYFUNCTION("""COMPUTED_VALUE"""),310.0)</f>
        <v>310</v>
      </c>
      <c r="P34" s="275" t="str">
        <f t="shared" si="2"/>
        <v/>
      </c>
      <c r="Q34" s="273" t="str">
        <f>IFERROR(__xludf.DUMMYFUNCTION("""COMPUTED_VALUE"""),"269 Animal Kingdom Pirates / Tobi Roppo - Black Maria")</f>
        <v>269 Animal Kingdom Pirates / Tobi Roppo - Black Maria</v>
      </c>
      <c r="R34" s="273"/>
      <c r="S34" s="273"/>
      <c r="T34" s="273"/>
      <c r="U34" s="273"/>
      <c r="V34" s="273"/>
      <c r="W34" s="273"/>
      <c r="X34" s="273"/>
      <c r="Y34" s="273"/>
      <c r="Z34" s="273"/>
      <c r="AA34" s="273"/>
      <c r="AB34" s="273"/>
      <c r="AC34" s="273"/>
    </row>
    <row r="35" ht="75.0" customHeight="1">
      <c r="A35" s="272" t="s">
        <v>1941</v>
      </c>
      <c r="B35" s="273"/>
      <c r="C35" s="274" t="s">
        <v>1942</v>
      </c>
      <c r="D35" s="274" t="s">
        <v>1942</v>
      </c>
      <c r="E35" s="273"/>
      <c r="F35" s="275"/>
      <c r="G35" s="273" t="s">
        <v>1943</v>
      </c>
      <c r="H35" s="273" t="str">
        <f t="shared" si="1"/>
        <v>CP9 ~ Blueno</v>
      </c>
      <c r="I35" s="275"/>
      <c r="J35" s="274" t="s">
        <v>1944</v>
      </c>
      <c r="K35" s="273"/>
      <c r="L35" s="273"/>
      <c r="M35" s="273"/>
      <c r="N35" s="273" t="str">
        <f>IFERROR(__xludf.DUMMYFUNCTION("""COMPUTED_VALUE"""),"Navy HQ / Captain ~ Koby")</f>
        <v>Navy HQ / Captain ~ Koby</v>
      </c>
      <c r="O35" s="273">
        <f>IFERROR(__xludf.DUMMYFUNCTION("""COMPUTED_VALUE"""),309.0)</f>
        <v>309</v>
      </c>
      <c r="P35" s="275" t="str">
        <f t="shared" si="2"/>
        <v/>
      </c>
      <c r="Q35" s="273" t="str">
        <f>IFERROR(__xludf.DUMMYFUNCTION("""COMPUTED_VALUE"""),"291 CP9 - Blueno")</f>
        <v>291 CP9 - Blueno</v>
      </c>
      <c r="R35" s="273"/>
      <c r="S35" s="273"/>
      <c r="T35" s="273"/>
      <c r="U35" s="273"/>
      <c r="V35" s="273"/>
      <c r="W35" s="273"/>
      <c r="X35" s="273"/>
      <c r="Y35" s="273"/>
      <c r="Z35" s="273"/>
      <c r="AA35" s="273"/>
      <c r="AB35" s="273"/>
      <c r="AC35" s="273"/>
    </row>
    <row r="36" ht="75.0" customHeight="1">
      <c r="A36" s="272" t="s">
        <v>1945</v>
      </c>
      <c r="B36" s="273"/>
      <c r="C36" s="274" t="s">
        <v>1946</v>
      </c>
      <c r="D36" s="274" t="s">
        <v>1946</v>
      </c>
      <c r="E36" s="273"/>
      <c r="F36" s="275"/>
      <c r="G36" s="273" t="s">
        <v>1947</v>
      </c>
      <c r="H36" s="273" t="str">
        <f t="shared" si="1"/>
        <v>Kuja Pirates / Captain ~ Boa Hancock</v>
      </c>
      <c r="I36" s="275"/>
      <c r="J36" s="274" t="s">
        <v>1948</v>
      </c>
      <c r="K36" s="273"/>
      <c r="L36" s="273"/>
      <c r="M36" s="273"/>
      <c r="N36" s="273" t="str">
        <f>IFERROR(__xludf.DUMMYFUNCTION("""COMPUTED_VALUE"""),"Legendary Hero ~ Monkey D. Garp")</f>
        <v>Legendary Hero ~ Monkey D. Garp</v>
      </c>
      <c r="O36" s="273">
        <f>IFERROR(__xludf.DUMMYFUNCTION("""COMPUTED_VALUE"""),308.0)</f>
        <v>308</v>
      </c>
      <c r="P36" s="275" t="str">
        <f t="shared" si="2"/>
        <v/>
      </c>
      <c r="Q36" s="273" t="str">
        <f>IFERROR(__xludf.DUMMYFUNCTION("""COMPUTED_VALUE"""),"139 Kuja Pirates / Captain - Boa Hancock")</f>
        <v>139 Kuja Pirates / Captain - Boa Hancock</v>
      </c>
      <c r="R36" s="273"/>
      <c r="S36" s="273"/>
      <c r="T36" s="273"/>
      <c r="U36" s="273"/>
      <c r="V36" s="273"/>
      <c r="W36" s="273"/>
      <c r="X36" s="273"/>
      <c r="Y36" s="273"/>
      <c r="Z36" s="273"/>
      <c r="AA36" s="273"/>
      <c r="AB36" s="273"/>
      <c r="AC36" s="273"/>
    </row>
    <row r="37" ht="75.0" customHeight="1">
      <c r="A37" s="272" t="s">
        <v>1949</v>
      </c>
      <c r="B37" s="273"/>
      <c r="C37" s="274" t="s">
        <v>1950</v>
      </c>
      <c r="D37" s="274" t="s">
        <v>1950</v>
      </c>
      <c r="E37" s="273"/>
      <c r="F37" s="275"/>
      <c r="G37" s="273" t="s">
        <v>1951</v>
      </c>
      <c r="H37" s="273" t="str">
        <f t="shared" si="1"/>
        <v>The Seven Warlords of the Sea ~ Hancock</v>
      </c>
      <c r="I37" s="275"/>
      <c r="J37" s="274" t="s">
        <v>1952</v>
      </c>
      <c r="K37" s="273"/>
      <c r="L37" s="273"/>
      <c r="M37" s="273"/>
      <c r="N37" s="273" t="str">
        <f>IFERROR(__xludf.DUMMYFUNCTION("""COMPUTED_VALUE"""),"Navy HQ / Lt. Commander ~ Helmeppo")</f>
        <v>Navy HQ / Lt. Commander ~ Helmeppo</v>
      </c>
      <c r="O37" s="273">
        <f>IFERROR(__xludf.DUMMYFUNCTION("""COMPUTED_VALUE"""),307.0)</f>
        <v>307</v>
      </c>
      <c r="P37" s="275" t="str">
        <f t="shared" si="2"/>
        <v/>
      </c>
      <c r="Q37" s="273" t="str">
        <f>IFERROR(__xludf.DUMMYFUNCTION("""COMPUTED_VALUE"""),"053 The Seven Warlords of the Sea - Hancock")</f>
        <v>053 The Seven Warlords of the Sea - Hancock</v>
      </c>
      <c r="R37" s="273"/>
      <c r="S37" s="273"/>
      <c r="T37" s="273"/>
      <c r="U37" s="273"/>
      <c r="V37" s="273"/>
      <c r="W37" s="273"/>
      <c r="X37" s="273"/>
      <c r="Y37" s="273"/>
      <c r="Z37" s="273"/>
      <c r="AA37" s="273"/>
      <c r="AB37" s="273"/>
      <c r="AC37" s="273"/>
    </row>
    <row r="38" ht="75.0" customHeight="1">
      <c r="A38" s="272" t="s">
        <v>1953</v>
      </c>
      <c r="B38" s="273"/>
      <c r="C38" s="274" t="s">
        <v>1954</v>
      </c>
      <c r="D38" s="274" t="s">
        <v>1954</v>
      </c>
      <c r="E38" s="273"/>
      <c r="F38" s="275"/>
      <c r="G38" s="273" t="s">
        <v>1955</v>
      </c>
      <c r="H38" s="273" t="str">
        <f t="shared" si="1"/>
        <v>STAMPEDE ~ Boa Hancock</v>
      </c>
      <c r="I38" s="275"/>
      <c r="J38" s="274" t="s">
        <v>1956</v>
      </c>
      <c r="K38" s="273"/>
      <c r="L38" s="273"/>
      <c r="M38" s="273"/>
      <c r="N38" s="273" t="str">
        <f>IFERROR(__xludf.DUMMYFUNCTION("""COMPUTED_VALUE"""),"Egghead ~ Jewelry Bonney")</f>
        <v>Egghead ~ Jewelry Bonney</v>
      </c>
      <c r="O38" s="273">
        <f>IFERROR(__xludf.DUMMYFUNCTION("""COMPUTED_VALUE"""),306.0)</f>
        <v>306</v>
      </c>
      <c r="P38" s="275" t="str">
        <f t="shared" si="2"/>
        <v/>
      </c>
      <c r="Q38" s="273" t="str">
        <f>IFERROR(__xludf.DUMMYFUNCTION("""COMPUTED_VALUE"""),"212 STAMPEDE - Boa Hancock")</f>
        <v>212 STAMPEDE - Boa Hancock</v>
      </c>
      <c r="R38" s="273"/>
      <c r="S38" s="273"/>
      <c r="T38" s="273"/>
      <c r="U38" s="273"/>
      <c r="V38" s="273"/>
      <c r="W38" s="273"/>
      <c r="X38" s="273"/>
      <c r="Y38" s="273"/>
      <c r="Z38" s="273"/>
      <c r="AA38" s="273"/>
      <c r="AB38" s="273"/>
      <c r="AC38" s="273"/>
    </row>
    <row r="39" ht="75.0" customHeight="1">
      <c r="A39" s="272" t="s">
        <v>1957</v>
      </c>
      <c r="B39" s="273"/>
      <c r="C39" s="274" t="s">
        <v>1958</v>
      </c>
      <c r="D39" s="274" t="s">
        <v>1958</v>
      </c>
      <c r="E39" s="273"/>
      <c r="F39" s="275"/>
      <c r="G39" s="273" t="s">
        <v>1959</v>
      </c>
      <c r="H39" s="273" t="str">
        <f t="shared" si="1"/>
        <v>Bikini ~ Boa Hancock</v>
      </c>
      <c r="I39" s="275"/>
      <c r="J39" s="274" t="s">
        <v>1960</v>
      </c>
      <c r="K39" s="273"/>
      <c r="L39" s="273"/>
      <c r="M39" s="273"/>
      <c r="N39" s="273" t="str">
        <f>IFERROR(__xludf.DUMMYFUNCTION("""COMPUTED_VALUE"""),"Egghead ~ Sanji")</f>
        <v>Egghead ~ Sanji</v>
      </c>
      <c r="O39" s="273">
        <f>IFERROR(__xludf.DUMMYFUNCTION("""COMPUTED_VALUE"""),305.0)</f>
        <v>305</v>
      </c>
      <c r="P39" s="275" t="str">
        <f t="shared" si="2"/>
        <v/>
      </c>
      <c r="Q39" s="273" t="str">
        <f>IFERROR(__xludf.DUMMYFUNCTION("""COMPUTED_VALUE"""),"074 Bikini - Boa Hancock")</f>
        <v>074 Bikini - Boa Hancock</v>
      </c>
      <c r="R39" s="273"/>
      <c r="S39" s="273"/>
      <c r="T39" s="273"/>
      <c r="U39" s="273"/>
      <c r="V39" s="273"/>
      <c r="W39" s="273"/>
      <c r="X39" s="273"/>
      <c r="Y39" s="273"/>
      <c r="Z39" s="273"/>
      <c r="AA39" s="273"/>
      <c r="AB39" s="273"/>
      <c r="AC39" s="273"/>
    </row>
    <row r="40" ht="75.0" customHeight="1">
      <c r="A40" s="272" t="s">
        <v>1961</v>
      </c>
      <c r="B40" s="273"/>
      <c r="C40" s="274" t="s">
        <v>1962</v>
      </c>
      <c r="D40" s="274" t="s">
        <v>1962</v>
      </c>
      <c r="E40" s="273"/>
      <c r="F40" s="275"/>
      <c r="G40" s="273" t="s">
        <v>1963</v>
      </c>
      <c r="H40" s="273" t="str">
        <f t="shared" si="1"/>
        <v>Egghead ~ Jewelry Bonney</v>
      </c>
      <c r="I40" s="275"/>
      <c r="J40" s="274" t="s">
        <v>1964</v>
      </c>
      <c r="K40" s="273"/>
      <c r="L40" s="273"/>
      <c r="M40" s="273"/>
      <c r="N40" s="273" t="str">
        <f>IFERROR(__xludf.DUMMYFUNCTION("""COMPUTED_VALUE"""),"Seraphim ~ S-Shark")</f>
        <v>Seraphim ~ S-Shark</v>
      </c>
      <c r="O40" s="273">
        <f>IFERROR(__xludf.DUMMYFUNCTION("""COMPUTED_VALUE"""),304.0)</f>
        <v>304</v>
      </c>
      <c r="P40" s="275" t="str">
        <f t="shared" si="2"/>
        <v/>
      </c>
      <c r="Q40" s="273" t="str">
        <f>IFERROR(__xludf.DUMMYFUNCTION("""COMPUTED_VALUE"""),"306 Egghead - Jewelry Bonney")</f>
        <v>306 Egghead - Jewelry Bonney</v>
      </c>
      <c r="R40" s="273"/>
      <c r="S40" s="273"/>
      <c r="T40" s="273"/>
      <c r="U40" s="273"/>
      <c r="V40" s="273"/>
      <c r="W40" s="273"/>
      <c r="X40" s="273"/>
      <c r="Y40" s="273"/>
      <c r="Z40" s="273"/>
      <c r="AA40" s="273"/>
      <c r="AB40" s="273"/>
      <c r="AC40" s="273"/>
    </row>
    <row r="41" ht="75.0" customHeight="1">
      <c r="A41" s="272" t="s">
        <v>1965</v>
      </c>
      <c r="B41" s="273"/>
      <c r="C41" s="274" t="s">
        <v>1966</v>
      </c>
      <c r="D41" s="274" t="s">
        <v>1966</v>
      </c>
      <c r="E41" s="273"/>
      <c r="F41" s="275"/>
      <c r="G41" s="273" t="s">
        <v>1967</v>
      </c>
      <c r="H41" s="273" t="str">
        <f t="shared" si="1"/>
        <v>Bonney Pirates / Captain ~ Jewelry Bonney</v>
      </c>
      <c r="I41" s="275"/>
      <c r="J41" s="274" t="s">
        <v>1968</v>
      </c>
      <c r="K41" s="273"/>
      <c r="L41" s="273"/>
      <c r="M41" s="273"/>
      <c r="N41" s="273" t="str">
        <f>IFERROR(__xludf.DUMMYFUNCTION("""COMPUTED_VALUE"""),"Punk-06 ~ York")</f>
        <v>Punk-06 ~ York</v>
      </c>
      <c r="O41" s="273">
        <f>IFERROR(__xludf.DUMMYFUNCTION("""COMPUTED_VALUE"""),303.0)</f>
        <v>303</v>
      </c>
      <c r="P41" s="275" t="str">
        <f t="shared" si="2"/>
        <v/>
      </c>
      <c r="Q41" s="273" t="str">
        <f>IFERROR(__xludf.DUMMYFUNCTION("""COMPUTED_VALUE"""),"067 Bonney Pirates / Captain - Jewelry Bonney")</f>
        <v>067 Bonney Pirates / Captain - Jewelry Bonney</v>
      </c>
      <c r="R41" s="273"/>
      <c r="S41" s="273"/>
      <c r="T41" s="273"/>
      <c r="U41" s="273"/>
      <c r="V41" s="273"/>
      <c r="W41" s="273"/>
      <c r="X41" s="273"/>
      <c r="Y41" s="273"/>
      <c r="Z41" s="273"/>
      <c r="AA41" s="273"/>
      <c r="AB41" s="273"/>
      <c r="AC41" s="273"/>
    </row>
    <row r="42" ht="75.0" customHeight="1">
      <c r="A42" s="272" t="s">
        <v>1969</v>
      </c>
      <c r="B42" s="273"/>
      <c r="C42" s="274" t="s">
        <v>1970</v>
      </c>
      <c r="D42" s="274" t="s">
        <v>1970</v>
      </c>
      <c r="E42" s="273"/>
      <c r="F42" s="275"/>
      <c r="G42" s="273" t="s">
        <v>1971</v>
      </c>
      <c r="H42" s="273" t="str">
        <f t="shared" si="1"/>
        <v>The Red ~ Broggy</v>
      </c>
      <c r="I42" s="275"/>
      <c r="J42" s="274" t="s">
        <v>1972</v>
      </c>
      <c r="K42" s="273"/>
      <c r="L42" s="273"/>
      <c r="M42" s="273"/>
      <c r="N42" s="273" t="str">
        <f>IFERROR(__xludf.DUMMYFUNCTION("""COMPUTED_VALUE"""),"Punk-05 ~ Atlas")</f>
        <v>Punk-05 ~ Atlas</v>
      </c>
      <c r="O42" s="273">
        <f>IFERROR(__xludf.DUMMYFUNCTION("""COMPUTED_VALUE"""),302.0)</f>
        <v>302</v>
      </c>
      <c r="P42" s="275" t="str">
        <f t="shared" si="2"/>
        <v/>
      </c>
      <c r="Q42" s="273" t="str">
        <f>IFERROR(__xludf.DUMMYFUNCTION("""COMPUTED_VALUE"""),"298 The Red - Broggy")</f>
        <v>298 The Red - Broggy</v>
      </c>
      <c r="R42" s="273"/>
      <c r="S42" s="273"/>
      <c r="T42" s="273"/>
      <c r="U42" s="273"/>
      <c r="V42" s="273"/>
      <c r="W42" s="273"/>
      <c r="X42" s="273"/>
      <c r="Y42" s="273"/>
      <c r="Z42" s="273"/>
      <c r="AA42" s="273"/>
      <c r="AB42" s="273"/>
      <c r="AC42" s="273"/>
    </row>
    <row r="43" ht="75.0" customHeight="1">
      <c r="A43" s="272" t="s">
        <v>1973</v>
      </c>
      <c r="B43" s="273"/>
      <c r="C43" s="274" t="s">
        <v>1974</v>
      </c>
      <c r="D43" s="274" t="s">
        <v>1974</v>
      </c>
      <c r="E43" s="273"/>
      <c r="F43" s="275"/>
      <c r="G43" s="273" t="s">
        <v>1975</v>
      </c>
      <c r="H43" s="273" t="str">
        <f t="shared" si="1"/>
        <v>2 Years Later / Musician ~ Brook</v>
      </c>
      <c r="I43" s="275"/>
      <c r="J43" s="274" t="s">
        <v>1976</v>
      </c>
      <c r="K43" s="273"/>
      <c r="L43" s="273"/>
      <c r="M43" s="273"/>
      <c r="N43" s="273" t="str">
        <f>IFERROR(__xludf.DUMMYFUNCTION("""COMPUTED_VALUE"""),"Seraphim ~ S-Bear")</f>
        <v>Seraphim ~ S-Bear</v>
      </c>
      <c r="O43" s="273">
        <f>IFERROR(__xludf.DUMMYFUNCTION("""COMPUTED_VALUE"""),301.0)</f>
        <v>301</v>
      </c>
      <c r="P43" s="275" t="str">
        <f t="shared" si="2"/>
        <v/>
      </c>
      <c r="Q43" s="273" t="str">
        <f>IFERROR(__xludf.DUMMYFUNCTION("""COMPUTED_VALUE"""),"071 2 Years Later / Musician - Brook")</f>
        <v>071 2 Years Later / Musician - Brook</v>
      </c>
      <c r="R43" s="273"/>
      <c r="S43" s="273"/>
      <c r="T43" s="273"/>
      <c r="U43" s="273"/>
      <c r="V43" s="273"/>
      <c r="W43" s="273"/>
      <c r="X43" s="273"/>
      <c r="Y43" s="273"/>
      <c r="Z43" s="273"/>
      <c r="AA43" s="273"/>
      <c r="AB43" s="273"/>
      <c r="AC43" s="273"/>
    </row>
    <row r="44" ht="75.0" customHeight="1">
      <c r="A44" s="272" t="s">
        <v>1977</v>
      </c>
      <c r="B44" s="273"/>
      <c r="C44" s="274" t="s">
        <v>1978</v>
      </c>
      <c r="D44" s="274" t="s">
        <v>1978</v>
      </c>
      <c r="E44" s="273"/>
      <c r="F44" s="275"/>
      <c r="G44" s="273" t="s">
        <v>1979</v>
      </c>
      <c r="H44" s="273" t="str">
        <f t="shared" si="1"/>
        <v>Raid on Onigashima ~ Brook</v>
      </c>
      <c r="I44" s="275"/>
      <c r="J44" s="274" t="s">
        <v>1980</v>
      </c>
      <c r="K44" s="273"/>
      <c r="L44" s="273"/>
      <c r="M44" s="273"/>
      <c r="N44" s="273" t="str">
        <f>IFERROR(__xludf.DUMMYFUNCTION("""COMPUTED_VALUE"""),"Punk-02 ~ Lilith")</f>
        <v>Punk-02 ~ Lilith</v>
      </c>
      <c r="O44" s="273">
        <f>IFERROR(__xludf.DUMMYFUNCTION("""COMPUTED_VALUE"""),300.0)</f>
        <v>300</v>
      </c>
      <c r="P44" s="275" t="str">
        <f t="shared" si="2"/>
        <v/>
      </c>
      <c r="Q44" s="273" t="str">
        <f>IFERROR(__xludf.DUMMYFUNCTION("""COMPUTED_VALUE"""),"249 Raid on Onigashima - Brook")</f>
        <v>249 Raid on Onigashima - Brook</v>
      </c>
      <c r="R44" s="273"/>
      <c r="S44" s="273"/>
      <c r="T44" s="273"/>
      <c r="U44" s="273"/>
      <c r="V44" s="273"/>
      <c r="W44" s="273"/>
      <c r="X44" s="273"/>
      <c r="Y44" s="273"/>
      <c r="Z44" s="273"/>
      <c r="AA44" s="273"/>
      <c r="AB44" s="273"/>
      <c r="AC44" s="273"/>
    </row>
    <row r="45" ht="75.0" customHeight="1">
      <c r="A45" s="272" t="s">
        <v>1981</v>
      </c>
      <c r="B45" s="273"/>
      <c r="C45" s="274" t="s">
        <v>1982</v>
      </c>
      <c r="D45" s="274" t="s">
        <v>1982</v>
      </c>
      <c r="E45" s="273"/>
      <c r="F45" s="275"/>
      <c r="G45" s="273" t="s">
        <v>1983</v>
      </c>
      <c r="H45" s="273" t="str">
        <f t="shared" si="1"/>
        <v>Whole Cake Island ~ Brook</v>
      </c>
      <c r="I45" s="275"/>
      <c r="J45" s="274" t="s">
        <v>1984</v>
      </c>
      <c r="K45" s="273"/>
      <c r="L45" s="273"/>
      <c r="M45" s="273"/>
      <c r="N45" s="273" t="str">
        <f>IFERROR(__xludf.DUMMYFUNCTION("""COMPUTED_VALUE"""),"Happy Halloween ~ Uta")</f>
        <v>Happy Halloween ~ Uta</v>
      </c>
      <c r="O45" s="273">
        <f>IFERROR(__xludf.DUMMYFUNCTION("""COMPUTED_VALUE"""),299.0)</f>
        <v>299</v>
      </c>
      <c r="P45" s="275" t="str">
        <f t="shared" si="2"/>
        <v/>
      </c>
      <c r="Q45" s="273" t="str">
        <f>IFERROR(__xludf.DUMMYFUNCTION("""COMPUTED_VALUE"""),"188 Whole Cake Island - Brook")</f>
        <v>188 Whole Cake Island - Brook</v>
      </c>
      <c r="R45" s="273"/>
      <c r="S45" s="273"/>
      <c r="T45" s="273"/>
      <c r="U45" s="273"/>
      <c r="V45" s="273"/>
      <c r="W45" s="273"/>
      <c r="X45" s="273"/>
      <c r="Y45" s="273"/>
      <c r="Z45" s="273"/>
      <c r="AA45" s="273"/>
      <c r="AB45" s="273"/>
      <c r="AC45" s="273"/>
    </row>
    <row r="46" ht="75.0" customHeight="1">
      <c r="A46" s="272" t="s">
        <v>1985</v>
      </c>
      <c r="B46" s="273"/>
      <c r="C46" s="274" t="s">
        <v>1986</v>
      </c>
      <c r="D46" s="274" t="s">
        <v>1986</v>
      </c>
      <c r="E46" s="273"/>
      <c r="F46" s="275"/>
      <c r="G46" s="273" t="s">
        <v>1987</v>
      </c>
      <c r="H46" s="273" t="str">
        <f t="shared" si="1"/>
        <v>Egghead ~ Brook</v>
      </c>
      <c r="I46" s="275"/>
      <c r="J46" s="274" t="s">
        <v>1988</v>
      </c>
      <c r="K46" s="273"/>
      <c r="L46" s="273"/>
      <c r="M46" s="273"/>
      <c r="N46" s="273" t="str">
        <f>IFERROR(__xludf.DUMMYFUNCTION("""COMPUTED_VALUE"""),"The Red ~ Broggy")</f>
        <v>The Red ~ Broggy</v>
      </c>
      <c r="O46" s="273">
        <f>IFERROR(__xludf.DUMMYFUNCTION("""COMPUTED_VALUE"""),298.0)</f>
        <v>298</v>
      </c>
      <c r="P46" s="275" t="str">
        <f t="shared" si="2"/>
        <v/>
      </c>
      <c r="Q46" s="273" t="str">
        <f>IFERROR(__xludf.DUMMYFUNCTION("""COMPUTED_VALUE"""),"330 Egghead - Brook")</f>
        <v>330 Egghead - Brook</v>
      </c>
      <c r="R46" s="273"/>
      <c r="S46" s="273"/>
      <c r="T46" s="273"/>
      <c r="U46" s="273"/>
      <c r="V46" s="273"/>
      <c r="W46" s="273"/>
      <c r="X46" s="273"/>
      <c r="Y46" s="273"/>
      <c r="Z46" s="273"/>
      <c r="AA46" s="273"/>
      <c r="AB46" s="273"/>
      <c r="AC46" s="273"/>
    </row>
    <row r="47" ht="75.0" customHeight="1">
      <c r="A47" s="272" t="s">
        <v>1989</v>
      </c>
      <c r="B47" s="273"/>
      <c r="C47" s="274" t="s">
        <v>1990</v>
      </c>
      <c r="D47" s="274" t="s">
        <v>1990</v>
      </c>
      <c r="E47" s="273"/>
      <c r="F47" s="275"/>
      <c r="G47" s="273" t="s">
        <v>1991</v>
      </c>
      <c r="H47" s="273" t="str">
        <f t="shared" si="1"/>
        <v>Straw Hat Pirates / Musician ~ Brook</v>
      </c>
      <c r="I47" s="275"/>
      <c r="J47" s="274" t="s">
        <v>1992</v>
      </c>
      <c r="K47" s="273"/>
      <c r="L47" s="273"/>
      <c r="M47" s="273"/>
      <c r="N47" s="273" t="str">
        <f>IFERROR(__xludf.DUMMYFUNCTION("""COMPUTED_VALUE"""),"The Blue ~ Dorry")</f>
        <v>The Blue ~ Dorry</v>
      </c>
      <c r="O47" s="273">
        <f>IFERROR(__xludf.DUMMYFUNCTION("""COMPUTED_VALUE"""),297.0)</f>
        <v>297</v>
      </c>
      <c r="P47" s="275" t="str">
        <f t="shared" si="2"/>
        <v/>
      </c>
      <c r="Q47" s="273" t="str">
        <f>IFERROR(__xludf.DUMMYFUNCTION("""COMPUTED_VALUE"""),"009 Straw Hat Pirates / Musician - Brook")</f>
        <v>009 Straw Hat Pirates / Musician - Brook</v>
      </c>
      <c r="R47" s="273"/>
      <c r="S47" s="273"/>
      <c r="T47" s="273"/>
      <c r="U47" s="273"/>
      <c r="V47" s="273"/>
      <c r="W47" s="273"/>
      <c r="X47" s="273"/>
      <c r="Y47" s="273"/>
      <c r="Z47" s="273"/>
      <c r="AA47" s="273"/>
      <c r="AB47" s="273"/>
      <c r="AC47" s="273"/>
    </row>
    <row r="48" ht="75.0" customHeight="1">
      <c r="A48" s="272" t="s">
        <v>1993</v>
      </c>
      <c r="B48" s="273"/>
      <c r="C48" s="274" t="s">
        <v>1994</v>
      </c>
      <c r="D48" s="274" t="s">
        <v>1994</v>
      </c>
      <c r="E48" s="273"/>
      <c r="F48" s="275"/>
      <c r="G48" s="273" t="s">
        <v>1995</v>
      </c>
      <c r="H48" s="273" t="str">
        <f t="shared" si="1"/>
        <v>Land of Wano ~ Bonekichi</v>
      </c>
      <c r="I48" s="275"/>
      <c r="J48" s="274" t="s">
        <v>1996</v>
      </c>
      <c r="K48" s="273"/>
      <c r="L48" s="273"/>
      <c r="M48" s="273"/>
      <c r="N48" s="273" t="str">
        <f>IFERROR(__xludf.DUMMYFUNCTION("""COMPUTED_VALUE"""),"Divine Departure ~ Shanks")</f>
        <v>Divine Departure ~ Shanks</v>
      </c>
      <c r="O48" s="273">
        <f>IFERROR(__xludf.DUMMYFUNCTION("""COMPUTED_VALUE"""),296.0)</f>
        <v>296</v>
      </c>
      <c r="P48" s="275" t="str">
        <f t="shared" si="2"/>
        <v/>
      </c>
      <c r="Q48" s="273" t="str">
        <f>IFERROR(__xludf.DUMMYFUNCTION("""COMPUTED_VALUE"""),"177 Land of Wano - Bonekichi")</f>
        <v>177 Land of Wano - Bonekichi</v>
      </c>
      <c r="R48" s="273"/>
      <c r="S48" s="273"/>
      <c r="T48" s="273"/>
      <c r="U48" s="273"/>
      <c r="V48" s="273"/>
      <c r="W48" s="273"/>
      <c r="X48" s="273"/>
      <c r="Y48" s="273"/>
      <c r="Z48" s="273"/>
      <c r="AA48" s="273"/>
      <c r="AB48" s="273"/>
      <c r="AC48" s="273"/>
    </row>
    <row r="49" ht="75.0" customHeight="1">
      <c r="A49" s="272" t="s">
        <v>1997</v>
      </c>
      <c r="B49" s="273"/>
      <c r="C49" s="274" t="s">
        <v>1998</v>
      </c>
      <c r="D49" s="274" t="s">
        <v>1998</v>
      </c>
      <c r="E49" s="273"/>
      <c r="F49" s="275"/>
      <c r="G49" s="273" t="s">
        <v>1999</v>
      </c>
      <c r="H49" s="273" t="str">
        <f t="shared" si="1"/>
        <v>Big Mom Pirates / Crewmate ~ Charlotte Brulee</v>
      </c>
      <c r="I49" s="275"/>
      <c r="J49" s="274" t="s">
        <v>2000</v>
      </c>
      <c r="K49" s="273"/>
      <c r="L49" s="273"/>
      <c r="M49" s="273"/>
      <c r="N49" s="273" t="str">
        <f>IFERROR(__xludf.DUMMYFUNCTION("""COMPUTED_VALUE"""),"Vegapunk's Spy ~ Stussy")</f>
        <v>Vegapunk's Spy ~ Stussy</v>
      </c>
      <c r="O49" s="273">
        <f>IFERROR(__xludf.DUMMYFUNCTION("""COMPUTED_VALUE"""),295.0)</f>
        <v>295</v>
      </c>
      <c r="P49" s="275" t="str">
        <f t="shared" si="2"/>
        <v/>
      </c>
      <c r="Q49" s="273" t="str">
        <f>IFERROR(__xludf.DUMMYFUNCTION("""COMPUTED_VALUE"""),"240 Big Mom Pirates / Crewmate - Charlotte Brulee")</f>
        <v>240 Big Mom Pirates / Crewmate - Charlotte Brulee</v>
      </c>
      <c r="R49" s="273"/>
      <c r="S49" s="273"/>
      <c r="T49" s="273"/>
      <c r="U49" s="273"/>
      <c r="V49" s="273"/>
      <c r="W49" s="273"/>
      <c r="X49" s="273"/>
      <c r="Y49" s="273"/>
      <c r="Z49" s="273"/>
      <c r="AA49" s="273"/>
      <c r="AB49" s="273"/>
      <c r="AC49" s="273"/>
    </row>
    <row r="50" ht="75.0" customHeight="1">
      <c r="A50" s="272" t="s">
        <v>2001</v>
      </c>
      <c r="B50" s="273"/>
      <c r="C50" s="274" t="s">
        <v>2002</v>
      </c>
      <c r="D50" s="274" t="s">
        <v>2002</v>
      </c>
      <c r="E50" s="273"/>
      <c r="F50" s="275"/>
      <c r="G50" s="273" t="s">
        <v>2003</v>
      </c>
      <c r="H50" s="273" t="str">
        <f t="shared" si="1"/>
        <v>The Seven Warlords of the Sea ~ Buggy</v>
      </c>
      <c r="I50" s="275"/>
      <c r="J50" s="274" t="s">
        <v>2004</v>
      </c>
      <c r="K50" s="273"/>
      <c r="L50" s="273"/>
      <c r="M50" s="273"/>
      <c r="N50" s="273" t="str">
        <f>IFERROR(__xludf.DUMMYFUNCTION("""COMPUTED_VALUE"""),"Awakened Form ~ Kaku")</f>
        <v>Awakened Form ~ Kaku</v>
      </c>
      <c r="O50" s="273">
        <f>IFERROR(__xludf.DUMMYFUNCTION("""COMPUTED_VALUE"""),294.0)</f>
        <v>294</v>
      </c>
      <c r="P50" s="275" t="str">
        <f t="shared" si="2"/>
        <v/>
      </c>
      <c r="Q50" s="273" t="str">
        <f>IFERROR(__xludf.DUMMYFUNCTION("""COMPUTED_VALUE"""),"136 The Seven Warlords of the Sea - Buggy")</f>
        <v>136 The Seven Warlords of the Sea - Buggy</v>
      </c>
      <c r="R50" s="273"/>
      <c r="S50" s="273"/>
      <c r="T50" s="273"/>
      <c r="U50" s="273"/>
      <c r="V50" s="273"/>
      <c r="W50" s="273"/>
      <c r="X50" s="273"/>
      <c r="Y50" s="273"/>
      <c r="Z50" s="273"/>
      <c r="AA50" s="273"/>
      <c r="AB50" s="273"/>
      <c r="AC50" s="273"/>
    </row>
    <row r="51" ht="75.0" customHeight="1">
      <c r="A51" s="272" t="s">
        <v>2005</v>
      </c>
      <c r="B51" s="273"/>
      <c r="C51" s="274" t="s">
        <v>2006</v>
      </c>
      <c r="D51" s="274" t="s">
        <v>2006</v>
      </c>
      <c r="E51" s="273"/>
      <c r="F51" s="275"/>
      <c r="G51" s="273" t="s">
        <v>2007</v>
      </c>
      <c r="H51" s="273" t="str">
        <f t="shared" si="1"/>
        <v>Buggy Pirates / Captain ~ Buggy</v>
      </c>
      <c r="I51" s="275"/>
      <c r="J51" s="274" t="s">
        <v>2008</v>
      </c>
      <c r="K51" s="273"/>
      <c r="L51" s="273"/>
      <c r="M51" s="273"/>
      <c r="N51" s="273" t="str">
        <f>IFERROR(__xludf.DUMMYFUNCTION("""COMPUTED_VALUE"""),"Awakened Form ~ Rob Lucci")</f>
        <v>Awakened Form ~ Rob Lucci</v>
      </c>
      <c r="O51" s="273">
        <f>IFERROR(__xludf.DUMMYFUNCTION("""COMPUTED_VALUE"""),293.0)</f>
        <v>293</v>
      </c>
      <c r="P51" s="275" t="str">
        <f t="shared" si="2"/>
        <v/>
      </c>
      <c r="Q51" s="273" t="str">
        <f>IFERROR(__xludf.DUMMYFUNCTION("""COMPUTED_VALUE"""),"020 Buggy Pirates / Captain - Buggy")</f>
        <v>020 Buggy Pirates / Captain - Buggy</v>
      </c>
      <c r="R51" s="273"/>
      <c r="S51" s="273"/>
      <c r="T51" s="273"/>
      <c r="U51" s="273"/>
      <c r="V51" s="273"/>
      <c r="W51" s="273"/>
      <c r="X51" s="273"/>
      <c r="Y51" s="273"/>
      <c r="Z51" s="273"/>
      <c r="AA51" s="273"/>
      <c r="AB51" s="273"/>
      <c r="AC51" s="273"/>
    </row>
    <row r="52" ht="75.0" customHeight="1">
      <c r="A52" s="272" t="s">
        <v>2009</v>
      </c>
      <c r="B52" s="273"/>
      <c r="C52" s="274" t="s">
        <v>2010</v>
      </c>
      <c r="D52" s="274" t="s">
        <v>2010</v>
      </c>
      <c r="E52" s="273"/>
      <c r="F52" s="275"/>
      <c r="G52" s="273" t="s">
        <v>2011</v>
      </c>
      <c r="H52" s="273" t="str">
        <f t="shared" si="1"/>
        <v>STAMPEDE ~ Douglas Bullet</v>
      </c>
      <c r="I52" s="275"/>
      <c r="J52" s="274" t="s">
        <v>2012</v>
      </c>
      <c r="K52" s="273"/>
      <c r="L52" s="273"/>
      <c r="M52" s="273"/>
      <c r="N52" s="273" t="str">
        <f>IFERROR(__xludf.DUMMYFUNCTION("""COMPUTED_VALUE"""),"CP9 ~ Jabra")</f>
        <v>CP9 ~ Jabra</v>
      </c>
      <c r="O52" s="273">
        <f>IFERROR(__xludf.DUMMYFUNCTION("""COMPUTED_VALUE"""),292.0)</f>
        <v>292</v>
      </c>
      <c r="P52" s="275" t="str">
        <f t="shared" si="2"/>
        <v/>
      </c>
      <c r="Q52" s="273" t="str">
        <f>IFERROR(__xludf.DUMMYFUNCTION("""COMPUTED_VALUE"""),"113 STAMPEDE - Douglas Bullet")</f>
        <v>113 STAMPEDE - Douglas Bullet</v>
      </c>
      <c r="R52" s="273"/>
      <c r="S52" s="273"/>
      <c r="T52" s="273"/>
      <c r="U52" s="273"/>
      <c r="V52" s="273"/>
      <c r="W52" s="273"/>
      <c r="X52" s="273"/>
      <c r="Y52" s="273"/>
      <c r="Z52" s="273"/>
      <c r="AA52" s="273"/>
      <c r="AB52" s="273"/>
      <c r="AC52" s="273"/>
    </row>
    <row r="53" ht="75.0" customHeight="1">
      <c r="A53" s="272" t="s">
        <v>2013</v>
      </c>
      <c r="B53" s="273"/>
      <c r="C53" s="274" t="s">
        <v>2014</v>
      </c>
      <c r="D53" s="274" t="s">
        <v>2014</v>
      </c>
      <c r="E53" s="273"/>
      <c r="F53" s="275"/>
      <c r="G53" s="273" t="s">
        <v>2015</v>
      </c>
      <c r="H53" s="273" t="str">
        <f t="shared" si="1"/>
        <v>Strong-Strong Fruit ~ Jesus Burgess</v>
      </c>
      <c r="I53" s="275"/>
      <c r="J53" s="274" t="s">
        <v>2016</v>
      </c>
      <c r="K53" s="273"/>
      <c r="L53" s="273"/>
      <c r="M53" s="273"/>
      <c r="N53" s="273" t="str">
        <f>IFERROR(__xludf.DUMMYFUNCTION("""COMPUTED_VALUE"""),"CP9 ~ Blueno")</f>
        <v>CP9 ~ Blueno</v>
      </c>
      <c r="O53" s="273">
        <f>IFERROR(__xludf.DUMMYFUNCTION("""COMPUTED_VALUE"""),291.0)</f>
        <v>291</v>
      </c>
      <c r="P53" s="275" t="str">
        <f t="shared" si="2"/>
        <v/>
      </c>
      <c r="Q53" s="273" t="str">
        <f>IFERROR(__xludf.DUMMYFUNCTION("""COMPUTED_VALUE"""),"316 Strong-Strong Fruit - Jesus Burgess")</f>
        <v>316 Strong-Strong Fruit - Jesus Burgess</v>
      </c>
      <c r="R53" s="273"/>
      <c r="S53" s="273"/>
      <c r="T53" s="273"/>
      <c r="U53" s="273"/>
      <c r="V53" s="273"/>
      <c r="W53" s="273"/>
      <c r="X53" s="273"/>
      <c r="Y53" s="273"/>
      <c r="Z53" s="273"/>
      <c r="AA53" s="273"/>
      <c r="AB53" s="273"/>
      <c r="AC53" s="273"/>
    </row>
    <row r="54" ht="75.0" customHeight="1">
      <c r="A54" s="272" t="s">
        <v>2017</v>
      </c>
      <c r="B54" s="273"/>
      <c r="C54" s="274" t="s">
        <v>2018</v>
      </c>
      <c r="D54" s="274" t="s">
        <v>2018</v>
      </c>
      <c r="E54" s="273"/>
      <c r="F54" s="275"/>
      <c r="G54" s="273" t="s">
        <v>2019</v>
      </c>
      <c r="H54" s="273" t="str">
        <f t="shared" si="1"/>
        <v>Blackbeard Pirates / Helsman "Champ" ~ Jesus Burgess</v>
      </c>
      <c r="I54" s="275"/>
      <c r="J54" s="274" t="s">
        <v>2020</v>
      </c>
      <c r="K54" s="273"/>
      <c r="L54" s="273"/>
      <c r="M54" s="273"/>
      <c r="N54" s="273" t="str">
        <f>IFERROR(__xludf.DUMMYFUNCTION("""COMPUTED_VALUE"""),"Seraphim ~ S-Hawk")</f>
        <v>Seraphim ~ S-Hawk</v>
      </c>
      <c r="O54" s="273">
        <f>IFERROR(__xludf.DUMMYFUNCTION("""COMPUTED_VALUE"""),290.0)</f>
        <v>290</v>
      </c>
      <c r="P54" s="275" t="str">
        <f t="shared" si="2"/>
        <v/>
      </c>
      <c r="Q54" s="273" t="str">
        <f>IFERROR(__xludf.DUMMYFUNCTION("""COMPUTED_VALUE"""),"201 Blackbeard Pirates / Helsman ""Champ"" - Jesus Burgess")</f>
        <v>201 Blackbeard Pirates / Helsman "Champ" - Jesus Burgess</v>
      </c>
      <c r="R54" s="273"/>
      <c r="S54" s="273"/>
      <c r="T54" s="273"/>
      <c r="U54" s="273"/>
      <c r="V54" s="273"/>
      <c r="W54" s="273"/>
      <c r="X54" s="273"/>
      <c r="Y54" s="273"/>
      <c r="Z54" s="273"/>
      <c r="AA54" s="273"/>
      <c r="AB54" s="273"/>
      <c r="AC54" s="273"/>
    </row>
    <row r="55" ht="75.0" customHeight="1">
      <c r="A55" s="272" t="s">
        <v>2021</v>
      </c>
      <c r="B55" s="273"/>
      <c r="C55" s="274" t="s">
        <v>2022</v>
      </c>
      <c r="D55" s="274" t="s">
        <v>2022</v>
      </c>
      <c r="E55" s="273"/>
      <c r="F55" s="275"/>
      <c r="G55" s="273" t="s">
        <v>2023</v>
      </c>
      <c r="H55" s="273" t="str">
        <f t="shared" si="1"/>
        <v>Black Cat Pirates / Guard ~ Butchie</v>
      </c>
      <c r="I55" s="275"/>
      <c r="J55" s="274" t="s">
        <v>2024</v>
      </c>
      <c r="K55" s="273"/>
      <c r="L55" s="273"/>
      <c r="M55" s="273"/>
      <c r="N55" s="273" t="str">
        <f>IFERROR(__xludf.DUMMYFUNCTION("""COMPUTED_VALUE"""),"Egghead ~ Roronoa Zoro")</f>
        <v>Egghead ~ Roronoa Zoro</v>
      </c>
      <c r="O55" s="273">
        <f>IFERROR(__xludf.DUMMYFUNCTION("""COMPUTED_VALUE"""),289.0)</f>
        <v>289</v>
      </c>
      <c r="P55" s="275" t="str">
        <f t="shared" si="2"/>
        <v/>
      </c>
      <c r="Q55" s="273" t="str">
        <f>IFERROR(__xludf.DUMMYFUNCTION("""COMPUTED_VALUE"""),"017 Black Cat Pirates / Guard - Butchie")</f>
        <v>017 Black Cat Pirates / Guard - Butchie</v>
      </c>
      <c r="R55" s="273"/>
      <c r="S55" s="273"/>
      <c r="T55" s="273"/>
      <c r="U55" s="273"/>
      <c r="V55" s="273"/>
      <c r="W55" s="273"/>
      <c r="X55" s="273"/>
      <c r="Y55" s="273"/>
      <c r="Z55" s="273"/>
      <c r="AA55" s="273"/>
      <c r="AB55" s="273"/>
      <c r="AC55" s="273"/>
    </row>
    <row r="56" ht="75.0" customHeight="1">
      <c r="A56" s="272" t="s">
        <v>2025</v>
      </c>
      <c r="B56" s="273"/>
      <c r="C56" s="274" t="s">
        <v>2026</v>
      </c>
      <c r="D56" s="274" t="s">
        <v>2026</v>
      </c>
      <c r="E56" s="273"/>
      <c r="F56" s="275"/>
      <c r="G56" s="273" t="s">
        <v>2027</v>
      </c>
      <c r="H56" s="273" t="str">
        <f t="shared" si="1"/>
        <v>Buggy Pirates / Chief of Staff ~ Cabaji</v>
      </c>
      <c r="I56" s="275"/>
      <c r="J56" s="274" t="s">
        <v>2028</v>
      </c>
      <c r="K56" s="273"/>
      <c r="L56" s="273"/>
      <c r="M56" s="273"/>
      <c r="N56" s="273" t="str">
        <f>IFERROR(__xludf.DUMMYFUNCTION("""COMPUTED_VALUE"""),"Seraphim ~ S-Snake")</f>
        <v>Seraphim ~ S-Snake</v>
      </c>
      <c r="O56" s="273">
        <f>IFERROR(__xludf.DUMMYFUNCTION("""COMPUTED_VALUE"""),288.0)</f>
        <v>288</v>
      </c>
      <c r="P56" s="275" t="str">
        <f t="shared" si="2"/>
        <v/>
      </c>
      <c r="Q56" s="273" t="str">
        <f>IFERROR(__xludf.DUMMYFUNCTION("""COMPUTED_VALUE"""),"015 Buggy Pirates / Chief of Staff - Cabaji")</f>
        <v>015 Buggy Pirates / Chief of Staff - Cabaji</v>
      </c>
      <c r="R56" s="273"/>
      <c r="S56" s="273"/>
      <c r="T56" s="273"/>
      <c r="U56" s="273"/>
      <c r="V56" s="273"/>
      <c r="W56" s="273"/>
      <c r="X56" s="273"/>
      <c r="Y56" s="273"/>
      <c r="Z56" s="273"/>
      <c r="AA56" s="273"/>
      <c r="AB56" s="273"/>
      <c r="AC56" s="273"/>
    </row>
    <row r="57" ht="75.0" customHeight="1">
      <c r="A57" s="272" t="s">
        <v>2029</v>
      </c>
      <c r="B57" s="273"/>
      <c r="C57" s="274" t="s">
        <v>2030</v>
      </c>
      <c r="D57" s="274" t="s">
        <v>2030</v>
      </c>
      <c r="E57" s="273"/>
      <c r="F57" s="275"/>
      <c r="G57" s="273" t="s">
        <v>2031</v>
      </c>
      <c r="H57" s="273" t="str">
        <f t="shared" si="1"/>
        <v>Former World Government / Science Division Member ~ Caesar Clown</v>
      </c>
      <c r="I57" s="275"/>
      <c r="J57" s="274" t="s">
        <v>2032</v>
      </c>
      <c r="K57" s="273"/>
      <c r="L57" s="273"/>
      <c r="M57" s="273"/>
      <c r="N57" s="273" t="str">
        <f>IFERROR(__xludf.DUMMYFUNCTION("""COMPUTED_VALUE"""),"Egghead ~ Monkey D. Luffy")</f>
        <v>Egghead ~ Monkey D. Luffy</v>
      </c>
      <c r="O57" s="273">
        <f>IFERROR(__xludf.DUMMYFUNCTION("""COMPUTED_VALUE"""),287.0)</f>
        <v>287</v>
      </c>
      <c r="P57" s="275" t="str">
        <f t="shared" si="2"/>
        <v/>
      </c>
      <c r="Q57" s="273" t="str">
        <f>IFERROR(__xludf.DUMMYFUNCTION("""COMPUTED_VALUE"""),"137 Former World Government / Science Division Member - Caesar Clown")</f>
        <v>137 Former World Government / Science Division Member - Caesar Clown</v>
      </c>
      <c r="R57" s="273"/>
      <c r="S57" s="273"/>
      <c r="T57" s="273"/>
      <c r="U57" s="273"/>
      <c r="V57" s="273"/>
      <c r="W57" s="273"/>
      <c r="X57" s="273"/>
      <c r="Y57" s="273"/>
      <c r="Z57" s="273"/>
      <c r="AA57" s="273"/>
      <c r="AB57" s="273"/>
      <c r="AC57" s="273"/>
    </row>
    <row r="58" ht="75.0" customHeight="1">
      <c r="A58" s="272" t="s">
        <v>2033</v>
      </c>
      <c r="B58" s="273"/>
      <c r="C58" s="274" t="s">
        <v>2034</v>
      </c>
      <c r="D58" s="274" t="s">
        <v>2034</v>
      </c>
      <c r="E58" s="273"/>
      <c r="F58" s="275"/>
      <c r="G58" s="273" t="s">
        <v>2035</v>
      </c>
      <c r="H58" s="273" t="str">
        <f t="shared" si="1"/>
        <v>Caribou Pirates / Captain ~ Caribou</v>
      </c>
      <c r="I58" s="275"/>
      <c r="J58" s="274" t="s">
        <v>2036</v>
      </c>
      <c r="K58" s="273"/>
      <c r="L58" s="273"/>
      <c r="M58" s="273"/>
      <c r="N58" s="273" t="str">
        <f>IFERROR(__xludf.DUMMYFUNCTION("""COMPUTED_VALUE"""),"The Navy's Human Weapon ~ Pacifista")</f>
        <v>The Navy's Human Weapon ~ Pacifista</v>
      </c>
      <c r="O58" s="273">
        <f>IFERROR(__xludf.DUMMYFUNCTION("""COMPUTED_VALUE"""),286.0)</f>
        <v>286</v>
      </c>
      <c r="P58" s="275" t="str">
        <f t="shared" si="2"/>
        <v/>
      </c>
      <c r="Q58" s="273" t="str">
        <f>IFERROR(__xludf.DUMMYFUNCTION("""COMPUTED_VALUE"""),"254 Caribou Pirates / Captain - Caribou")</f>
        <v>254 Caribou Pirates / Captain - Caribou</v>
      </c>
      <c r="R58" s="273"/>
      <c r="S58" s="273"/>
      <c r="T58" s="273"/>
      <c r="U58" s="273"/>
      <c r="V58" s="273"/>
      <c r="W58" s="273"/>
      <c r="X58" s="273"/>
      <c r="Y58" s="273"/>
      <c r="Z58" s="273"/>
      <c r="AA58" s="273"/>
      <c r="AB58" s="273"/>
      <c r="AC58" s="273"/>
    </row>
    <row r="59" ht="75.0" customHeight="1">
      <c r="A59" s="272" t="s">
        <v>2037</v>
      </c>
      <c r="B59" s="273"/>
      <c r="C59" s="274" t="s">
        <v>2038</v>
      </c>
      <c r="D59" s="274" t="s">
        <v>2038</v>
      </c>
      <c r="E59" s="273"/>
      <c r="F59" s="275"/>
      <c r="G59" s="273" t="s">
        <v>2039</v>
      </c>
      <c r="H59" s="273" t="str">
        <f t="shared" si="1"/>
        <v>Whole Cake Island ~ Carrot</v>
      </c>
      <c r="I59" s="275"/>
      <c r="J59" s="274" t="s">
        <v>2040</v>
      </c>
      <c r="K59" s="273"/>
      <c r="L59" s="273"/>
      <c r="M59" s="273"/>
      <c r="N59" s="273" t="str">
        <f>IFERROR(__xludf.DUMMYFUNCTION("""COMPUTED_VALUE"""),"The Most Defensive Man in the World ~ Sentomaru")</f>
        <v>The Most Defensive Man in the World ~ Sentomaru</v>
      </c>
      <c r="O59" s="273">
        <f>IFERROR(__xludf.DUMMYFUNCTION("""COMPUTED_VALUE"""),285.0)</f>
        <v>285</v>
      </c>
      <c r="P59" s="275" t="str">
        <f t="shared" si="2"/>
        <v/>
      </c>
      <c r="Q59" s="273" t="str">
        <f>IFERROR(__xludf.DUMMYFUNCTION("""COMPUTED_VALUE"""),"278 Whole Cake Island - Carrot")</f>
        <v>278 Whole Cake Island - Carrot</v>
      </c>
      <c r="R59" s="273"/>
      <c r="S59" s="273"/>
      <c r="T59" s="273"/>
      <c r="U59" s="273"/>
      <c r="V59" s="273"/>
      <c r="W59" s="273"/>
      <c r="X59" s="273"/>
      <c r="Y59" s="273"/>
      <c r="Z59" s="273"/>
      <c r="AA59" s="273"/>
      <c r="AB59" s="273"/>
      <c r="AC59" s="273"/>
    </row>
    <row r="60" ht="75.0" customHeight="1">
      <c r="A60" s="272" t="s">
        <v>2041</v>
      </c>
      <c r="B60" s="273"/>
      <c r="C60" s="274" t="s">
        <v>2042</v>
      </c>
      <c r="D60" s="274" t="s">
        <v>2042</v>
      </c>
      <c r="E60" s="273"/>
      <c r="F60" s="275"/>
      <c r="G60" s="273" t="s">
        <v>2043</v>
      </c>
      <c r="H60" s="273" t="str">
        <f t="shared" si="1"/>
        <v>Minks ~ Carrot</v>
      </c>
      <c r="I60" s="275"/>
      <c r="J60" s="274" t="s">
        <v>2044</v>
      </c>
      <c r="K60" s="273"/>
      <c r="L60" s="273"/>
      <c r="M60" s="273"/>
      <c r="N60" s="273" t="str">
        <f>IFERROR(__xludf.DUMMYFUNCTION("""COMPUTED_VALUE"""),"Fake Straw Hat Pirates / Captain ~ Demaro Black")</f>
        <v>Fake Straw Hat Pirates / Captain ~ Demaro Black</v>
      </c>
      <c r="O60" s="273">
        <f>IFERROR(__xludf.DUMMYFUNCTION("""COMPUTED_VALUE"""),284.0)</f>
        <v>284</v>
      </c>
      <c r="P60" s="275" t="str">
        <f t="shared" si="2"/>
        <v/>
      </c>
      <c r="Q60" s="273" t="str">
        <f>IFERROR(__xludf.DUMMYFUNCTION("""COMPUTED_VALUE"""),"159 Minks - Carrot")</f>
        <v>159 Minks - Carrot</v>
      </c>
      <c r="R60" s="273"/>
      <c r="S60" s="273"/>
      <c r="T60" s="273"/>
      <c r="U60" s="273"/>
      <c r="V60" s="273"/>
      <c r="W60" s="273"/>
      <c r="X60" s="273"/>
      <c r="Y60" s="273"/>
      <c r="Z60" s="273"/>
      <c r="AA60" s="273"/>
      <c r="AB60" s="273"/>
      <c r="AC60" s="273"/>
    </row>
    <row r="61" ht="75.0" customHeight="1">
      <c r="A61" s="272" t="s">
        <v>2045</v>
      </c>
      <c r="B61" s="273"/>
      <c r="C61" s="274" t="s">
        <v>2046</v>
      </c>
      <c r="D61" s="274" t="s">
        <v>2046</v>
      </c>
      <c r="E61" s="273"/>
      <c r="F61" s="275"/>
      <c r="G61" s="273" t="s">
        <v>2047</v>
      </c>
      <c r="H61" s="273" t="str">
        <f t="shared" si="1"/>
        <v>Slicing Winds of Rommel ~ Hakuba</v>
      </c>
      <c r="I61" s="275"/>
      <c r="J61" s="274" t="s">
        <v>2048</v>
      </c>
      <c r="K61" s="273"/>
      <c r="L61" s="273"/>
      <c r="M61" s="273"/>
      <c r="N61" s="273" t="str">
        <f>IFERROR(__xludf.DUMMYFUNCTION("""COMPUTED_VALUE"""),"Lvneel Kingdom / Exploration Ship Admiral ~ Mont Blanc Noland")</f>
        <v>Lvneel Kingdom / Exploration Ship Admiral ~ Mont Blanc Noland</v>
      </c>
      <c r="O61" s="273">
        <f>IFERROR(__xludf.DUMMYFUNCTION("""COMPUTED_VALUE"""),283.0)</f>
        <v>283</v>
      </c>
      <c r="P61" s="275" t="str">
        <f t="shared" si="2"/>
        <v/>
      </c>
      <c r="Q61" s="273" t="str">
        <f>IFERROR(__xludf.DUMMYFUNCTION("""COMPUTED_VALUE"""),"244 Slicing Winds of Rommel - Hakuba")</f>
        <v>244 Slicing Winds of Rommel - Hakuba</v>
      </c>
      <c r="R61" s="273"/>
      <c r="S61" s="273"/>
      <c r="T61" s="273"/>
      <c r="U61" s="273"/>
      <c r="V61" s="273"/>
      <c r="W61" s="273"/>
      <c r="X61" s="273"/>
      <c r="Y61" s="273"/>
      <c r="Z61" s="273"/>
      <c r="AA61" s="273"/>
      <c r="AB61" s="273"/>
      <c r="AC61" s="273"/>
    </row>
    <row r="62" ht="75.0" customHeight="1">
      <c r="A62" s="272" t="s">
        <v>2049</v>
      </c>
      <c r="B62" s="273"/>
      <c r="C62" s="274" t="s">
        <v>2050</v>
      </c>
      <c r="D62" s="274" t="s">
        <v>2050</v>
      </c>
      <c r="E62" s="273"/>
      <c r="F62" s="275"/>
      <c r="G62" s="273" t="s">
        <v>2051</v>
      </c>
      <c r="H62" s="273" t="str">
        <f t="shared" si="1"/>
        <v>Beautiful Pirates / Captain ~ Cavendish</v>
      </c>
      <c r="I62" s="275"/>
      <c r="J62" s="274" t="s">
        <v>2052</v>
      </c>
      <c r="K62" s="273"/>
      <c r="L62" s="273"/>
      <c r="M62" s="273"/>
      <c r="N62" s="273" t="str">
        <f>IFERROR(__xludf.DUMMYFUNCTION("""COMPUTED_VALUE"""),"The Great Warrior of Shandora ~ Kalgara")</f>
        <v>The Great Warrior of Shandora ~ Kalgara</v>
      </c>
      <c r="O62" s="273">
        <f>IFERROR(__xludf.DUMMYFUNCTION("""COMPUTED_VALUE"""),282.0)</f>
        <v>282</v>
      </c>
      <c r="P62" s="275" t="str">
        <f t="shared" si="2"/>
        <v/>
      </c>
      <c r="Q62" s="273" t="str">
        <f>IFERROR(__xludf.DUMMYFUNCTION("""COMPUTED_VALUE"""),"107 Beautiful Pirates / Captain - Cavendish")</f>
        <v>107 Beautiful Pirates / Captain - Cavendish</v>
      </c>
      <c r="R62" s="273"/>
      <c r="S62" s="273"/>
      <c r="T62" s="273"/>
      <c r="U62" s="273"/>
      <c r="V62" s="273"/>
      <c r="W62" s="273"/>
      <c r="X62" s="273"/>
      <c r="Y62" s="273"/>
      <c r="Z62" s="273"/>
      <c r="AA62" s="273"/>
      <c r="AB62" s="273"/>
      <c r="AC62" s="273"/>
    </row>
    <row r="63" ht="75.0" customHeight="1">
      <c r="A63" s="272" t="s">
        <v>2053</v>
      </c>
      <c r="B63" s="273"/>
      <c r="C63" s="274" t="s">
        <v>2054</v>
      </c>
      <c r="D63" s="274" t="s">
        <v>2054</v>
      </c>
      <c r="E63" s="273"/>
      <c r="F63" s="275"/>
      <c r="G63" s="273" t="s">
        <v>2055</v>
      </c>
      <c r="H63" s="273" t="str">
        <f t="shared" si="1"/>
        <v>Celestial Dragon ~ St. Charlos</v>
      </c>
      <c r="I63" s="275"/>
      <c r="J63" s="274" t="s">
        <v>2056</v>
      </c>
      <c r="K63" s="273"/>
      <c r="L63" s="273"/>
      <c r="M63" s="273"/>
      <c r="N63" s="273" t="str">
        <f>IFERROR(__xludf.DUMMYFUNCTION("""COMPUTED_VALUE"""),"The Sky Knight ~ Ganfor")</f>
        <v>The Sky Knight ~ Ganfor</v>
      </c>
      <c r="O63" s="273">
        <f>IFERROR(__xludf.DUMMYFUNCTION("""COMPUTED_VALUE"""),281.0)</f>
        <v>281</v>
      </c>
      <c r="P63" s="275" t="str">
        <f t="shared" si="2"/>
        <v/>
      </c>
      <c r="Q63" s="273" t="str">
        <f>IFERROR(__xludf.DUMMYFUNCTION("""COMPUTED_VALUE"""),"318 Celestial Dragon - St. Charlos")</f>
        <v>318 Celestial Dragon - St. Charlos</v>
      </c>
      <c r="R63" s="273"/>
      <c r="S63" s="273"/>
      <c r="T63" s="273"/>
      <c r="U63" s="273"/>
      <c r="V63" s="273"/>
      <c r="W63" s="273"/>
      <c r="X63" s="273"/>
      <c r="Y63" s="273"/>
      <c r="Z63" s="273"/>
      <c r="AA63" s="273"/>
      <c r="AB63" s="273"/>
      <c r="AC63" s="273"/>
    </row>
    <row r="64" ht="75.0" customHeight="1">
      <c r="A64" s="272" t="s">
        <v>2057</v>
      </c>
      <c r="B64" s="273"/>
      <c r="C64" s="274" t="s">
        <v>2058</v>
      </c>
      <c r="D64" s="274" t="s">
        <v>2058</v>
      </c>
      <c r="E64" s="273"/>
      <c r="F64" s="275"/>
      <c r="G64" s="273" t="s">
        <v>2059</v>
      </c>
      <c r="H64" s="273" t="str">
        <f t="shared" si="1"/>
        <v>Former Happosui Army / 12th Chief ~ Chin Jao</v>
      </c>
      <c r="I64" s="275"/>
      <c r="J64" s="274" t="s">
        <v>2060</v>
      </c>
      <c r="K64" s="273"/>
      <c r="L64" s="273"/>
      <c r="M64" s="273"/>
      <c r="N64" s="273" t="str">
        <f>IFERROR(__xludf.DUMMYFUNCTION("""COMPUTED_VALUE"""),"Ex-Roger Pirates / First Mate ~ Silvers Rayleigh")</f>
        <v>Ex-Roger Pirates / First Mate ~ Silvers Rayleigh</v>
      </c>
      <c r="O64" s="273">
        <f>IFERROR(__xludf.DUMMYFUNCTION("""COMPUTED_VALUE"""),280.0)</f>
        <v>280</v>
      </c>
      <c r="P64" s="275" t="str">
        <f t="shared" si="2"/>
        <v/>
      </c>
      <c r="Q64" s="273" t="str">
        <f>IFERROR(__xludf.DUMMYFUNCTION("""COMPUTED_VALUE"""),"243 Former Happosui Army / 12th Chief - Chin Jao")</f>
        <v>243 Former Happosui Army / 12th Chief - Chin Jao</v>
      </c>
      <c r="R64" s="273"/>
      <c r="S64" s="273"/>
      <c r="T64" s="273"/>
      <c r="U64" s="273"/>
      <c r="V64" s="273"/>
      <c r="W64" s="273"/>
      <c r="X64" s="273"/>
      <c r="Y64" s="273"/>
      <c r="Z64" s="273"/>
      <c r="AA64" s="273"/>
      <c r="AB64" s="273"/>
      <c r="AC64" s="273"/>
    </row>
    <row r="65" ht="75.0" customHeight="1">
      <c r="A65" s="272" t="s">
        <v>2061</v>
      </c>
      <c r="B65" s="273"/>
      <c r="C65" s="274" t="s">
        <v>2062</v>
      </c>
      <c r="D65" s="274" t="s">
        <v>2062</v>
      </c>
      <c r="E65" s="273"/>
      <c r="F65" s="275"/>
      <c r="G65" s="273" t="s">
        <v>2063</v>
      </c>
      <c r="H65" s="273" t="str">
        <f t="shared" si="1"/>
        <v>Arlong Pirates / Officer ~ Choo</v>
      </c>
      <c r="I65" s="275"/>
      <c r="J65" s="274" t="s">
        <v>2064</v>
      </c>
      <c r="K65" s="273"/>
      <c r="L65" s="273"/>
      <c r="M65" s="273"/>
      <c r="N65" s="273" t="str">
        <f>IFERROR(__xludf.DUMMYFUNCTION("""COMPUTED_VALUE"""),"Great Pirate ~ Gol D. Roger")</f>
        <v>Great Pirate ~ Gol D. Roger</v>
      </c>
      <c r="O65" s="273">
        <f>IFERROR(__xludf.DUMMYFUNCTION("""COMPUTED_VALUE"""),279.0)</f>
        <v>279</v>
      </c>
      <c r="P65" s="275" t="str">
        <f t="shared" si="2"/>
        <v/>
      </c>
      <c r="Q65" s="273" t="str">
        <f>IFERROR(__xludf.DUMMYFUNCTION("""COMPUTED_VALUE"""),"027 Arlong Pirates / Officer - Choo")</f>
        <v>027 Arlong Pirates / Officer - Choo</v>
      </c>
      <c r="R65" s="273"/>
      <c r="S65" s="273"/>
      <c r="T65" s="273"/>
      <c r="U65" s="273"/>
      <c r="V65" s="273"/>
      <c r="W65" s="273"/>
      <c r="X65" s="273"/>
      <c r="Y65" s="273"/>
      <c r="Z65" s="273"/>
      <c r="AA65" s="273"/>
      <c r="AB65" s="273"/>
      <c r="AC65" s="273"/>
    </row>
    <row r="66" ht="75.0" customHeight="1">
      <c r="A66" s="272" t="s">
        <v>2065</v>
      </c>
      <c r="B66" s="273"/>
      <c r="C66" s="274" t="s">
        <v>2066</v>
      </c>
      <c r="D66" s="274" t="s">
        <v>2066</v>
      </c>
      <c r="E66" s="273"/>
      <c r="F66" s="275"/>
      <c r="G66" s="273" t="s">
        <v>2067</v>
      </c>
      <c r="H66" s="273" t="str">
        <f t="shared" si="1"/>
        <v>2 Years Later / Doctor ~ Tony Tony Chopper</v>
      </c>
      <c r="I66" s="275"/>
      <c r="J66" s="274" t="s">
        <v>2068</v>
      </c>
      <c r="K66" s="273"/>
      <c r="L66" s="273"/>
      <c r="M66" s="273"/>
      <c r="N66" s="273" t="str">
        <f>IFERROR(__xludf.DUMMYFUNCTION("""COMPUTED_VALUE"""),"Whole Cake Island ~ Carrot")</f>
        <v>Whole Cake Island ~ Carrot</v>
      </c>
      <c r="O66" s="273">
        <f>IFERROR(__xludf.DUMMYFUNCTION("""COMPUTED_VALUE"""),278.0)</f>
        <v>278</v>
      </c>
      <c r="P66" s="275" t="str">
        <f t="shared" si="2"/>
        <v/>
      </c>
      <c r="Q66" s="273" t="str">
        <f>IFERROR(__xludf.DUMMYFUNCTION("""COMPUTED_VALUE"""),"069 2 Years Later / Doctor - Tony Tony Chopper")</f>
        <v>069 2 Years Later / Doctor - Tony Tony Chopper</v>
      </c>
      <c r="R66" s="273"/>
      <c r="S66" s="273"/>
      <c r="T66" s="273"/>
      <c r="U66" s="273"/>
      <c r="V66" s="273"/>
      <c r="W66" s="273"/>
      <c r="X66" s="273"/>
      <c r="Y66" s="273"/>
      <c r="Z66" s="273"/>
      <c r="AA66" s="273"/>
      <c r="AB66" s="273"/>
      <c r="AC66" s="273"/>
    </row>
    <row r="67" ht="75.0" customHeight="1">
      <c r="A67" s="272" t="s">
        <v>2069</v>
      </c>
      <c r="B67" s="273"/>
      <c r="C67" s="274" t="s">
        <v>2070</v>
      </c>
      <c r="D67" s="274" t="s">
        <v>2070</v>
      </c>
      <c r="E67" s="273"/>
      <c r="F67" s="275"/>
      <c r="G67" s="273" t="s">
        <v>2071</v>
      </c>
      <c r="H67" s="273" t="str">
        <f t="shared" si="1"/>
        <v>Arm Point ~ Tony Tony Chopper</v>
      </c>
      <c r="I67" s="275"/>
      <c r="J67" s="274" t="s">
        <v>2072</v>
      </c>
      <c r="K67" s="273"/>
      <c r="L67" s="273"/>
      <c r="M67" s="273"/>
      <c r="N67" s="273" t="str">
        <f>IFERROR(__xludf.DUMMYFUNCTION("""COMPUTED_VALUE"""),"Heir to the Shogun of Wano ~ Kozuki Oden")</f>
        <v>Heir to the Shogun of Wano ~ Kozuki Oden</v>
      </c>
      <c r="O67" s="273">
        <f>IFERROR(__xludf.DUMMYFUNCTION("""COMPUTED_VALUE"""),277.0)</f>
        <v>277</v>
      </c>
      <c r="P67" s="275" t="str">
        <f t="shared" si="2"/>
        <v/>
      </c>
      <c r="Q67" s="273" t="str">
        <f>IFERROR(__xludf.DUMMYFUNCTION("""COMPUTED_VALUE"""),"056 Arm Point - Tony Tony Chopper")</f>
        <v>056 Arm Point - Tony Tony Chopper</v>
      </c>
      <c r="R67" s="273"/>
      <c r="S67" s="273"/>
      <c r="T67" s="273"/>
      <c r="U67" s="273"/>
      <c r="V67" s="273"/>
      <c r="W67" s="273"/>
      <c r="X67" s="273"/>
      <c r="Y67" s="273"/>
      <c r="Z67" s="273"/>
      <c r="AA67" s="273"/>
      <c r="AB67" s="273"/>
      <c r="AC67" s="273"/>
    </row>
    <row r="68" ht="75.0" customHeight="1">
      <c r="A68" s="272" t="s">
        <v>2073</v>
      </c>
      <c r="B68" s="273"/>
      <c r="C68" s="274" t="s">
        <v>2074</v>
      </c>
      <c r="D68" s="274" t="s">
        <v>2074</v>
      </c>
      <c r="E68" s="273"/>
      <c r="F68" s="275"/>
      <c r="G68" s="273" t="s">
        <v>2075</v>
      </c>
      <c r="H68" s="273" t="str">
        <f t="shared" si="1"/>
        <v>Raid on Onigashima ~ Tony Tony Chopper</v>
      </c>
      <c r="I68" s="275"/>
      <c r="J68" s="274" t="s">
        <v>2076</v>
      </c>
      <c r="K68" s="273"/>
      <c r="L68" s="273"/>
      <c r="M68" s="273"/>
      <c r="N68" s="273" t="str">
        <f>IFERROR(__xludf.DUMMYFUNCTION("""COMPUTED_VALUE"""),"Great Pirate ~ Edward Newgate")</f>
        <v>Great Pirate ~ Edward Newgate</v>
      </c>
      <c r="O68" s="273">
        <f>IFERROR(__xludf.DUMMYFUNCTION("""COMPUTED_VALUE"""),276.0)</f>
        <v>276</v>
      </c>
      <c r="P68" s="275" t="str">
        <f t="shared" si="2"/>
        <v/>
      </c>
      <c r="Q68" s="273" t="str">
        <f>IFERROR(__xludf.DUMMYFUNCTION("""COMPUTED_VALUE"""),"270 Raid on Onigashima - Tony Tony Chopper")</f>
        <v>270 Raid on Onigashima - Tony Tony Chopper</v>
      </c>
      <c r="R68" s="273"/>
      <c r="S68" s="273"/>
      <c r="T68" s="273"/>
      <c r="U68" s="273"/>
      <c r="V68" s="273"/>
      <c r="W68" s="273"/>
      <c r="X68" s="273"/>
      <c r="Y68" s="273"/>
      <c r="Z68" s="273"/>
      <c r="AA68" s="273"/>
      <c r="AB68" s="273"/>
      <c r="AC68" s="273"/>
    </row>
    <row r="69" ht="75.0" customHeight="1">
      <c r="A69" s="272" t="s">
        <v>2077</v>
      </c>
      <c r="B69" s="273"/>
      <c r="C69" s="274" t="s">
        <v>2078</v>
      </c>
      <c r="D69" s="274" t="s">
        <v>2078</v>
      </c>
      <c r="E69" s="273"/>
      <c r="F69" s="275"/>
      <c r="G69" s="273" t="s">
        <v>2079</v>
      </c>
      <c r="H69" s="273" t="str">
        <f t="shared" si="1"/>
        <v>Egghead ~ Tony Tony Chopper</v>
      </c>
      <c r="I69" s="275"/>
      <c r="J69" s="274" t="s">
        <v>2080</v>
      </c>
      <c r="K69" s="273"/>
      <c r="L69" s="273"/>
      <c r="M69" s="273"/>
      <c r="N69" s="273" t="str">
        <f>IFERROR(__xludf.DUMMYFUNCTION("""COMPUTED_VALUE"""),"Fire Fist Ogre Princess ~ Ace &amp; Yamato")</f>
        <v>Fire Fist Ogre Princess ~ Ace &amp; Yamato</v>
      </c>
      <c r="O69" s="273">
        <f>IFERROR(__xludf.DUMMYFUNCTION("""COMPUTED_VALUE"""),275.0)</f>
        <v>275</v>
      </c>
      <c r="P69" s="275" t="str">
        <f t="shared" si="2"/>
        <v/>
      </c>
      <c r="Q69" s="273" t="str">
        <f>IFERROR(__xludf.DUMMYFUNCTION("""COMPUTED_VALUE"""),"331 Egghead - Tony Tony Chopper")</f>
        <v>331 Egghead - Tony Tony Chopper</v>
      </c>
      <c r="R69" s="273"/>
      <c r="S69" s="273"/>
      <c r="T69" s="273"/>
      <c r="U69" s="273"/>
      <c r="V69" s="273"/>
      <c r="W69" s="273"/>
      <c r="X69" s="273"/>
      <c r="Y69" s="273"/>
      <c r="Z69" s="273"/>
      <c r="AA69" s="273"/>
      <c r="AB69" s="273"/>
      <c r="AC69" s="273"/>
    </row>
    <row r="70" ht="75.0" customHeight="1">
      <c r="A70" s="272" t="s">
        <v>2081</v>
      </c>
      <c r="B70" s="273"/>
      <c r="C70" s="274" t="s">
        <v>2082</v>
      </c>
      <c r="D70" s="274" t="s">
        <v>2082</v>
      </c>
      <c r="E70" s="273"/>
      <c r="F70" s="275"/>
      <c r="G70" s="273" t="s">
        <v>2083</v>
      </c>
      <c r="H70" s="273" t="str">
        <f t="shared" si="1"/>
        <v>Monster Point ~ Tony Tony Chopper</v>
      </c>
      <c r="I70" s="275"/>
      <c r="J70" s="274" t="s">
        <v>2084</v>
      </c>
      <c r="K70" s="273"/>
      <c r="L70" s="273"/>
      <c r="M70" s="273"/>
      <c r="N70" s="273" t="str">
        <f>IFERROR(__xludf.DUMMYFUNCTION("""COMPUTED_VALUE"""),"Shogun of Wano ~ Kozuki Momonosuke")</f>
        <v>Shogun of Wano ~ Kozuki Momonosuke</v>
      </c>
      <c r="O70" s="273">
        <f>IFERROR(__xludf.DUMMYFUNCTION("""COMPUTED_VALUE"""),274.0)</f>
        <v>274</v>
      </c>
      <c r="P70" s="275" t="str">
        <f t="shared" si="2"/>
        <v/>
      </c>
      <c r="Q70" s="273" t="str">
        <f>IFERROR(__xludf.DUMMYFUNCTION("""COMPUTED_VALUE"""),"166 Monster Point - Tony Tony Chopper")</f>
        <v>166 Monster Point - Tony Tony Chopper</v>
      </c>
      <c r="R70" s="273"/>
      <c r="S70" s="273"/>
      <c r="T70" s="273"/>
      <c r="U70" s="273"/>
      <c r="V70" s="273"/>
      <c r="W70" s="273"/>
      <c r="X70" s="273"/>
      <c r="Y70" s="273"/>
      <c r="Z70" s="273"/>
      <c r="AA70" s="273"/>
      <c r="AB70" s="273"/>
      <c r="AC70" s="273"/>
    </row>
    <row r="71" ht="75.0" customHeight="1">
      <c r="A71" s="272" t="s">
        <v>2085</v>
      </c>
      <c r="B71" s="273"/>
      <c r="C71" s="274" t="s">
        <v>2086</v>
      </c>
      <c r="D71" s="274" t="s">
        <v>2086</v>
      </c>
      <c r="E71" s="273"/>
      <c r="F71" s="275"/>
      <c r="G71" s="273" t="s">
        <v>2087</v>
      </c>
      <c r="H71" s="273" t="str">
        <f t="shared" si="1"/>
        <v>Happy Holiday ~ Tony Tony Chopper</v>
      </c>
      <c r="I71" s="275"/>
      <c r="J71" s="274" t="s">
        <v>2088</v>
      </c>
      <c r="K71" s="273"/>
      <c r="L71" s="273"/>
      <c r="M71" s="273"/>
      <c r="N71" s="273" t="str">
        <f>IFERROR(__xludf.DUMMYFUNCTION("""COMPUTED_VALUE"""),"Navy HQ / Admiral Ryokugyu ~ [Aramaki]")</f>
        <v>Navy HQ / Admiral Ryokugyu ~ [Aramaki]</v>
      </c>
      <c r="O71" s="273">
        <f>IFERROR(__xludf.DUMMYFUNCTION("""COMPUTED_VALUE"""),273.0)</f>
        <v>273</v>
      </c>
      <c r="P71" s="275" t="str">
        <f t="shared" si="2"/>
        <v/>
      </c>
      <c r="Q71" s="273" t="str">
        <f>IFERROR(__xludf.DUMMYFUNCTION("""COMPUTED_VALUE"""),"096 Happy Holiday - Tony Tony Chopper")</f>
        <v>096 Happy Holiday - Tony Tony Chopper</v>
      </c>
      <c r="R71" s="273"/>
      <c r="S71" s="273"/>
      <c r="T71" s="273"/>
      <c r="U71" s="273"/>
      <c r="V71" s="273"/>
      <c r="W71" s="273"/>
      <c r="X71" s="273"/>
      <c r="Y71" s="273"/>
      <c r="Z71" s="273"/>
      <c r="AA71" s="273"/>
      <c r="AB71" s="273"/>
      <c r="AC71" s="273"/>
    </row>
    <row r="72" ht="75.0" customHeight="1">
      <c r="A72" s="272" t="s">
        <v>2089</v>
      </c>
      <c r="B72" s="273"/>
      <c r="C72" s="274" t="s">
        <v>2090</v>
      </c>
      <c r="D72" s="274" t="s">
        <v>2090</v>
      </c>
      <c r="E72" s="273"/>
      <c r="F72" s="275"/>
      <c r="G72" s="273" t="s">
        <v>2091</v>
      </c>
      <c r="H72" s="273" t="str">
        <f t="shared" si="1"/>
        <v>Straw Hat Pirates / Doctor ~ Tony Tony Chopper</v>
      </c>
      <c r="I72" s="275"/>
      <c r="J72" s="274" t="s">
        <v>2092</v>
      </c>
      <c r="K72" s="273"/>
      <c r="L72" s="273"/>
      <c r="M72" s="273"/>
      <c r="N72" s="273" t="str">
        <f>IFERROR(__xludf.DUMMYFUNCTION("""COMPUTED_VALUE"""),"Land of Wano ~ Otama &amp; Komachiyo")</f>
        <v>Land of Wano ~ Otama &amp; Komachiyo</v>
      </c>
      <c r="O72" s="273">
        <f>IFERROR(__xludf.DUMMYFUNCTION("""COMPUTED_VALUE"""),272.0)</f>
        <v>272</v>
      </c>
      <c r="P72" s="275" t="str">
        <f t="shared" si="2"/>
        <v/>
      </c>
      <c r="Q72" s="273" t="str">
        <f>IFERROR(__xludf.DUMMYFUNCTION("""COMPUTED_VALUE"""),"006 Straw Hat Pirates / Doctor - Tony Tony Chopper")</f>
        <v>006 Straw Hat Pirates / Doctor - Tony Tony Chopper</v>
      </c>
      <c r="R72" s="273"/>
      <c r="S72" s="273"/>
      <c r="T72" s="273"/>
      <c r="U72" s="273"/>
      <c r="V72" s="273"/>
      <c r="W72" s="273"/>
      <c r="X72" s="273"/>
      <c r="Y72" s="273"/>
      <c r="Z72" s="273"/>
      <c r="AA72" s="273"/>
      <c r="AB72" s="273"/>
      <c r="AC72" s="273"/>
    </row>
    <row r="73" ht="75.0" customHeight="1">
      <c r="A73" s="272" t="s">
        <v>2093</v>
      </c>
      <c r="B73" s="273"/>
      <c r="C73" s="274" t="s">
        <v>2094</v>
      </c>
      <c r="D73" s="274" t="s">
        <v>2094</v>
      </c>
      <c r="E73" s="273"/>
      <c r="F73" s="275"/>
      <c r="G73" s="273" t="s">
        <v>2095</v>
      </c>
      <c r="H73" s="273" t="str">
        <f t="shared" si="1"/>
        <v>FILM RED ~ Tony Tony Chopper</v>
      </c>
      <c r="I73" s="275"/>
      <c r="J73" s="274" t="s">
        <v>2096</v>
      </c>
      <c r="K73" s="273"/>
      <c r="L73" s="273"/>
      <c r="M73" s="273"/>
      <c r="N73" s="273" t="str">
        <f>IFERROR(__xludf.DUMMYFUNCTION("""COMPUTED_VALUE"""),"Raid on Onigashima ~ Franky")</f>
        <v>Raid on Onigashima ~ Franky</v>
      </c>
      <c r="O73" s="273">
        <f>IFERROR(__xludf.DUMMYFUNCTION("""COMPUTED_VALUE"""),271.0)</f>
        <v>271</v>
      </c>
      <c r="P73" s="275" t="str">
        <f t="shared" si="2"/>
        <v/>
      </c>
      <c r="Q73" s="273" t="str">
        <f>IFERROR(__xludf.DUMMYFUNCTION("""COMPUTED_VALUE"""),"221 FILM RED - Tony Tony Chopper")</f>
        <v>221 FILM RED - Tony Tony Chopper</v>
      </c>
      <c r="R73" s="273"/>
      <c r="S73" s="273"/>
      <c r="T73" s="273"/>
      <c r="U73" s="273"/>
      <c r="V73" s="273"/>
      <c r="W73" s="273"/>
      <c r="X73" s="273"/>
      <c r="Y73" s="273"/>
      <c r="Z73" s="273"/>
      <c r="AA73" s="273"/>
      <c r="AB73" s="273"/>
      <c r="AC73" s="273"/>
    </row>
    <row r="74" ht="75.0" customHeight="1">
      <c r="A74" s="272" t="s">
        <v>2097</v>
      </c>
      <c r="B74" s="273"/>
      <c r="C74" s="274" t="s">
        <v>2098</v>
      </c>
      <c r="D74" s="274" t="s">
        <v>2098</v>
      </c>
      <c r="E74" s="273"/>
      <c r="F74" s="275"/>
      <c r="G74" s="273" t="s">
        <v>2099</v>
      </c>
      <c r="H74" s="273" t="str">
        <f t="shared" si="1"/>
        <v>Land of Wano ~ Chopperemon</v>
      </c>
      <c r="I74" s="275"/>
      <c r="J74" s="274" t="s">
        <v>2100</v>
      </c>
      <c r="K74" s="273"/>
      <c r="L74" s="273"/>
      <c r="M74" s="273"/>
      <c r="N74" s="273" t="str">
        <f>IFERROR(__xludf.DUMMYFUNCTION("""COMPUTED_VALUE"""),"Raid on Onigashima ~ Tony Tony Chopper")</f>
        <v>Raid on Onigashima ~ Tony Tony Chopper</v>
      </c>
      <c r="O74" s="273">
        <f>IFERROR(__xludf.DUMMYFUNCTION("""COMPUTED_VALUE"""),270.0)</f>
        <v>270</v>
      </c>
      <c r="P74" s="275" t="str">
        <f t="shared" si="2"/>
        <v/>
      </c>
      <c r="Q74" s="273" t="str">
        <f>IFERROR(__xludf.DUMMYFUNCTION("""COMPUTED_VALUE"""),"153 Land of Wano - Chopperemon")</f>
        <v>153 Land of Wano - Chopperemon</v>
      </c>
      <c r="R74" s="273"/>
      <c r="S74" s="273"/>
      <c r="T74" s="273"/>
      <c r="U74" s="273"/>
      <c r="V74" s="273"/>
      <c r="W74" s="273"/>
      <c r="X74" s="273"/>
      <c r="Y74" s="273"/>
      <c r="Z74" s="273"/>
      <c r="AA74" s="273"/>
      <c r="AB74" s="273"/>
      <c r="AC74" s="273"/>
    </row>
    <row r="75" ht="75.0" customHeight="1">
      <c r="A75" s="272" t="s">
        <v>2101</v>
      </c>
      <c r="B75" s="273"/>
      <c r="C75" s="274" t="s">
        <v>2102</v>
      </c>
      <c r="D75" s="274" t="s">
        <v>2102</v>
      </c>
      <c r="E75" s="273"/>
      <c r="F75" s="275"/>
      <c r="G75" s="273" t="s">
        <v>2103</v>
      </c>
      <c r="H75" s="273" t="str">
        <f t="shared" si="1"/>
        <v>Navy HQ / Captain ~ Koby</v>
      </c>
      <c r="I75" s="275"/>
      <c r="J75" s="274" t="s">
        <v>2104</v>
      </c>
      <c r="K75" s="273"/>
      <c r="L75" s="273"/>
      <c r="M75" s="273"/>
      <c r="N75" s="273" t="str">
        <f>IFERROR(__xludf.DUMMYFUNCTION("""COMPUTED_VALUE"""),"Animal Kingdom Pirates / Tobi Roppo ~ Black Maria")</f>
        <v>Animal Kingdom Pirates / Tobi Roppo ~ Black Maria</v>
      </c>
      <c r="O75" s="273">
        <f>IFERROR(__xludf.DUMMYFUNCTION("""COMPUTED_VALUE"""),269.0)</f>
        <v>269</v>
      </c>
      <c r="P75" s="275" t="str">
        <f t="shared" si="2"/>
        <v/>
      </c>
      <c r="Q75" s="273" t="str">
        <f>IFERROR(__xludf.DUMMYFUNCTION("""COMPUTED_VALUE"""),"309 Navy HQ / Captain - Koby")</f>
        <v>309 Navy HQ / Captain - Koby</v>
      </c>
      <c r="R75" s="273"/>
      <c r="S75" s="273"/>
      <c r="T75" s="273"/>
      <c r="U75" s="273"/>
      <c r="V75" s="273"/>
      <c r="W75" s="273"/>
      <c r="X75" s="273"/>
      <c r="Y75" s="273"/>
      <c r="Z75" s="273"/>
      <c r="AA75" s="273"/>
      <c r="AB75" s="273"/>
      <c r="AC75" s="273"/>
    </row>
    <row r="76" ht="75.0" customHeight="1">
      <c r="A76" s="272" t="s">
        <v>2105</v>
      </c>
      <c r="B76" s="273"/>
      <c r="C76" s="274" t="s">
        <v>2106</v>
      </c>
      <c r="D76" s="274" t="s">
        <v>2106</v>
      </c>
      <c r="E76" s="273"/>
      <c r="F76" s="275"/>
      <c r="G76" s="273" t="s">
        <v>2107</v>
      </c>
      <c r="H76" s="273" t="str">
        <f t="shared" si="1"/>
        <v>Chore Boy ~ Koby</v>
      </c>
      <c r="I76" s="275"/>
      <c r="J76" s="274" t="s">
        <v>2108</v>
      </c>
      <c r="K76" s="273"/>
      <c r="L76" s="273"/>
      <c r="M76" s="273"/>
      <c r="N76" s="273" t="str">
        <f>IFERROR(__xludf.DUMMYFUNCTION("""COMPUTED_VALUE"""),"Revolutionary Army / Captain of the Eastern Forces ~ Belo Betty")</f>
        <v>Revolutionary Army / Captain of the Eastern Forces ~ Belo Betty</v>
      </c>
      <c r="O76" s="273">
        <f>IFERROR(__xludf.DUMMYFUNCTION("""COMPUTED_VALUE"""),268.0)</f>
        <v>268</v>
      </c>
      <c r="P76" s="275" t="str">
        <f t="shared" si="2"/>
        <v/>
      </c>
      <c r="Q76" s="273" t="str">
        <f>IFERROR(__xludf.DUMMYFUNCTION("""COMPUTED_VALUE"""),"011 Chore Boy - Koby")</f>
        <v>011 Chore Boy - Koby</v>
      </c>
      <c r="R76" s="273"/>
      <c r="S76" s="273"/>
      <c r="T76" s="273"/>
      <c r="U76" s="273"/>
      <c r="V76" s="273"/>
      <c r="W76" s="273"/>
      <c r="X76" s="273"/>
      <c r="Y76" s="273"/>
      <c r="Z76" s="273"/>
      <c r="AA76" s="273"/>
      <c r="AB76" s="273"/>
      <c r="AC76" s="273"/>
    </row>
    <row r="77" ht="75.0" customHeight="1">
      <c r="A77" s="272" t="s">
        <v>2109</v>
      </c>
      <c r="B77" s="273"/>
      <c r="C77" s="274" t="s">
        <v>2110</v>
      </c>
      <c r="D77" s="274" t="s">
        <v>2110</v>
      </c>
      <c r="E77" s="273"/>
      <c r="F77" s="275"/>
      <c r="G77" s="273" t="s">
        <v>2111</v>
      </c>
      <c r="H77" s="273" t="str">
        <f t="shared" si="1"/>
        <v>Navy HQ / Master Chief Petty Officer ~ Koby</v>
      </c>
      <c r="I77" s="275"/>
      <c r="J77" s="274" t="s">
        <v>2112</v>
      </c>
      <c r="K77" s="273"/>
      <c r="L77" s="273"/>
      <c r="M77" s="273"/>
      <c r="N77" s="273" t="str">
        <f>IFERROR(__xludf.DUMMYFUNCTION("""COMPUTED_VALUE"""),"Revolutionary Army / Captain of the Northern Forces ~ Karasu")</f>
        <v>Revolutionary Army / Captain of the Northern Forces ~ Karasu</v>
      </c>
      <c r="O77" s="273">
        <f>IFERROR(__xludf.DUMMYFUNCTION("""COMPUTED_VALUE"""),267.0)</f>
        <v>267</v>
      </c>
      <c r="P77" s="275" t="str">
        <f t="shared" si="2"/>
        <v/>
      </c>
      <c r="Q77" s="273" t="str">
        <f>IFERROR(__xludf.DUMMYFUNCTION("""COMPUTED_VALUE"""),"179 Navy HQ / Master Chief Petty Officer - Koby")</f>
        <v>179 Navy HQ / Master Chief Petty Officer - Koby</v>
      </c>
      <c r="R77" s="273"/>
      <c r="S77" s="273"/>
      <c r="T77" s="273"/>
      <c r="U77" s="273"/>
      <c r="V77" s="273"/>
      <c r="W77" s="273"/>
      <c r="X77" s="273"/>
      <c r="Y77" s="273"/>
      <c r="Z77" s="273"/>
      <c r="AA77" s="273"/>
      <c r="AB77" s="273"/>
      <c r="AC77" s="273"/>
    </row>
    <row r="78" ht="75.0" customHeight="1">
      <c r="A78" s="272" t="s">
        <v>2113</v>
      </c>
      <c r="B78" s="273"/>
      <c r="C78" s="274" t="s">
        <v>2114</v>
      </c>
      <c r="D78" s="274" t="s">
        <v>2114</v>
      </c>
      <c r="E78" s="273"/>
      <c r="F78" s="275"/>
      <c r="G78" s="273" t="s">
        <v>2115</v>
      </c>
      <c r="H78" s="273" t="str">
        <f t="shared" si="1"/>
        <v>Don Quixote Family / Officer ~ Corazon</v>
      </c>
      <c r="I78" s="275"/>
      <c r="J78" s="274" t="s">
        <v>2116</v>
      </c>
      <c r="K78" s="273"/>
      <c r="L78" s="273"/>
      <c r="M78" s="273"/>
      <c r="N78" s="273" t="str">
        <f>IFERROR(__xludf.DUMMYFUNCTION("""COMPUTED_VALUE"""),"Revolutionary Army / Officer ~ Inazuma")</f>
        <v>Revolutionary Army / Officer ~ Inazuma</v>
      </c>
      <c r="O78" s="273">
        <f>IFERROR(__xludf.DUMMYFUNCTION("""COMPUTED_VALUE"""),266.0)</f>
        <v>266</v>
      </c>
      <c r="P78" s="275" t="str">
        <f t="shared" si="2"/>
        <v/>
      </c>
      <c r="Q78" s="273" t="str">
        <f>IFERROR(__xludf.DUMMYFUNCTION("""COMPUTED_VALUE"""),"133 Don Quixote Family / Officer - Corazon")</f>
        <v>133 Don Quixote Family / Officer - Corazon</v>
      </c>
      <c r="R78" s="273"/>
      <c r="S78" s="273"/>
      <c r="T78" s="273"/>
      <c r="U78" s="273"/>
      <c r="V78" s="273"/>
      <c r="W78" s="273"/>
      <c r="X78" s="273"/>
      <c r="Y78" s="273"/>
      <c r="Z78" s="273"/>
      <c r="AA78" s="273"/>
      <c r="AB78" s="273"/>
      <c r="AC78" s="273"/>
    </row>
    <row r="79" ht="75.0" customHeight="1">
      <c r="A79" s="272" t="s">
        <v>2117</v>
      </c>
      <c r="B79" s="273"/>
      <c r="C79" s="274" t="s">
        <v>2118</v>
      </c>
      <c r="D79" s="274" t="s">
        <v>2118</v>
      </c>
      <c r="E79" s="273"/>
      <c r="F79" s="275"/>
      <c r="G79" s="273" t="s">
        <v>2119</v>
      </c>
      <c r="H79" s="273" t="str">
        <f t="shared" si="1"/>
        <v>Big Mom Pirates / "Sweet 3" General ~ Charlotte Cracker</v>
      </c>
      <c r="I79" s="275"/>
      <c r="J79" s="274" t="s">
        <v>2120</v>
      </c>
      <c r="K79" s="273"/>
      <c r="L79" s="273"/>
      <c r="M79" s="273"/>
      <c r="N79" s="273" t="str">
        <f>IFERROR(__xludf.DUMMYFUNCTION("""COMPUTED_VALUE"""),"Revolutionary Army / Solider ~ Hack")</f>
        <v>Revolutionary Army / Solider ~ Hack</v>
      </c>
      <c r="O79" s="273">
        <f>IFERROR(__xludf.DUMMYFUNCTION("""COMPUTED_VALUE"""),265.0)</f>
        <v>265</v>
      </c>
      <c r="P79" s="275" t="str">
        <f t="shared" si="2"/>
        <v/>
      </c>
      <c r="Q79" s="273" t="str">
        <f>IFERROR(__xludf.DUMMYFUNCTION("""COMPUTED_VALUE"""),"239 Big Mom Pirates / ""Sweet 3"" General - Charlotte Cracker")</f>
        <v>239 Big Mom Pirates / "Sweet 3" General - Charlotte Cracker</v>
      </c>
      <c r="R79" s="273"/>
      <c r="S79" s="273"/>
      <c r="T79" s="273"/>
      <c r="U79" s="273"/>
      <c r="V79" s="273"/>
      <c r="W79" s="273"/>
      <c r="X79" s="273"/>
      <c r="Y79" s="273"/>
      <c r="Z79" s="273"/>
      <c r="AA79" s="273"/>
      <c r="AB79" s="273"/>
      <c r="AC79" s="273"/>
    </row>
    <row r="80" ht="75.0" customHeight="1">
      <c r="A80" s="272" t="s">
        <v>2121</v>
      </c>
      <c r="B80" s="273"/>
      <c r="C80" s="274" t="s">
        <v>2122</v>
      </c>
      <c r="D80" s="274" t="s">
        <v>2122</v>
      </c>
      <c r="E80" s="273"/>
      <c r="F80" s="275"/>
      <c r="G80" s="273" t="s">
        <v>2123</v>
      </c>
      <c r="H80" s="273" t="str">
        <f t="shared" si="1"/>
        <v>Fake Straw Hat Pirates / Captain ~ Demaro Black</v>
      </c>
      <c r="I80" s="275"/>
      <c r="J80" s="274" t="s">
        <v>2124</v>
      </c>
      <c r="K80" s="273"/>
      <c r="L80" s="273"/>
      <c r="M80" s="273"/>
      <c r="N80" s="273" t="str">
        <f>IFERROR(__xludf.DUMMYFUNCTION("""COMPUTED_VALUE"""),"Cyborg ~ Queen")</f>
        <v>Cyborg ~ Queen</v>
      </c>
      <c r="O80" s="273">
        <f>IFERROR(__xludf.DUMMYFUNCTION("""COMPUTED_VALUE"""),264.0)</f>
        <v>264</v>
      </c>
      <c r="P80" s="275" t="str">
        <f t="shared" si="2"/>
        <v/>
      </c>
      <c r="Q80" s="273" t="str">
        <f>IFERROR(__xludf.DUMMYFUNCTION("""COMPUTED_VALUE"""),"284 Fake Straw Hat Pirates / Captain - Demaro Black")</f>
        <v>284 Fake Straw Hat Pirates / Captain - Demaro Black</v>
      </c>
      <c r="R80" s="273"/>
      <c r="S80" s="273"/>
      <c r="T80" s="273"/>
      <c r="U80" s="273"/>
      <c r="V80" s="273"/>
      <c r="W80" s="273"/>
      <c r="X80" s="273"/>
      <c r="Y80" s="273"/>
      <c r="Z80" s="273"/>
      <c r="AA80" s="273"/>
      <c r="AB80" s="273"/>
      <c r="AC80" s="273"/>
    </row>
    <row r="81" ht="75.0" customHeight="1">
      <c r="A81" s="272" t="s">
        <v>2125</v>
      </c>
      <c r="B81" s="273"/>
      <c r="C81" s="274" t="s">
        <v>2126</v>
      </c>
      <c r="D81" s="274" t="s">
        <v>2126</v>
      </c>
      <c r="E81" s="273"/>
      <c r="F81" s="275"/>
      <c r="G81" s="273" t="s">
        <v>2127</v>
      </c>
      <c r="H81" s="273" t="str">
        <f t="shared" si="1"/>
        <v>Don Quixote Pirates / Supreme Officer ~ Diamante</v>
      </c>
      <c r="I81" s="275"/>
      <c r="J81" s="274" t="s">
        <v>2128</v>
      </c>
      <c r="K81" s="273"/>
      <c r="L81" s="273"/>
      <c r="M81" s="273"/>
      <c r="N81" s="273" t="str">
        <f>IFERROR(__xludf.DUMMYFUNCTION("""COMPUTED_VALUE"""),"Lunarian ~ Alber")</f>
        <v>Lunarian ~ Alber</v>
      </c>
      <c r="O81" s="273">
        <f>IFERROR(__xludf.DUMMYFUNCTION("""COMPUTED_VALUE"""),263.0)</f>
        <v>263</v>
      </c>
      <c r="P81" s="275" t="str">
        <f t="shared" si="2"/>
        <v/>
      </c>
      <c r="Q81" s="273" t="str">
        <f>IFERROR(__xludf.DUMMYFUNCTION("""COMPUTED_VALUE"""),"225 Don Quixote Pirates / Supreme Officer - Diamante")</f>
        <v>225 Don Quixote Pirates / Supreme Officer - Diamante</v>
      </c>
      <c r="R81" s="273"/>
      <c r="S81" s="273"/>
      <c r="T81" s="273"/>
      <c r="U81" s="273"/>
      <c r="V81" s="273"/>
      <c r="W81" s="273"/>
      <c r="X81" s="273"/>
      <c r="Y81" s="273"/>
      <c r="Z81" s="273"/>
      <c r="AA81" s="273"/>
      <c r="AB81" s="273"/>
      <c r="AC81" s="273"/>
    </row>
    <row r="82" ht="75.0" customHeight="1">
      <c r="A82" s="272" t="s">
        <v>2129</v>
      </c>
      <c r="B82" s="273"/>
      <c r="C82" s="274" t="s">
        <v>2130</v>
      </c>
      <c r="D82" s="274" t="s">
        <v>2130</v>
      </c>
      <c r="E82" s="273"/>
      <c r="F82" s="275"/>
      <c r="G82" s="273" t="s">
        <v>2131</v>
      </c>
      <c r="H82" s="273" t="str">
        <f t="shared" si="1"/>
        <v>Black Cat Pirates / Captain ~ Django</v>
      </c>
      <c r="I82" s="275"/>
      <c r="J82" s="274" t="s">
        <v>2132</v>
      </c>
      <c r="K82" s="273"/>
      <c r="L82" s="273"/>
      <c r="M82" s="273"/>
      <c r="N82" s="273" t="str">
        <f>IFERROR(__xludf.DUMMYFUNCTION("""COMPUTED_VALUE"""),"Animal Kingdom Pirates / Tobi Roppo ~ Sasaki")</f>
        <v>Animal Kingdom Pirates / Tobi Roppo ~ Sasaki</v>
      </c>
      <c r="O82" s="273">
        <f>IFERROR(__xludf.DUMMYFUNCTION("""COMPUTED_VALUE"""),262.0)</f>
        <v>262</v>
      </c>
      <c r="P82" s="275" t="str">
        <f t="shared" si="2"/>
        <v/>
      </c>
      <c r="Q82" s="273" t="str">
        <f>IFERROR(__xludf.DUMMYFUNCTION("""COMPUTED_VALUE"""),"016 Black Cat Pirates / Captain - Django")</f>
        <v>016 Black Cat Pirates / Captain - Django</v>
      </c>
      <c r="R82" s="273"/>
      <c r="S82" s="273"/>
      <c r="T82" s="273"/>
      <c r="U82" s="273"/>
      <c r="V82" s="273"/>
      <c r="W82" s="273"/>
      <c r="X82" s="273"/>
      <c r="Y82" s="273"/>
      <c r="Z82" s="273"/>
      <c r="AA82" s="273"/>
      <c r="AB82" s="273"/>
      <c r="AC82" s="273"/>
    </row>
    <row r="83" ht="75.0" customHeight="1">
      <c r="A83" s="272" t="s">
        <v>2133</v>
      </c>
      <c r="B83" s="273"/>
      <c r="C83" s="274" t="s">
        <v>2134</v>
      </c>
      <c r="D83" s="274" t="s">
        <v>2134</v>
      </c>
      <c r="E83" s="273"/>
      <c r="F83" s="275"/>
      <c r="G83" s="273" t="s">
        <v>2135</v>
      </c>
      <c r="H83" s="273" t="str">
        <f t="shared" si="1"/>
        <v>The Seven Warlords of the Sea ~ Don Quixote Doflamingo</v>
      </c>
      <c r="I83" s="275"/>
      <c r="J83" s="274" t="s">
        <v>2136</v>
      </c>
      <c r="K83" s="273"/>
      <c r="L83" s="273"/>
      <c r="M83" s="273"/>
      <c r="N83" s="273" t="str">
        <f>IFERROR(__xludf.DUMMYFUNCTION("""COMPUTED_VALUE"""),"Raid on Onigashima ~ Sanji")</f>
        <v>Raid on Onigashima ~ Sanji</v>
      </c>
      <c r="O83" s="273">
        <f>IFERROR(__xludf.DUMMYFUNCTION("""COMPUTED_VALUE"""),261.0)</f>
        <v>261</v>
      </c>
      <c r="P83" s="275" t="str">
        <f t="shared" si="2"/>
        <v/>
      </c>
      <c r="Q83" s="273" t="str">
        <f>IFERROR(__xludf.DUMMYFUNCTION("""COMPUTED_VALUE"""),"081 The Seven Warlords of the Sea - Don Quixote Doflamingo")</f>
        <v>081 The Seven Warlords of the Sea - Don Quixote Doflamingo</v>
      </c>
      <c r="R83" s="273"/>
      <c r="S83" s="273"/>
      <c r="T83" s="273"/>
      <c r="U83" s="273"/>
      <c r="V83" s="273"/>
      <c r="W83" s="273"/>
      <c r="X83" s="273"/>
      <c r="Y83" s="273"/>
      <c r="Z83" s="273"/>
      <c r="AA83" s="273"/>
      <c r="AB83" s="273"/>
      <c r="AC83" s="273"/>
    </row>
    <row r="84" ht="75.0" customHeight="1">
      <c r="A84" s="272" t="s">
        <v>2137</v>
      </c>
      <c r="B84" s="273"/>
      <c r="C84" s="274" t="s">
        <v>2138</v>
      </c>
      <c r="D84" s="274" t="s">
        <v>2138</v>
      </c>
      <c r="E84" s="273"/>
      <c r="F84" s="275"/>
      <c r="G84" s="273" t="s">
        <v>2139</v>
      </c>
      <c r="H84" s="273" t="str">
        <f t="shared" si="1"/>
        <v>Don Quixote Pirates / Captain ~ Don Quixote Doflamingo</v>
      </c>
      <c r="I84" s="275"/>
      <c r="J84" s="274" t="s">
        <v>2140</v>
      </c>
      <c r="K84" s="273"/>
      <c r="L84" s="273"/>
      <c r="M84" s="273"/>
      <c r="N84" s="273" t="str">
        <f>IFERROR(__xludf.DUMMYFUNCTION("""COMPUTED_VALUE"""),"Gear Five ~ Monkey D. Luffy")</f>
        <v>Gear Five ~ Monkey D. Luffy</v>
      </c>
      <c r="O84" s="273">
        <f>IFERROR(__xludf.DUMMYFUNCTION("""COMPUTED_VALUE"""),260.0)</f>
        <v>260</v>
      </c>
      <c r="P84" s="275" t="str">
        <f t="shared" si="2"/>
        <v/>
      </c>
      <c r="Q84" s="273" t="str">
        <f>IFERROR(__xludf.DUMMYFUNCTION("""COMPUTED_VALUE"""),"183 Don Quixote Pirates / Captain - Don Quixote Doflamingo")</f>
        <v>183 Don Quixote Pirates / Captain - Don Quixote Doflamingo</v>
      </c>
      <c r="R84" s="273"/>
      <c r="S84" s="273"/>
      <c r="T84" s="273"/>
      <c r="U84" s="273"/>
      <c r="V84" s="273"/>
      <c r="W84" s="273"/>
      <c r="X84" s="273"/>
      <c r="Y84" s="273"/>
      <c r="Z84" s="273"/>
      <c r="AA84" s="273"/>
      <c r="AB84" s="273"/>
      <c r="AC84" s="273"/>
    </row>
    <row r="85" ht="75.0" customHeight="1">
      <c r="A85" s="272" t="s">
        <v>2141</v>
      </c>
      <c r="B85" s="273"/>
      <c r="C85" s="274" t="s">
        <v>2142</v>
      </c>
      <c r="D85" s="274" t="s">
        <v>2142</v>
      </c>
      <c r="E85" s="273"/>
      <c r="F85" s="275"/>
      <c r="G85" s="273" t="s">
        <v>2143</v>
      </c>
      <c r="H85" s="273" t="str">
        <f t="shared" si="1"/>
        <v>Krieg`s Pirate Armada / Admiral ~ Don Krieg</v>
      </c>
      <c r="I85" s="275"/>
      <c r="J85" s="274" t="s">
        <v>2144</v>
      </c>
      <c r="K85" s="273"/>
      <c r="L85" s="273"/>
      <c r="M85" s="273"/>
      <c r="N85" s="273" t="str">
        <f>IFERROR(__xludf.DUMMYFUNCTION("""COMPUTED_VALUE"""),"Singer of the New Genesis ~ Uta")</f>
        <v>Singer of the New Genesis ~ Uta</v>
      </c>
      <c r="O85" s="273">
        <f>IFERROR(__xludf.DUMMYFUNCTION("""COMPUTED_VALUE"""),259.0)</f>
        <v>259</v>
      </c>
      <c r="P85" s="275" t="str">
        <f t="shared" si="2"/>
        <v/>
      </c>
      <c r="Q85" s="273" t="str">
        <f>IFERROR(__xludf.DUMMYFUNCTION("""COMPUTED_VALUE"""),"024 Krieg`s Pirate Armada / Admiral - Don Krieg")</f>
        <v>024 Krieg`s Pirate Armada / Admiral - Don Krieg</v>
      </c>
      <c r="R85" s="273"/>
      <c r="S85" s="273"/>
      <c r="T85" s="273"/>
      <c r="U85" s="273"/>
      <c r="V85" s="273"/>
      <c r="W85" s="273"/>
      <c r="X85" s="273"/>
      <c r="Y85" s="273"/>
      <c r="Z85" s="273"/>
      <c r="AA85" s="273"/>
      <c r="AB85" s="273"/>
      <c r="AC85" s="273"/>
    </row>
    <row r="86" ht="75.0" customHeight="1">
      <c r="A86" s="272" t="s">
        <v>2145</v>
      </c>
      <c r="B86" s="273"/>
      <c r="C86" s="274" t="s">
        <v>2146</v>
      </c>
      <c r="D86" s="274" t="s">
        <v>2146</v>
      </c>
      <c r="E86" s="273"/>
      <c r="F86" s="275"/>
      <c r="G86" s="273" t="s">
        <v>2147</v>
      </c>
      <c r="H86" s="273" t="str">
        <f t="shared" si="1"/>
        <v>The Blue ~ Dorry</v>
      </c>
      <c r="I86" s="275"/>
      <c r="J86" s="274" t="s">
        <v>2148</v>
      </c>
      <c r="K86" s="273"/>
      <c r="L86" s="273"/>
      <c r="M86" s="273"/>
      <c r="N86" s="273" t="str">
        <f>IFERROR(__xludf.DUMMYFUNCTION("""COMPUTED_VALUE"""),"Raid on Onigashima ~ Killer")</f>
        <v>Raid on Onigashima ~ Killer</v>
      </c>
      <c r="O86" s="273">
        <f>IFERROR(__xludf.DUMMYFUNCTION("""COMPUTED_VALUE"""),258.0)</f>
        <v>258</v>
      </c>
      <c r="P86" s="275" t="str">
        <f t="shared" si="2"/>
        <v/>
      </c>
      <c r="Q86" s="273" t="str">
        <f>IFERROR(__xludf.DUMMYFUNCTION("""COMPUTED_VALUE"""),"297 The Blue - Dorry")</f>
        <v>297 The Blue - Dorry</v>
      </c>
      <c r="R86" s="273"/>
      <c r="S86" s="273"/>
      <c r="T86" s="273"/>
      <c r="U86" s="273"/>
      <c r="V86" s="273"/>
      <c r="W86" s="273"/>
      <c r="X86" s="273"/>
      <c r="Y86" s="273"/>
      <c r="Z86" s="273"/>
      <c r="AA86" s="273"/>
      <c r="AB86" s="273"/>
      <c r="AC86" s="273"/>
    </row>
    <row r="87" ht="75.0" customHeight="1">
      <c r="A87" s="272" t="s">
        <v>2149</v>
      </c>
      <c r="B87" s="273"/>
      <c r="C87" s="274" t="s">
        <v>2150</v>
      </c>
      <c r="D87" s="274" t="s">
        <v>2150</v>
      </c>
      <c r="E87" s="273"/>
      <c r="F87" s="275"/>
      <c r="G87" s="273" t="s">
        <v>2151</v>
      </c>
      <c r="H87" s="273" t="str">
        <f t="shared" si="1"/>
        <v>The Kingdom of Prodence / King ~ Elizabello II</v>
      </c>
      <c r="I87" s="275"/>
      <c r="J87" s="274" t="s">
        <v>2152</v>
      </c>
      <c r="K87" s="273"/>
      <c r="L87" s="273"/>
      <c r="M87" s="273"/>
      <c r="N87" s="273" t="str">
        <f>IFERROR(__xludf.DUMMYFUNCTION("""COMPUTED_VALUE"""),"Battle of Monsters on Onigashima ~ Kid &amp; Law")</f>
        <v>Battle of Monsters on Onigashima ~ Kid &amp; Law</v>
      </c>
      <c r="O87" s="273">
        <f>IFERROR(__xludf.DUMMYFUNCTION("""COMPUTED_VALUE"""),257.0)</f>
        <v>257</v>
      </c>
      <c r="P87" s="275" t="str">
        <f t="shared" si="2"/>
        <v/>
      </c>
      <c r="Q87" s="273" t="str">
        <f>IFERROR(__xludf.DUMMYFUNCTION("""COMPUTED_VALUE"""),"246 The Kingdom of Prodence / King - Elizabello II")</f>
        <v>246 The Kingdom of Prodence / King - Elizabello II</v>
      </c>
      <c r="R87" s="273"/>
      <c r="S87" s="273"/>
      <c r="T87" s="273"/>
      <c r="U87" s="273"/>
      <c r="V87" s="273"/>
      <c r="W87" s="273"/>
      <c r="X87" s="273"/>
      <c r="Y87" s="273"/>
      <c r="Z87" s="273"/>
      <c r="AA87" s="273"/>
      <c r="AB87" s="273"/>
      <c r="AC87" s="273"/>
    </row>
    <row r="88" ht="75.0" customHeight="1">
      <c r="A88" s="272" t="s">
        <v>2153</v>
      </c>
      <c r="B88" s="273"/>
      <c r="C88" s="274" t="s">
        <v>2154</v>
      </c>
      <c r="D88" s="274" t="s">
        <v>2154</v>
      </c>
      <c r="E88" s="273"/>
      <c r="F88" s="275"/>
      <c r="G88" s="273" t="s">
        <v>2155</v>
      </c>
      <c r="H88" s="273" t="str">
        <f t="shared" si="1"/>
        <v>Amaru ~ Eneru</v>
      </c>
      <c r="I88" s="275"/>
      <c r="J88" s="274" t="s">
        <v>2156</v>
      </c>
      <c r="K88" s="273"/>
      <c r="L88" s="273"/>
      <c r="M88" s="273"/>
      <c r="N88" s="273" t="str">
        <f>IFERROR(__xludf.DUMMYFUNCTION("""COMPUTED_VALUE"""),"New Fish-Man Pirates / Captain ~ Hody Jones")</f>
        <v>New Fish-Man Pirates / Captain ~ Hody Jones</v>
      </c>
      <c r="O88" s="273">
        <f>IFERROR(__xludf.DUMMYFUNCTION("""COMPUTED_VALUE"""),256.0)</f>
        <v>256</v>
      </c>
      <c r="P88" s="275" t="str">
        <f t="shared" si="2"/>
        <v/>
      </c>
      <c r="Q88" s="273" t="str">
        <f>IFERROR(__xludf.DUMMYFUNCTION("""COMPUTED_VALUE"""),"130 Amaru - Eneru")</f>
        <v>130 Amaru - Eneru</v>
      </c>
      <c r="R88" s="273"/>
      <c r="S88" s="273"/>
      <c r="T88" s="273"/>
      <c r="U88" s="273"/>
      <c r="V88" s="273"/>
      <c r="W88" s="273"/>
      <c r="X88" s="273"/>
      <c r="Y88" s="273"/>
      <c r="Z88" s="273"/>
      <c r="AA88" s="273"/>
      <c r="AB88" s="273"/>
      <c r="AC88" s="273"/>
    </row>
    <row r="89" ht="75.0" customHeight="1">
      <c r="A89" s="272" t="s">
        <v>2157</v>
      </c>
      <c r="B89" s="273"/>
      <c r="C89" s="274" t="s">
        <v>2158</v>
      </c>
      <c r="D89" s="274" t="s">
        <v>2158</v>
      </c>
      <c r="E89" s="273"/>
      <c r="F89" s="275"/>
      <c r="G89" s="273" t="s">
        <v>2159</v>
      </c>
      <c r="H89" s="273" t="str">
        <f t="shared" si="1"/>
        <v>Kami ~ Eneru</v>
      </c>
      <c r="I89" s="275"/>
      <c r="J89" s="274" t="s">
        <v>2160</v>
      </c>
      <c r="K89" s="273"/>
      <c r="L89" s="273"/>
      <c r="M89" s="273"/>
      <c r="N89" s="273" t="str">
        <f>IFERROR(__xludf.DUMMYFUNCTION("""COMPUTED_VALUE"""),"Ryugu Kingdom / King ~ Neptune")</f>
        <v>Ryugu Kingdom / King ~ Neptune</v>
      </c>
      <c r="O89" s="273">
        <f>IFERROR(__xludf.DUMMYFUNCTION("""COMPUTED_VALUE"""),255.0)</f>
        <v>255</v>
      </c>
      <c r="P89" s="275" t="str">
        <f t="shared" si="2"/>
        <v/>
      </c>
      <c r="Q89" s="273" t="str">
        <f>IFERROR(__xludf.DUMMYFUNCTION("""COMPUTED_VALUE"""),"046 Kami - Eneru")</f>
        <v>046 Kami - Eneru</v>
      </c>
      <c r="R89" s="273"/>
      <c r="S89" s="273"/>
      <c r="T89" s="273"/>
      <c r="U89" s="273"/>
      <c r="V89" s="273"/>
      <c r="W89" s="273"/>
      <c r="X89" s="273"/>
      <c r="Y89" s="273"/>
      <c r="Z89" s="273"/>
      <c r="AA89" s="273"/>
      <c r="AB89" s="273"/>
      <c r="AC89" s="273"/>
    </row>
    <row r="90" ht="75.0" customHeight="1">
      <c r="A90" s="272" t="s">
        <v>2161</v>
      </c>
      <c r="B90" s="273"/>
      <c r="C90" s="274" t="s">
        <v>2162</v>
      </c>
      <c r="D90" s="274" t="s">
        <v>2162</v>
      </c>
      <c r="E90" s="273"/>
      <c r="F90" s="275"/>
      <c r="G90" s="273" t="s">
        <v>2163</v>
      </c>
      <c r="H90" s="273" t="str">
        <f t="shared" si="1"/>
        <v>Foxy Pirates / Captain ~ Foxy</v>
      </c>
      <c r="I90" s="275"/>
      <c r="J90" s="274" t="s">
        <v>2164</v>
      </c>
      <c r="K90" s="273"/>
      <c r="L90" s="273"/>
      <c r="M90" s="273"/>
      <c r="N90" s="273" t="str">
        <f>IFERROR(__xludf.DUMMYFUNCTION("""COMPUTED_VALUE"""),"Caribou Pirates / Captain ~ Caribou")</f>
        <v>Caribou Pirates / Captain ~ Caribou</v>
      </c>
      <c r="O90" s="273">
        <f>IFERROR(__xludf.DUMMYFUNCTION("""COMPUTED_VALUE"""),254.0)</f>
        <v>254</v>
      </c>
      <c r="P90" s="275" t="str">
        <f t="shared" si="2"/>
        <v/>
      </c>
      <c r="Q90" s="273" t="str">
        <f>IFERROR(__xludf.DUMMYFUNCTION("""COMPUTED_VALUE"""),"322 Foxy Pirates / Captain - Foxy")</f>
        <v>322 Foxy Pirates / Captain - Foxy</v>
      </c>
      <c r="R90" s="273"/>
      <c r="S90" s="273"/>
      <c r="T90" s="273"/>
      <c r="U90" s="273"/>
      <c r="V90" s="273"/>
      <c r="W90" s="273"/>
      <c r="X90" s="273"/>
      <c r="Y90" s="273"/>
      <c r="Z90" s="273"/>
      <c r="AA90" s="273"/>
      <c r="AB90" s="273"/>
      <c r="AC90" s="273"/>
    </row>
    <row r="91" ht="75.0" customHeight="1">
      <c r="A91" s="272" t="s">
        <v>2165</v>
      </c>
      <c r="B91" s="273"/>
      <c r="C91" s="274" t="s">
        <v>2166</v>
      </c>
      <c r="D91" s="274" t="s">
        <v>2166</v>
      </c>
      <c r="E91" s="273"/>
      <c r="F91" s="275"/>
      <c r="G91" s="273" t="s">
        <v>2167</v>
      </c>
      <c r="H91" s="273" t="str">
        <f t="shared" si="1"/>
        <v>2 Years Later / Ship Carpenter ~ Franky</v>
      </c>
      <c r="I91" s="275"/>
      <c r="J91" s="274" t="s">
        <v>2168</v>
      </c>
      <c r="K91" s="273"/>
      <c r="L91" s="273"/>
      <c r="M91" s="273"/>
      <c r="N91" s="273" t="str">
        <f>IFERROR(__xludf.DUMMYFUNCTION("""COMPUTED_VALUE"""),"Flying Pirates / Captain ~ Vander Decken IX")</f>
        <v>Flying Pirates / Captain ~ Vander Decken IX</v>
      </c>
      <c r="O91" s="273">
        <f>IFERROR(__xludf.DUMMYFUNCTION("""COMPUTED_VALUE"""),253.0)</f>
        <v>253</v>
      </c>
      <c r="P91" s="275" t="str">
        <f t="shared" si="2"/>
        <v/>
      </c>
      <c r="Q91" s="273" t="str">
        <f>IFERROR(__xludf.DUMMYFUNCTION("""COMPUTED_VALUE"""),"072 2 Years Later / Ship Carpenter - Franky")</f>
        <v>072 2 Years Later / Ship Carpenter - Franky</v>
      </c>
      <c r="R91" s="273"/>
      <c r="S91" s="273"/>
      <c r="T91" s="273"/>
      <c r="U91" s="273"/>
      <c r="V91" s="273"/>
      <c r="W91" s="273"/>
      <c r="X91" s="273"/>
      <c r="Y91" s="273"/>
      <c r="Z91" s="273"/>
      <c r="AA91" s="273"/>
      <c r="AB91" s="273"/>
      <c r="AC91" s="273"/>
    </row>
    <row r="92" ht="75.0" customHeight="1">
      <c r="A92" s="272" t="s">
        <v>2169</v>
      </c>
      <c r="B92" s="273"/>
      <c r="C92" s="274" t="s">
        <v>2170</v>
      </c>
      <c r="D92" s="274" t="s">
        <v>2170</v>
      </c>
      <c r="E92" s="273"/>
      <c r="F92" s="275"/>
      <c r="G92" s="273" t="s">
        <v>2171</v>
      </c>
      <c r="H92" s="273" t="str">
        <f t="shared" si="1"/>
        <v>Raid on Onigashima ~ Franky</v>
      </c>
      <c r="I92" s="275"/>
      <c r="J92" s="274" t="s">
        <v>2172</v>
      </c>
      <c r="K92" s="273"/>
      <c r="L92" s="273"/>
      <c r="M92" s="273"/>
      <c r="N92" s="273" t="str">
        <f>IFERROR(__xludf.DUMMYFUNCTION("""COMPUTED_VALUE"""),"Raid on Onigashima ~ Usopp")</f>
        <v>Raid on Onigashima ~ Usopp</v>
      </c>
      <c r="O92" s="273">
        <f>IFERROR(__xludf.DUMMYFUNCTION("""COMPUTED_VALUE"""),252.0)</f>
        <v>252</v>
      </c>
      <c r="P92" s="275" t="str">
        <f t="shared" si="2"/>
        <v/>
      </c>
      <c r="Q92" s="273" t="str">
        <f>IFERROR(__xludf.DUMMYFUNCTION("""COMPUTED_VALUE"""),"271 Raid on Onigashima - Franky")</f>
        <v>271 Raid on Onigashima - Franky</v>
      </c>
      <c r="R92" s="273"/>
      <c r="S92" s="273"/>
      <c r="T92" s="273"/>
      <c r="U92" s="273"/>
      <c r="V92" s="273"/>
      <c r="W92" s="273"/>
      <c r="X92" s="273"/>
      <c r="Y92" s="273"/>
      <c r="Z92" s="273"/>
      <c r="AA92" s="273"/>
      <c r="AB92" s="273"/>
      <c r="AC92" s="273"/>
    </row>
    <row r="93" ht="75.0" customHeight="1">
      <c r="A93" s="272" t="s">
        <v>2173</v>
      </c>
      <c r="B93" s="273"/>
      <c r="C93" s="274" t="s">
        <v>2174</v>
      </c>
      <c r="D93" s="274" t="s">
        <v>2174</v>
      </c>
      <c r="E93" s="273"/>
      <c r="F93" s="275"/>
      <c r="G93" s="273" t="s">
        <v>2175</v>
      </c>
      <c r="H93" s="273" t="str">
        <f t="shared" si="1"/>
        <v>Egghead ~ Franky</v>
      </c>
      <c r="I93" s="275"/>
      <c r="J93" s="274" t="s">
        <v>2176</v>
      </c>
      <c r="K93" s="273"/>
      <c r="L93" s="273"/>
      <c r="M93" s="273"/>
      <c r="N93" s="273" t="str">
        <f>IFERROR(__xludf.DUMMYFUNCTION("""COMPUTED_VALUE"""),"Raid on Onigashima ~ Nami")</f>
        <v>Raid on Onigashima ~ Nami</v>
      </c>
      <c r="O93" s="273">
        <f>IFERROR(__xludf.DUMMYFUNCTION("""COMPUTED_VALUE"""),251.0)</f>
        <v>251</v>
      </c>
      <c r="P93" s="275" t="str">
        <f t="shared" si="2"/>
        <v/>
      </c>
      <c r="Q93" s="273" t="str">
        <f>IFERROR(__xludf.DUMMYFUNCTION("""COMPUTED_VALUE"""),"334 Egghead - Franky")</f>
        <v>334 Egghead - Franky</v>
      </c>
      <c r="R93" s="273"/>
      <c r="S93" s="273"/>
      <c r="T93" s="273"/>
      <c r="U93" s="273"/>
      <c r="V93" s="273"/>
      <c r="W93" s="273"/>
      <c r="X93" s="273"/>
      <c r="Y93" s="273"/>
      <c r="Z93" s="273"/>
      <c r="AA93" s="273"/>
      <c r="AB93" s="273"/>
      <c r="AC93" s="273"/>
    </row>
    <row r="94" ht="75.0" customHeight="1">
      <c r="A94" s="272" t="s">
        <v>2177</v>
      </c>
      <c r="B94" s="273"/>
      <c r="C94" s="274" t="s">
        <v>2178</v>
      </c>
      <c r="D94" s="274" t="s">
        <v>2178</v>
      </c>
      <c r="E94" s="273"/>
      <c r="F94" s="275"/>
      <c r="G94" s="273" t="s">
        <v>2179</v>
      </c>
      <c r="H94" s="273" t="str">
        <f t="shared" si="1"/>
        <v>Happy Holiday ~ Franky</v>
      </c>
      <c r="I94" s="275"/>
      <c r="J94" s="274" t="s">
        <v>2180</v>
      </c>
      <c r="K94" s="273"/>
      <c r="L94" s="273"/>
      <c r="M94" s="273"/>
      <c r="N94" s="273" t="str">
        <f>IFERROR(__xludf.DUMMYFUNCTION("""COMPUTED_VALUE"""),"Okuchi-no-Makami ~ Yamato")</f>
        <v>Okuchi-no-Makami ~ Yamato</v>
      </c>
      <c r="O94" s="273">
        <f>IFERROR(__xludf.DUMMYFUNCTION("""COMPUTED_VALUE"""),250.0)</f>
        <v>250</v>
      </c>
      <c r="P94" s="275" t="str">
        <f t="shared" si="2"/>
        <v/>
      </c>
      <c r="Q94" s="273" t="str">
        <f>IFERROR(__xludf.DUMMYFUNCTION("""COMPUTED_VALUE"""),"097 Happy Holiday - Franky")</f>
        <v>097 Happy Holiday - Franky</v>
      </c>
      <c r="R94" s="273"/>
      <c r="S94" s="273"/>
      <c r="T94" s="273"/>
      <c r="U94" s="273"/>
      <c r="V94" s="273"/>
      <c r="W94" s="273"/>
      <c r="X94" s="273"/>
      <c r="Y94" s="273"/>
      <c r="Z94" s="273"/>
      <c r="AA94" s="273"/>
      <c r="AB94" s="273"/>
      <c r="AC94" s="273"/>
    </row>
    <row r="95" ht="75.0" customHeight="1">
      <c r="A95" s="272" t="s">
        <v>2181</v>
      </c>
      <c r="B95" s="273"/>
      <c r="C95" s="274" t="s">
        <v>2182</v>
      </c>
      <c r="D95" s="274" t="s">
        <v>2182</v>
      </c>
      <c r="E95" s="273"/>
      <c r="F95" s="275"/>
      <c r="G95" s="273" t="s">
        <v>2183</v>
      </c>
      <c r="H95" s="273" t="str">
        <f t="shared" si="1"/>
        <v>Straw Hat Pirates / Ship Carpenter ~ Franky</v>
      </c>
      <c r="I95" s="275"/>
      <c r="J95" s="274" t="s">
        <v>2184</v>
      </c>
      <c r="K95" s="273"/>
      <c r="L95" s="273"/>
      <c r="M95" s="273"/>
      <c r="N95" s="273" t="str">
        <f>IFERROR(__xludf.DUMMYFUNCTION("""COMPUTED_VALUE"""),"Raid on Onigashima ~ Brook")</f>
        <v>Raid on Onigashima ~ Brook</v>
      </c>
      <c r="O95" s="273">
        <f>IFERROR(__xludf.DUMMYFUNCTION("""COMPUTED_VALUE"""),249.0)</f>
        <v>249</v>
      </c>
      <c r="P95" s="275" t="str">
        <f t="shared" si="2"/>
        <v/>
      </c>
      <c r="Q95" s="273" t="str">
        <f>IFERROR(__xludf.DUMMYFUNCTION("""COMPUTED_VALUE"""),"008 Straw Hat Pirates / Ship Carpenter - Franky")</f>
        <v>008 Straw Hat Pirates / Ship Carpenter - Franky</v>
      </c>
      <c r="R95" s="273"/>
      <c r="S95" s="273"/>
      <c r="T95" s="273"/>
      <c r="U95" s="273"/>
      <c r="V95" s="273"/>
      <c r="W95" s="273"/>
      <c r="X95" s="273"/>
      <c r="Y95" s="273"/>
      <c r="Z95" s="273"/>
      <c r="AA95" s="273"/>
      <c r="AB95" s="273"/>
      <c r="AC95" s="273"/>
    </row>
    <row r="96" ht="75.0" customHeight="1">
      <c r="A96" s="272" t="s">
        <v>2185</v>
      </c>
      <c r="B96" s="273"/>
      <c r="C96" s="274" t="s">
        <v>2186</v>
      </c>
      <c r="D96" s="274" t="s">
        <v>2186</v>
      </c>
      <c r="E96" s="273"/>
      <c r="F96" s="275"/>
      <c r="G96" s="273" t="s">
        <v>2187</v>
      </c>
      <c r="H96" s="273" t="str">
        <f t="shared" si="1"/>
        <v>Iron Pirate ~ General Franky</v>
      </c>
      <c r="I96" s="275"/>
      <c r="J96" s="274" t="s">
        <v>2188</v>
      </c>
      <c r="K96" s="273"/>
      <c r="L96" s="273"/>
      <c r="M96" s="273"/>
      <c r="N96" s="273" t="str">
        <f>IFERROR(__xludf.DUMMYFUNCTION("""COMPUTED_VALUE"""),"Raid on Onigashima ~ Nico Robin")</f>
        <v>Raid on Onigashima ~ Nico Robin</v>
      </c>
      <c r="O96" s="273">
        <f>IFERROR(__xludf.DUMMYFUNCTION("""COMPUTED_VALUE"""),248.0)</f>
        <v>248</v>
      </c>
      <c r="P96" s="275" t="str">
        <f t="shared" si="2"/>
        <v/>
      </c>
      <c r="Q96" s="273" t="str">
        <f>IFERROR(__xludf.DUMMYFUNCTION("""COMPUTED_VALUE"""),"162 Iron Pirate - General Franky")</f>
        <v>162 Iron Pirate - General Franky</v>
      </c>
      <c r="R96" s="273"/>
      <c r="S96" s="273"/>
      <c r="T96" s="273"/>
      <c r="U96" s="273"/>
      <c r="V96" s="273"/>
      <c r="W96" s="273"/>
      <c r="X96" s="273"/>
      <c r="Y96" s="273"/>
      <c r="Z96" s="273"/>
      <c r="AA96" s="273"/>
      <c r="AB96" s="273"/>
      <c r="AC96" s="273"/>
    </row>
    <row r="97" ht="75.0" customHeight="1">
      <c r="A97" s="272" t="s">
        <v>2189</v>
      </c>
      <c r="B97" s="273"/>
      <c r="C97" s="274" t="s">
        <v>2190</v>
      </c>
      <c r="D97" s="274" t="s">
        <v>2190</v>
      </c>
      <c r="E97" s="273"/>
      <c r="F97" s="275"/>
      <c r="G97" s="273" t="s">
        <v>2191</v>
      </c>
      <c r="H97" s="273" t="str">
        <f t="shared" si="1"/>
        <v>Land of Wano ~ Franosuke</v>
      </c>
      <c r="I97" s="275"/>
      <c r="J97" s="274" t="s">
        <v>2192</v>
      </c>
      <c r="K97" s="273"/>
      <c r="L97" s="273"/>
      <c r="M97" s="273"/>
      <c r="N97" s="273" t="str">
        <f>IFERROR(__xludf.DUMMYFUNCTION("""COMPUTED_VALUE"""),"Triple-X-Level Boxer ~ Ideo")</f>
        <v>Triple-X-Level Boxer ~ Ideo</v>
      </c>
      <c r="O97" s="273">
        <f>IFERROR(__xludf.DUMMYFUNCTION("""COMPUTED_VALUE"""),247.0)</f>
        <v>247</v>
      </c>
      <c r="P97" s="275" t="str">
        <f t="shared" si="2"/>
        <v/>
      </c>
      <c r="Q97" s="273" t="str">
        <f>IFERROR(__xludf.DUMMYFUNCTION("""COMPUTED_VALUE"""),"206 Land of Wano - Franosuke")</f>
        <v>206 Land of Wano - Franosuke</v>
      </c>
      <c r="R97" s="273"/>
      <c r="S97" s="273"/>
      <c r="T97" s="273"/>
      <c r="U97" s="273"/>
      <c r="V97" s="273"/>
      <c r="W97" s="273"/>
      <c r="X97" s="273"/>
      <c r="Y97" s="273"/>
      <c r="Z97" s="273"/>
      <c r="AA97" s="273"/>
      <c r="AB97" s="273"/>
      <c r="AC97" s="273"/>
    </row>
    <row r="98" ht="75.0" customHeight="1">
      <c r="A98" s="272" t="s">
        <v>2193</v>
      </c>
      <c r="B98" s="273"/>
      <c r="C98" s="274" t="s">
        <v>2194</v>
      </c>
      <c r="D98" s="274" t="s">
        <v>2194</v>
      </c>
      <c r="E98" s="273"/>
      <c r="F98" s="275"/>
      <c r="G98" s="273" t="s">
        <v>2195</v>
      </c>
      <c r="H98" s="273" t="str">
        <f t="shared" si="1"/>
        <v>Navy HQ / Admiral Fujitora ~ [Issho]</v>
      </c>
      <c r="I98" s="275"/>
      <c r="J98" s="274" t="s">
        <v>2196</v>
      </c>
      <c r="K98" s="273"/>
      <c r="L98" s="273"/>
      <c r="M98" s="273"/>
      <c r="N98" s="273" t="str">
        <f>IFERROR(__xludf.DUMMYFUNCTION("""COMPUTED_VALUE"""),"The Kingdom of Prodence / King ~ Elizabello II")</f>
        <v>The Kingdom of Prodence / King ~ Elizabello II</v>
      </c>
      <c r="O98" s="273">
        <f>IFERROR(__xludf.DUMMYFUNCTION("""COMPUTED_VALUE"""),246.0)</f>
        <v>246</v>
      </c>
      <c r="P98" s="275" t="str">
        <f t="shared" si="2"/>
        <v/>
      </c>
      <c r="Q98" s="273" t="str">
        <f>IFERROR(__xludf.DUMMYFUNCTION("""COMPUTED_VALUE"""),"108 Navy HQ / Admiral Fujitora - [Issho]")</f>
        <v>108 Navy HQ / Admiral Fujitora - [Issho]</v>
      </c>
      <c r="R98" s="273"/>
      <c r="S98" s="273"/>
      <c r="T98" s="273"/>
      <c r="U98" s="273"/>
      <c r="V98" s="273"/>
      <c r="W98" s="273"/>
      <c r="X98" s="273"/>
      <c r="Y98" s="273"/>
      <c r="Z98" s="273"/>
      <c r="AA98" s="273"/>
      <c r="AB98" s="273"/>
      <c r="AC98" s="273"/>
    </row>
    <row r="99" ht="75.0" customHeight="1">
      <c r="A99" s="272" t="s">
        <v>2197</v>
      </c>
      <c r="B99" s="273"/>
      <c r="C99" s="274" t="s">
        <v>2198</v>
      </c>
      <c r="D99" s="274" t="s">
        <v>2198</v>
      </c>
      <c r="E99" s="273"/>
      <c r="F99" s="275"/>
      <c r="G99" s="273" t="s">
        <v>2199</v>
      </c>
      <c r="H99" s="273" t="str">
        <f t="shared" si="1"/>
        <v>Blind Swordsman Fujitora ~ [Issho]</v>
      </c>
      <c r="I99" s="275"/>
      <c r="J99" s="274" t="s">
        <v>2200</v>
      </c>
      <c r="K99" s="273"/>
      <c r="L99" s="273"/>
      <c r="M99" s="273"/>
      <c r="N99" s="273" t="str">
        <f>IFERROR(__xludf.DUMMYFUNCTION("""COMPUTED_VALUE"""),"Disciple of the Martial Arts ~ Kung Fu Jugon")</f>
        <v>Disciple of the Martial Arts ~ Kung Fu Jugon</v>
      </c>
      <c r="O99" s="273">
        <f>IFERROR(__xludf.DUMMYFUNCTION("""COMPUTED_VALUE"""),245.0)</f>
        <v>245</v>
      </c>
      <c r="P99" s="275" t="str">
        <f t="shared" si="2"/>
        <v/>
      </c>
      <c r="Q99" s="273" t="str">
        <f>IFERROR(__xludf.DUMMYFUNCTION("""COMPUTED_VALUE"""),"326 Blind Swordsman Fujitora - [Issho]")</f>
        <v>326 Blind Swordsman Fujitora - [Issho]</v>
      </c>
      <c r="R99" s="273"/>
      <c r="S99" s="273"/>
      <c r="T99" s="273"/>
      <c r="U99" s="273"/>
      <c r="V99" s="273"/>
      <c r="W99" s="273"/>
      <c r="X99" s="273"/>
      <c r="Y99" s="273"/>
      <c r="Z99" s="273"/>
      <c r="AA99" s="273"/>
      <c r="AB99" s="273"/>
      <c r="AC99" s="273"/>
    </row>
    <row r="100" ht="75.0" customHeight="1">
      <c r="A100" s="272" t="s">
        <v>2201</v>
      </c>
      <c r="B100" s="273"/>
      <c r="C100" s="274" t="s">
        <v>2202</v>
      </c>
      <c r="D100" s="274" t="s">
        <v>2202</v>
      </c>
      <c r="E100" s="273"/>
      <c r="F100" s="275"/>
      <c r="G100" s="273" t="s">
        <v>2203</v>
      </c>
      <c r="H100" s="273" t="str">
        <f t="shared" si="1"/>
        <v>The Guardian of the Forest ~ Gaimon</v>
      </c>
      <c r="I100" s="275"/>
      <c r="J100" s="274" t="s">
        <v>2204</v>
      </c>
      <c r="K100" s="273"/>
      <c r="L100" s="273"/>
      <c r="M100" s="273"/>
      <c r="N100" s="273" t="str">
        <f>IFERROR(__xludf.DUMMYFUNCTION("""COMPUTED_VALUE"""),"Slicing Winds of Rommel ~ Hakuba")</f>
        <v>Slicing Winds of Rommel ~ Hakuba</v>
      </c>
      <c r="O100" s="273">
        <f>IFERROR(__xludf.DUMMYFUNCTION("""COMPUTED_VALUE"""),244.0)</f>
        <v>244</v>
      </c>
      <c r="P100" s="275" t="str">
        <f t="shared" si="2"/>
        <v/>
      </c>
      <c r="Q100" s="273" t="str">
        <f>IFERROR(__xludf.DUMMYFUNCTION("""COMPUTED_VALUE"""),"163 The Guardian of the Forest - Gaimon")</f>
        <v>163 The Guardian of the Forest - Gaimon</v>
      </c>
      <c r="R100" s="273"/>
      <c r="S100" s="273"/>
      <c r="T100" s="273"/>
      <c r="U100" s="273"/>
      <c r="V100" s="273"/>
      <c r="W100" s="273"/>
      <c r="X100" s="273"/>
      <c r="Y100" s="273"/>
      <c r="Z100" s="273"/>
      <c r="AA100" s="273"/>
      <c r="AB100" s="273"/>
      <c r="AC100" s="273"/>
    </row>
    <row r="101" ht="75.0" customHeight="1">
      <c r="A101" s="272" t="s">
        <v>2205</v>
      </c>
      <c r="B101" s="273"/>
      <c r="C101" s="274" t="s">
        <v>2206</v>
      </c>
      <c r="D101" s="274" t="s">
        <v>2206</v>
      </c>
      <c r="E101" s="273"/>
      <c r="F101" s="275"/>
      <c r="G101" s="273" t="s">
        <v>2207</v>
      </c>
      <c r="H101" s="273" t="str">
        <f t="shared" si="1"/>
        <v>The Sky Knight ~ Ganfor</v>
      </c>
      <c r="I101" s="275"/>
      <c r="J101" s="274" t="s">
        <v>2208</v>
      </c>
      <c r="K101" s="273"/>
      <c r="L101" s="273"/>
      <c r="M101" s="273"/>
      <c r="N101" s="273" t="str">
        <f>IFERROR(__xludf.DUMMYFUNCTION("""COMPUTED_VALUE"""),"Former Happosui Army / 12th Chief ~ Chin Jao")</f>
        <v>Former Happosui Army / 12th Chief ~ Chin Jao</v>
      </c>
      <c r="O101" s="273">
        <f>IFERROR(__xludf.DUMMYFUNCTION("""COMPUTED_VALUE"""),243.0)</f>
        <v>243</v>
      </c>
      <c r="P101" s="275" t="str">
        <f t="shared" si="2"/>
        <v/>
      </c>
      <c r="Q101" s="273" t="str">
        <f>IFERROR(__xludf.DUMMYFUNCTION("""COMPUTED_VALUE"""),"281 The Sky Knight - Ganfor")</f>
        <v>281 The Sky Knight - Ganfor</v>
      </c>
      <c r="R101" s="273"/>
      <c r="S101" s="273"/>
      <c r="T101" s="273"/>
      <c r="U101" s="273"/>
      <c r="V101" s="273"/>
      <c r="W101" s="273"/>
      <c r="X101" s="273"/>
      <c r="Y101" s="273"/>
      <c r="Z101" s="273"/>
      <c r="AA101" s="273"/>
      <c r="AB101" s="273"/>
      <c r="AC101" s="273"/>
    </row>
    <row r="102" ht="75.0" customHeight="1">
      <c r="A102" s="272" t="s">
        <v>2209</v>
      </c>
      <c r="B102" s="273"/>
      <c r="C102" s="274" t="s">
        <v>2210</v>
      </c>
      <c r="D102" s="274" t="s">
        <v>2210</v>
      </c>
      <c r="E102" s="273"/>
      <c r="F102" s="275"/>
      <c r="G102" s="273" t="s">
        <v>2211</v>
      </c>
      <c r="H102" s="273" t="str">
        <f t="shared" si="1"/>
        <v>Legendary Hero ~ Monkey D. Garp</v>
      </c>
      <c r="I102" s="275"/>
      <c r="J102" s="274" t="s">
        <v>2212</v>
      </c>
      <c r="K102" s="273"/>
      <c r="L102" s="273"/>
      <c r="M102" s="273"/>
      <c r="N102" s="273" t="str">
        <f>IFERROR(__xludf.DUMMYFUNCTION("""COMPUTED_VALUE"""),"Big Mom Pirates / Crewmate ~ Charoltte Oven")</f>
        <v>Big Mom Pirates / Crewmate ~ Charoltte Oven</v>
      </c>
      <c r="O102" s="273">
        <f>IFERROR(__xludf.DUMMYFUNCTION("""COMPUTED_VALUE"""),242.0)</f>
        <v>242</v>
      </c>
      <c r="P102" s="275" t="str">
        <f t="shared" si="2"/>
        <v/>
      </c>
      <c r="Q102" s="273" t="str">
        <f>IFERROR(__xludf.DUMMYFUNCTION("""COMPUTED_VALUE"""),"308 Legendary Hero - Monkey D. Garp")</f>
        <v>308 Legendary Hero - Monkey D. Garp</v>
      </c>
      <c r="R102" s="273"/>
      <c r="S102" s="273"/>
      <c r="T102" s="273"/>
      <c r="U102" s="273"/>
      <c r="V102" s="273"/>
      <c r="W102" s="273"/>
      <c r="X102" s="273"/>
      <c r="Y102" s="273"/>
      <c r="Z102" s="273"/>
      <c r="AA102" s="273"/>
      <c r="AB102" s="273"/>
      <c r="AC102" s="273"/>
    </row>
    <row r="103" ht="75.0" customHeight="1">
      <c r="A103" s="272" t="s">
        <v>2213</v>
      </c>
      <c r="B103" s="273"/>
      <c r="C103" s="274" t="s">
        <v>2214</v>
      </c>
      <c r="D103" s="274" t="s">
        <v>2214</v>
      </c>
      <c r="E103" s="273"/>
      <c r="F103" s="275"/>
      <c r="G103" s="273" t="s">
        <v>2215</v>
      </c>
      <c r="H103" s="273" t="str">
        <f t="shared" si="1"/>
        <v>Navy HQ / Vice Admiral ~ Monkey D. Garb</v>
      </c>
      <c r="I103" s="275"/>
      <c r="J103" s="274" t="s">
        <v>2216</v>
      </c>
      <c r="K103" s="273"/>
      <c r="L103" s="273"/>
      <c r="M103" s="273"/>
      <c r="N103" s="273" t="str">
        <f>IFERROR(__xludf.DUMMYFUNCTION("""COMPUTED_VALUE"""),"Leader of the Whale Forest Guardians ~ Pedro")</f>
        <v>Leader of the Whale Forest Guardians ~ Pedro</v>
      </c>
      <c r="O103" s="273">
        <f>IFERROR(__xludf.DUMMYFUNCTION("""COMPUTED_VALUE"""),241.0)</f>
        <v>241</v>
      </c>
      <c r="P103" s="275" t="str">
        <f t="shared" si="2"/>
        <v/>
      </c>
      <c r="Q103" s="273" t="str">
        <f>IFERROR(__xludf.DUMMYFUNCTION("""COMPUTED_VALUE"""),"102 Navy HQ / Vice Admiral - Monkey D. Garb")</f>
        <v>102 Navy HQ / Vice Admiral - Monkey D. Garb</v>
      </c>
      <c r="R103" s="273"/>
      <c r="S103" s="273"/>
      <c r="T103" s="273"/>
      <c r="U103" s="273"/>
      <c r="V103" s="273"/>
      <c r="W103" s="273"/>
      <c r="X103" s="273"/>
      <c r="Y103" s="273"/>
      <c r="Z103" s="273"/>
      <c r="AA103" s="273"/>
      <c r="AB103" s="273"/>
      <c r="AC103" s="273"/>
    </row>
    <row r="104" ht="75.0" customHeight="1">
      <c r="A104" s="272" t="s">
        <v>2217</v>
      </c>
      <c r="B104" s="273"/>
      <c r="C104" s="274" t="s">
        <v>2218</v>
      </c>
      <c r="D104" s="274" t="s">
        <v>2218</v>
      </c>
      <c r="E104" s="273"/>
      <c r="F104" s="275"/>
      <c r="G104" s="273" t="s">
        <v>2219</v>
      </c>
      <c r="H104" s="273" t="str">
        <f t="shared" si="1"/>
        <v>Hero of the Navy ~ Monkey D. Garb</v>
      </c>
      <c r="I104" s="275"/>
      <c r="J104" s="274" t="s">
        <v>2220</v>
      </c>
      <c r="K104" s="273"/>
      <c r="L104" s="273"/>
      <c r="M104" s="273"/>
      <c r="N104" s="273" t="str">
        <f>IFERROR(__xludf.DUMMYFUNCTION("""COMPUTED_VALUE"""),"Big Mom Pirates / Crewmate ~ Charlotte Brulee")</f>
        <v>Big Mom Pirates / Crewmate ~ Charlotte Brulee</v>
      </c>
      <c r="O104" s="273">
        <f>IFERROR(__xludf.DUMMYFUNCTION("""COMPUTED_VALUE"""),240.0)</f>
        <v>240</v>
      </c>
      <c r="P104" s="275" t="str">
        <f t="shared" si="2"/>
        <v/>
      </c>
      <c r="Q104" s="273" t="str">
        <f>IFERROR(__xludf.DUMMYFUNCTION("""COMPUTED_VALUE"""),"157 Hero of the Navy - Monkey D. Garb")</f>
        <v>157 Hero of the Navy - Monkey D. Garb</v>
      </c>
      <c r="R104" s="273"/>
      <c r="S104" s="273"/>
      <c r="T104" s="273"/>
      <c r="U104" s="273"/>
      <c r="V104" s="273"/>
      <c r="W104" s="273"/>
      <c r="X104" s="273"/>
      <c r="Y104" s="273"/>
      <c r="Z104" s="273"/>
      <c r="AA104" s="273"/>
      <c r="AB104" s="273"/>
      <c r="AC104" s="273"/>
    </row>
    <row r="105" ht="75.0" customHeight="1">
      <c r="A105" s="272" t="s">
        <v>2221</v>
      </c>
      <c r="B105" s="273"/>
      <c r="C105" s="274" t="s">
        <v>2222</v>
      </c>
      <c r="D105" s="274" t="s">
        <v>2222</v>
      </c>
      <c r="E105" s="273"/>
      <c r="F105" s="275"/>
      <c r="G105" s="273" t="s">
        <v>2223</v>
      </c>
      <c r="H105" s="273" t="str">
        <f t="shared" si="1"/>
        <v>The Seven Warlords of the Sea ~ Gecko Moria</v>
      </c>
      <c r="I105" s="275"/>
      <c r="J105" s="274" t="s">
        <v>2224</v>
      </c>
      <c r="K105" s="273"/>
      <c r="L105" s="273"/>
      <c r="M105" s="273"/>
      <c r="N105" s="273" t="str">
        <f>IFERROR(__xludf.DUMMYFUNCTION("""COMPUTED_VALUE"""),"Big Mom Pirates / ""Sweet 3"" General ~ Charlotte Cracker")</f>
        <v>Big Mom Pirates / "Sweet 3" General ~ Charlotte Cracker</v>
      </c>
      <c r="O105" s="273">
        <f>IFERROR(__xludf.DUMMYFUNCTION("""COMPUTED_VALUE"""),239.0)</f>
        <v>239</v>
      </c>
      <c r="P105" s="275" t="str">
        <f t="shared" si="2"/>
        <v/>
      </c>
      <c r="Q105" s="273" t="str">
        <f>IFERROR(__xludf.DUMMYFUNCTION("""COMPUTED_VALUE"""),"054 The Seven Warlords of the Sea - Gecko Moria")</f>
        <v>054 The Seven Warlords of the Sea - Gecko Moria</v>
      </c>
      <c r="R105" s="273"/>
      <c r="S105" s="273"/>
      <c r="T105" s="273"/>
      <c r="U105" s="273"/>
      <c r="V105" s="273"/>
      <c r="W105" s="273"/>
      <c r="X105" s="273"/>
      <c r="Y105" s="273"/>
      <c r="Z105" s="273"/>
      <c r="AA105" s="273"/>
      <c r="AB105" s="273"/>
      <c r="AC105" s="273"/>
    </row>
    <row r="106" ht="75.0" customHeight="1">
      <c r="A106" s="272" t="s">
        <v>2225</v>
      </c>
      <c r="B106" s="273"/>
      <c r="C106" s="274" t="s">
        <v>2226</v>
      </c>
      <c r="D106" s="274" t="s">
        <v>2226</v>
      </c>
      <c r="E106" s="273"/>
      <c r="F106" s="275"/>
      <c r="G106" s="273" t="s">
        <v>2227</v>
      </c>
      <c r="H106" s="273" t="str">
        <f t="shared" si="1"/>
        <v>The Parmount War ~ Gecko Moria</v>
      </c>
      <c r="I106" s="275"/>
      <c r="J106" s="274" t="s">
        <v>2228</v>
      </c>
      <c r="K106" s="273"/>
      <c r="L106" s="273"/>
      <c r="M106" s="273"/>
      <c r="N106" s="273" t="str">
        <f>IFERROR(__xludf.DUMMYFUNCTION("""COMPUTED_VALUE"""),"First Act as a Married Couple ~ Charlotte Pudding")</f>
        <v>First Act as a Married Couple ~ Charlotte Pudding</v>
      </c>
      <c r="O106" s="273">
        <f>IFERROR(__xludf.DUMMYFUNCTION("""COMPUTED_VALUE"""),238.0)</f>
        <v>238</v>
      </c>
      <c r="P106" s="275" t="str">
        <f t="shared" si="2"/>
        <v/>
      </c>
      <c r="Q106" s="273" t="str">
        <f>IFERROR(__xludf.DUMMYFUNCTION("""COMPUTED_VALUE"""),"142 The Parmount War - Gecko Moria")</f>
        <v>142 The Parmount War - Gecko Moria</v>
      </c>
      <c r="R106" s="273"/>
      <c r="S106" s="273"/>
      <c r="T106" s="273"/>
      <c r="U106" s="273"/>
      <c r="V106" s="273"/>
      <c r="W106" s="273"/>
      <c r="X106" s="273"/>
      <c r="Y106" s="273"/>
      <c r="Z106" s="273"/>
      <c r="AA106" s="273"/>
      <c r="AB106" s="273"/>
      <c r="AC106" s="273"/>
    </row>
    <row r="107" ht="75.0" customHeight="1">
      <c r="A107" s="272" t="s">
        <v>2229</v>
      </c>
      <c r="B107" s="273"/>
      <c r="C107" s="274" t="s">
        <v>2230</v>
      </c>
      <c r="D107" s="274" t="s">
        <v>2230</v>
      </c>
      <c r="E107" s="273"/>
      <c r="F107" s="275"/>
      <c r="G107" s="273" t="s">
        <v>2231</v>
      </c>
      <c r="H107" s="273" t="str">
        <f t="shared" si="1"/>
        <v>Krieg`s Pirate Armada / Battle Commander ~ Gin</v>
      </c>
      <c r="I107" s="275"/>
      <c r="J107" s="274" t="s">
        <v>2232</v>
      </c>
      <c r="K107" s="273"/>
      <c r="L107" s="273"/>
      <c r="M107" s="273"/>
      <c r="N107" s="273" t="str">
        <f>IFERROR(__xludf.DUMMYFUNCTION("""COMPUTED_VALUE"""),"Animal Kingdom Pirates / Tobi Roppo ~ Who`s-Who")</f>
        <v>Animal Kingdom Pirates / Tobi Roppo ~ Who`s-Who</v>
      </c>
      <c r="O107" s="273">
        <f>IFERROR(__xludf.DUMMYFUNCTION("""COMPUTED_VALUE"""),237.0)</f>
        <v>237</v>
      </c>
      <c r="P107" s="275" t="str">
        <f t="shared" si="2"/>
        <v/>
      </c>
      <c r="Q107" s="273" t="str">
        <f>IFERROR(__xludf.DUMMYFUNCTION("""COMPUTED_VALUE"""),"023 Krieg`s Pirate Armada / Battle Commander - Gin")</f>
        <v>023 Krieg`s Pirate Armada / Battle Commander - Gin</v>
      </c>
      <c r="R107" s="273"/>
      <c r="S107" s="273"/>
      <c r="T107" s="273"/>
      <c r="U107" s="273"/>
      <c r="V107" s="273"/>
      <c r="W107" s="273"/>
      <c r="X107" s="273"/>
      <c r="Y107" s="273"/>
      <c r="Z107" s="273"/>
      <c r="AA107" s="273"/>
      <c r="AB107" s="273"/>
      <c r="AC107" s="273"/>
    </row>
    <row r="108" ht="75.0" customHeight="1">
      <c r="A108" s="272" t="s">
        <v>2233</v>
      </c>
      <c r="B108" s="273"/>
      <c r="C108" s="274" t="s">
        <v>2234</v>
      </c>
      <c r="D108" s="274" t="s">
        <v>2234</v>
      </c>
      <c r="E108" s="273"/>
      <c r="F108" s="275"/>
      <c r="G108" s="273" t="s">
        <v>2235</v>
      </c>
      <c r="H108" s="273" t="str">
        <f t="shared" si="1"/>
        <v>Baroque Works / Officer Agent ~ Ms. Goldenweek</v>
      </c>
      <c r="I108" s="275"/>
      <c r="J108" s="274" t="s">
        <v>2236</v>
      </c>
      <c r="K108" s="273"/>
      <c r="L108" s="273"/>
      <c r="M108" s="273"/>
      <c r="N108" s="273" t="str">
        <f>IFERROR(__xludf.DUMMYFUNCTION("""COMPUTED_VALUE"""),"Raid on Onigashima ~ Jinbe")</f>
        <v>Raid on Onigashima ~ Jinbe</v>
      </c>
      <c r="O108" s="273">
        <f>IFERROR(__xludf.DUMMYFUNCTION("""COMPUTED_VALUE"""),236.0)</f>
        <v>236</v>
      </c>
      <c r="P108" s="275" t="str">
        <f t="shared" si="2"/>
        <v/>
      </c>
      <c r="Q108" s="273" t="str">
        <f>IFERROR(__xludf.DUMMYFUNCTION("""COMPUTED_VALUE"""),"173 Baroque Works / Officer Agent - Ms. Goldenweek")</f>
        <v>173 Baroque Works / Officer Agent - Ms. Goldenweek</v>
      </c>
      <c r="R108" s="273"/>
      <c r="S108" s="273"/>
      <c r="T108" s="273"/>
      <c r="U108" s="273"/>
      <c r="V108" s="273"/>
      <c r="W108" s="273"/>
      <c r="X108" s="273"/>
      <c r="Y108" s="273"/>
      <c r="Z108" s="273"/>
      <c r="AA108" s="273"/>
      <c r="AB108" s="273"/>
      <c r="AC108" s="273"/>
    </row>
    <row r="109" ht="75.0" customHeight="1">
      <c r="A109" s="272" t="s">
        <v>2237</v>
      </c>
      <c r="B109" s="273"/>
      <c r="C109" s="274" t="s">
        <v>2238</v>
      </c>
      <c r="D109" s="274" t="s">
        <v>2238</v>
      </c>
      <c r="E109" s="273"/>
      <c r="F109" s="275"/>
      <c r="G109" s="273" t="s">
        <v>2239</v>
      </c>
      <c r="H109" s="273" t="str">
        <f t="shared" si="1"/>
        <v>Arlong Pirates / Officer ~ Hatchan</v>
      </c>
      <c r="I109" s="275"/>
      <c r="J109" s="274" t="s">
        <v>2240</v>
      </c>
      <c r="K109" s="273"/>
      <c r="L109" s="273"/>
      <c r="M109" s="273"/>
      <c r="N109" s="273" t="str">
        <f>IFERROR(__xludf.DUMMYFUNCTION("""COMPUTED_VALUE"""),"Raid on Onigashima ~ Roronoa Zoro")</f>
        <v>Raid on Onigashima ~ Roronoa Zoro</v>
      </c>
      <c r="O109" s="273">
        <f>IFERROR(__xludf.DUMMYFUNCTION("""COMPUTED_VALUE"""),235.0)</f>
        <v>235</v>
      </c>
      <c r="P109" s="275" t="str">
        <f t="shared" si="2"/>
        <v/>
      </c>
      <c r="Q109" s="273" t="str">
        <f>IFERROR(__xludf.DUMMYFUNCTION("""COMPUTED_VALUE"""),"025 Arlong Pirates / Officer - Hatchan")</f>
        <v>025 Arlong Pirates / Officer - Hatchan</v>
      </c>
      <c r="R109" s="273"/>
      <c r="S109" s="273"/>
      <c r="T109" s="273"/>
      <c r="U109" s="273"/>
      <c r="V109" s="273"/>
      <c r="W109" s="273"/>
      <c r="X109" s="273"/>
      <c r="Y109" s="273"/>
      <c r="Z109" s="273"/>
      <c r="AA109" s="273"/>
      <c r="AB109" s="273"/>
      <c r="AC109" s="273"/>
    </row>
    <row r="110" ht="75.0" customHeight="1">
      <c r="A110" s="272" t="s">
        <v>2241</v>
      </c>
      <c r="B110" s="273"/>
      <c r="C110" s="274" t="s">
        <v>2242</v>
      </c>
      <c r="D110" s="274" t="s">
        <v>2242</v>
      </c>
      <c r="E110" s="273"/>
      <c r="F110" s="275"/>
      <c r="G110" s="273" t="s">
        <v>2243</v>
      </c>
      <c r="H110" s="273" t="str">
        <f t="shared" si="1"/>
        <v>Revolutionary Army / Solider ~ Hack</v>
      </c>
      <c r="I110" s="275"/>
      <c r="J110" s="274" t="s">
        <v>2244</v>
      </c>
      <c r="K110" s="273"/>
      <c r="L110" s="273"/>
      <c r="M110" s="273"/>
      <c r="N110" s="273" t="str">
        <f>IFERROR(__xludf.DUMMYFUNCTION("""COMPUTED_VALUE"""),"Battle of Monsters on Onigashima ~ Kaido")</f>
        <v>Battle of Monsters on Onigashima ~ Kaido</v>
      </c>
      <c r="O110" s="273">
        <f>IFERROR(__xludf.DUMMYFUNCTION("""COMPUTED_VALUE"""),234.0)</f>
        <v>234</v>
      </c>
      <c r="P110" s="275" t="str">
        <f t="shared" si="2"/>
        <v/>
      </c>
      <c r="Q110" s="273" t="str">
        <f>IFERROR(__xludf.DUMMYFUNCTION("""COMPUTED_VALUE"""),"265 Revolutionary Army / Solider - Hack")</f>
        <v>265 Revolutionary Army / Solider - Hack</v>
      </c>
      <c r="R110" s="273"/>
      <c r="S110" s="273"/>
      <c r="T110" s="273"/>
      <c r="U110" s="273"/>
      <c r="V110" s="273"/>
      <c r="W110" s="273"/>
      <c r="X110" s="273"/>
      <c r="Y110" s="273"/>
      <c r="Z110" s="273"/>
      <c r="AA110" s="273"/>
      <c r="AB110" s="273"/>
      <c r="AC110" s="273"/>
    </row>
    <row r="111" ht="75.0" customHeight="1">
      <c r="A111" s="272" t="s">
        <v>2245</v>
      </c>
      <c r="B111" s="273"/>
      <c r="C111" s="274" t="s">
        <v>2246</v>
      </c>
      <c r="D111" s="274" t="s">
        <v>2246</v>
      </c>
      <c r="E111" s="273"/>
      <c r="F111" s="275"/>
      <c r="G111" s="273" t="s">
        <v>2247</v>
      </c>
      <c r="H111" s="273" t="str">
        <f t="shared" si="1"/>
        <v>Land of Wano ~ Basil Hawkins</v>
      </c>
      <c r="I111" s="275"/>
      <c r="J111" s="274" t="s">
        <v>2248</v>
      </c>
      <c r="K111" s="273"/>
      <c r="L111" s="273"/>
      <c r="M111" s="273"/>
      <c r="N111" s="273" t="str">
        <f>IFERROR(__xludf.DUMMYFUNCTION("""COMPUTED_VALUE"""),"Battle of Monsters on Onigashima ~ Olin the Oiran")</f>
        <v>Battle of Monsters on Onigashima ~ Olin the Oiran</v>
      </c>
      <c r="O111" s="273">
        <f>IFERROR(__xludf.DUMMYFUNCTION("""COMPUTED_VALUE"""),233.0)</f>
        <v>233</v>
      </c>
      <c r="P111" s="275" t="str">
        <f t="shared" si="2"/>
        <v/>
      </c>
      <c r="Q111" s="273" t="str">
        <f>IFERROR(__xludf.DUMMYFUNCTION("""COMPUTED_VALUE"""),"083 Land of Wano - Basil Hawkins")</f>
        <v>083 Land of Wano - Basil Hawkins</v>
      </c>
      <c r="R111" s="273"/>
      <c r="S111" s="273"/>
      <c r="T111" s="273"/>
      <c r="U111" s="273"/>
      <c r="V111" s="273"/>
      <c r="W111" s="273"/>
      <c r="X111" s="273"/>
      <c r="Y111" s="273"/>
      <c r="Z111" s="273"/>
      <c r="AA111" s="273"/>
      <c r="AB111" s="273"/>
      <c r="AC111" s="273"/>
    </row>
    <row r="112" ht="75.0" customHeight="1">
      <c r="A112" s="272" t="s">
        <v>2249</v>
      </c>
      <c r="B112" s="273"/>
      <c r="C112" s="274" t="s">
        <v>2250</v>
      </c>
      <c r="D112" s="274" t="s">
        <v>2250</v>
      </c>
      <c r="E112" s="273"/>
      <c r="F112" s="275"/>
      <c r="G112" s="273" t="s">
        <v>2251</v>
      </c>
      <c r="H112" s="273" t="str">
        <f t="shared" si="1"/>
        <v>Navy HQ / Lt. Commander ~ Helmeppo</v>
      </c>
      <c r="I112" s="275"/>
      <c r="J112" s="274" t="s">
        <v>2252</v>
      </c>
      <c r="K112" s="273"/>
      <c r="L112" s="273"/>
      <c r="M112" s="273"/>
      <c r="N112" s="273" t="str">
        <f>IFERROR(__xludf.DUMMYFUNCTION("""COMPUTED_VALUE"""),"ODYSSEY ~ Adio Suerte")</f>
        <v>ODYSSEY ~ Adio Suerte</v>
      </c>
      <c r="O112" s="273">
        <f>IFERROR(__xludf.DUMMYFUNCTION("""COMPUTED_VALUE"""),232.0)</f>
        <v>232</v>
      </c>
      <c r="P112" s="275" t="str">
        <f t="shared" si="2"/>
        <v/>
      </c>
      <c r="Q112" s="273" t="str">
        <f>IFERROR(__xludf.DUMMYFUNCTION("""COMPUTED_VALUE"""),"307 Navy HQ / Lt. Commander - Helmeppo")</f>
        <v>307 Navy HQ / Lt. Commander - Helmeppo</v>
      </c>
      <c r="R112" s="273"/>
      <c r="S112" s="273"/>
      <c r="T112" s="273"/>
      <c r="U112" s="273"/>
      <c r="V112" s="273"/>
      <c r="W112" s="273"/>
      <c r="X112" s="273"/>
      <c r="Y112" s="273"/>
      <c r="Z112" s="273"/>
      <c r="AA112" s="273"/>
      <c r="AB112" s="273"/>
      <c r="AC112" s="273"/>
    </row>
    <row r="113" ht="75.0" customHeight="1">
      <c r="A113" s="272" t="s">
        <v>2253</v>
      </c>
      <c r="B113" s="273"/>
      <c r="C113" s="274" t="s">
        <v>2254</v>
      </c>
      <c r="D113" s="274" t="s">
        <v>2254</v>
      </c>
      <c r="E113" s="273"/>
      <c r="F113" s="275"/>
      <c r="G113" s="273" t="s">
        <v>2255</v>
      </c>
      <c r="H113" s="273" t="str">
        <f t="shared" si="1"/>
        <v>The Idiot Son ~ Helmeppo</v>
      </c>
      <c r="I113" s="275"/>
      <c r="J113" s="274" t="s">
        <v>2256</v>
      </c>
      <c r="K113" s="273"/>
      <c r="L113" s="273"/>
      <c r="M113" s="273"/>
      <c r="N113" s="273" t="str">
        <f>IFERROR(__xludf.DUMMYFUNCTION("""COMPUTED_VALUE"""),"Animal Kingdom Pirates / Lead Performer ~ King")</f>
        <v>Animal Kingdom Pirates / Lead Performer ~ King</v>
      </c>
      <c r="O113" s="273">
        <f>IFERROR(__xludf.DUMMYFUNCTION("""COMPUTED_VALUE"""),231.0)</f>
        <v>231</v>
      </c>
      <c r="P113" s="275" t="str">
        <f t="shared" si="2"/>
        <v/>
      </c>
      <c r="Q113" s="273" t="str">
        <f>IFERROR(__xludf.DUMMYFUNCTION("""COMPUTED_VALUE"""),"013 The Idiot Son - Helmeppo")</f>
        <v>013 The Idiot Son - Helmeppo</v>
      </c>
      <c r="R113" s="273"/>
      <c r="S113" s="273"/>
      <c r="T113" s="273"/>
      <c r="U113" s="273"/>
      <c r="V113" s="273"/>
      <c r="W113" s="273"/>
      <c r="X113" s="273"/>
      <c r="Y113" s="273"/>
      <c r="Z113" s="273"/>
      <c r="AA113" s="273"/>
      <c r="AB113" s="273"/>
      <c r="AC113" s="273"/>
    </row>
    <row r="114" ht="75.0" customHeight="1">
      <c r="A114" s="272" t="s">
        <v>2257</v>
      </c>
      <c r="B114" s="273"/>
      <c r="C114" s="274" t="s">
        <v>2258</v>
      </c>
      <c r="D114" s="274" t="s">
        <v>2258</v>
      </c>
      <c r="E114" s="273"/>
      <c r="F114" s="275"/>
      <c r="G114" s="273" t="s">
        <v>2259</v>
      </c>
      <c r="H114" s="273" t="str">
        <f t="shared" si="1"/>
        <v>Mountain Bandits / Leader ~ Higuma the Bear</v>
      </c>
      <c r="I114" s="275"/>
      <c r="J114" s="274" t="s">
        <v>2260</v>
      </c>
      <c r="K114" s="273"/>
      <c r="L114" s="273"/>
      <c r="M114" s="273"/>
      <c r="N114" s="273" t="str">
        <f>IFERROR(__xludf.DUMMYFUNCTION("""COMPUTED_VALUE"""),"Top Secret Special Force Captain of ""Sword"" ~ X. Drake")</f>
        <v>Top Secret Special Force Captain of "Sword" ~ X. Drake</v>
      </c>
      <c r="O114" s="273">
        <f>IFERROR(__xludf.DUMMYFUNCTION("""COMPUTED_VALUE"""),230.0)</f>
        <v>230</v>
      </c>
      <c r="P114" s="275" t="str">
        <f t="shared" si="2"/>
        <v/>
      </c>
      <c r="Q114" s="273" t="str">
        <f>IFERROR(__xludf.DUMMYFUNCTION("""COMPUTED_VALUE"""),"010 Mountain Bandits / Leader - Higuma the Bear")</f>
        <v>010 Mountain Bandits / Leader - Higuma the Bear</v>
      </c>
      <c r="R114" s="273"/>
      <c r="S114" s="273"/>
      <c r="T114" s="273"/>
      <c r="U114" s="273"/>
      <c r="V114" s="273"/>
      <c r="W114" s="273"/>
      <c r="X114" s="273"/>
      <c r="Y114" s="273"/>
      <c r="Z114" s="273"/>
      <c r="AA114" s="273"/>
      <c r="AB114" s="273"/>
      <c r="AC114" s="273"/>
    </row>
    <row r="115" ht="75.0" customHeight="1">
      <c r="A115" s="272" t="s">
        <v>2261</v>
      </c>
      <c r="B115" s="273"/>
      <c r="C115" s="274" t="s">
        <v>2262</v>
      </c>
      <c r="D115" s="274" t="s">
        <v>2262</v>
      </c>
      <c r="E115" s="273"/>
      <c r="F115" s="275"/>
      <c r="G115" s="273" t="s">
        <v>2263</v>
      </c>
      <c r="H115" s="273" t="str">
        <f t="shared" si="1"/>
        <v>Navy HQ / Rear Admiral ~ Hina</v>
      </c>
      <c r="I115" s="275"/>
      <c r="J115" s="274" t="s">
        <v>2264</v>
      </c>
      <c r="K115" s="273"/>
      <c r="L115" s="273"/>
      <c r="M115" s="273"/>
      <c r="N115" s="273" t="str">
        <f>IFERROR(__xludf.DUMMYFUNCTION("""COMPUTED_VALUE"""),"Hyogoro Family / Big Boss ~ Hyogoro")</f>
        <v>Hyogoro Family / Big Boss ~ Hyogoro</v>
      </c>
      <c r="O115" s="273">
        <f>IFERROR(__xludf.DUMMYFUNCTION("""COMPUTED_VALUE"""),229.0)</f>
        <v>229</v>
      </c>
      <c r="P115" s="275" t="str">
        <f t="shared" si="2"/>
        <v/>
      </c>
      <c r="Q115" s="273" t="str">
        <f>IFERROR(__xludf.DUMMYFUNCTION("""COMPUTED_VALUE"""),"114 Navy HQ / Rear Admiral - Hina")</f>
        <v>114 Navy HQ / Rear Admiral - Hina</v>
      </c>
      <c r="R115" s="273"/>
      <c r="S115" s="273"/>
      <c r="T115" s="273"/>
      <c r="U115" s="273"/>
      <c r="V115" s="273"/>
      <c r="W115" s="273"/>
      <c r="X115" s="273"/>
      <c r="Y115" s="273"/>
      <c r="Z115" s="273"/>
      <c r="AA115" s="273"/>
      <c r="AB115" s="273"/>
      <c r="AC115" s="273"/>
    </row>
    <row r="116" ht="75.0" customHeight="1">
      <c r="A116" s="272" t="s">
        <v>2265</v>
      </c>
      <c r="B116" s="273"/>
      <c r="C116" s="274" t="s">
        <v>2266</v>
      </c>
      <c r="D116" s="274" t="s">
        <v>2266</v>
      </c>
      <c r="E116" s="273"/>
      <c r="F116" s="275"/>
      <c r="G116" s="273" t="s">
        <v>2267</v>
      </c>
      <c r="H116" s="273" t="str">
        <f t="shared" si="1"/>
        <v>New Fish-Man Pirates / Captain ~ Hody Jones</v>
      </c>
      <c r="I116" s="275"/>
      <c r="J116" s="274" t="s">
        <v>2268</v>
      </c>
      <c r="K116" s="273"/>
      <c r="L116" s="273"/>
      <c r="M116" s="273"/>
      <c r="N116" s="273" t="str">
        <f>IFERROR(__xludf.DUMMYFUNCTION("""COMPUTED_VALUE"""),"Kozuki Clan / Servant ~ Raizo")</f>
        <v>Kozuki Clan / Servant ~ Raizo</v>
      </c>
      <c r="O116" s="273">
        <f>IFERROR(__xludf.DUMMYFUNCTION("""COMPUTED_VALUE"""),228.0)</f>
        <v>228</v>
      </c>
      <c r="P116" s="275" t="str">
        <f t="shared" si="2"/>
        <v/>
      </c>
      <c r="Q116" s="273" t="str">
        <f>IFERROR(__xludf.DUMMYFUNCTION("""COMPUTED_VALUE"""),"256 New Fish-Man Pirates / Captain - Hody Jones")</f>
        <v>256 New Fish-Man Pirates / Captain - Hody Jones</v>
      </c>
      <c r="R116" s="273"/>
      <c r="S116" s="273"/>
      <c r="T116" s="273"/>
      <c r="U116" s="273"/>
      <c r="V116" s="273"/>
      <c r="W116" s="273"/>
      <c r="X116" s="273"/>
      <c r="Y116" s="273"/>
      <c r="Z116" s="273"/>
      <c r="AA116" s="273"/>
      <c r="AB116" s="273"/>
      <c r="AC116" s="273"/>
    </row>
    <row r="117" ht="75.0" customHeight="1">
      <c r="A117" s="272" t="s">
        <v>2269</v>
      </c>
      <c r="B117" s="273"/>
      <c r="C117" s="274" t="s">
        <v>2270</v>
      </c>
      <c r="D117" s="274" t="s">
        <v>2270</v>
      </c>
      <c r="E117" s="273"/>
      <c r="F117" s="275"/>
      <c r="G117" s="273" t="s">
        <v>2271</v>
      </c>
      <c r="H117" s="273" t="str">
        <f t="shared" si="1"/>
        <v>Hyogoro Family / Big Boss ~ Hyogoro</v>
      </c>
      <c r="I117" s="275"/>
      <c r="J117" s="274" t="s">
        <v>2272</v>
      </c>
      <c r="K117" s="273"/>
      <c r="L117" s="273"/>
      <c r="M117" s="273"/>
      <c r="N117" s="273" t="str">
        <f>IFERROR(__xludf.DUMMYFUNCTION("""COMPUTED_VALUE"""),"Veteran Kunoichi ~ Shinobu")</f>
        <v>Veteran Kunoichi ~ Shinobu</v>
      </c>
      <c r="O117" s="273">
        <f>IFERROR(__xludf.DUMMYFUNCTION("""COMPUTED_VALUE"""),227.0)</f>
        <v>227</v>
      </c>
      <c r="P117" s="275" t="str">
        <f t="shared" si="2"/>
        <v/>
      </c>
      <c r="Q117" s="273" t="str">
        <f>IFERROR(__xludf.DUMMYFUNCTION("""COMPUTED_VALUE"""),"229 Hyogoro Family / Big Boss - Hyogoro")</f>
        <v>229 Hyogoro Family / Big Boss - Hyogoro</v>
      </c>
      <c r="R117" s="273"/>
      <c r="S117" s="273"/>
      <c r="T117" s="273"/>
      <c r="U117" s="273"/>
      <c r="V117" s="273"/>
      <c r="W117" s="273"/>
      <c r="X117" s="273"/>
      <c r="Y117" s="273"/>
      <c r="Z117" s="273"/>
      <c r="AA117" s="273"/>
      <c r="AB117" s="273"/>
      <c r="AC117" s="273"/>
    </row>
    <row r="118" ht="75.0" customHeight="1">
      <c r="A118" s="272" t="s">
        <v>2273</v>
      </c>
      <c r="B118" s="273"/>
      <c r="C118" s="274" t="s">
        <v>2274</v>
      </c>
      <c r="D118" s="274" t="s">
        <v>2274</v>
      </c>
      <c r="E118" s="273"/>
      <c r="F118" s="275"/>
      <c r="G118" s="273" t="s">
        <v>2275</v>
      </c>
      <c r="H118" s="273" t="str">
        <f t="shared" si="1"/>
        <v>Germa 66 ~ Vinsmoke Ichiji</v>
      </c>
      <c r="I118" s="275"/>
      <c r="J118" s="274" t="s">
        <v>2276</v>
      </c>
      <c r="K118" s="273"/>
      <c r="L118" s="273"/>
      <c r="M118" s="273"/>
      <c r="N118" s="273" t="str">
        <f>IFERROR(__xludf.DUMMYFUNCTION("""COMPUTED_VALUE"""),"Don Quixote Pirates / Supreme Officer ~ Trebol")</f>
        <v>Don Quixote Pirates / Supreme Officer ~ Trebol</v>
      </c>
      <c r="O118" s="273">
        <f>IFERROR(__xludf.DUMMYFUNCTION("""COMPUTED_VALUE"""),226.0)</f>
        <v>226</v>
      </c>
      <c r="P118" s="275" t="str">
        <f t="shared" si="2"/>
        <v/>
      </c>
      <c r="Q118" s="273" t="str">
        <f>IFERROR(__xludf.DUMMYFUNCTION("""COMPUTED_VALUE"""),"313 Germa 66 - Vinsmoke Ichiji")</f>
        <v>313 Germa 66 - Vinsmoke Ichiji</v>
      </c>
      <c r="R118" s="273"/>
      <c r="S118" s="273"/>
      <c r="T118" s="273"/>
      <c r="U118" s="273"/>
      <c r="V118" s="273"/>
      <c r="W118" s="273"/>
      <c r="X118" s="273"/>
      <c r="Y118" s="273"/>
      <c r="Z118" s="273"/>
      <c r="AA118" s="273"/>
      <c r="AB118" s="273"/>
      <c r="AC118" s="273"/>
    </row>
    <row r="119" ht="75.0" customHeight="1">
      <c r="A119" s="272" t="s">
        <v>2277</v>
      </c>
      <c r="B119" s="273"/>
      <c r="C119" s="274" t="s">
        <v>2278</v>
      </c>
      <c r="D119" s="274" t="s">
        <v>2278</v>
      </c>
      <c r="E119" s="273"/>
      <c r="F119" s="275"/>
      <c r="G119" s="273" t="s">
        <v>2279</v>
      </c>
      <c r="H119" s="273" t="str">
        <f t="shared" si="1"/>
        <v>Triple-X-Level Boxer ~ Ideo</v>
      </c>
      <c r="I119" s="275"/>
      <c r="J119" s="274" t="s">
        <v>2280</v>
      </c>
      <c r="K119" s="273"/>
      <c r="L119" s="273"/>
      <c r="M119" s="273"/>
      <c r="N119" s="273" t="str">
        <f>IFERROR(__xludf.DUMMYFUNCTION("""COMPUTED_VALUE"""),"Don Quixote Pirates / Supreme Officer ~ Diamante")</f>
        <v>Don Quixote Pirates / Supreme Officer ~ Diamante</v>
      </c>
      <c r="O119" s="273">
        <f>IFERROR(__xludf.DUMMYFUNCTION("""COMPUTED_VALUE"""),225.0)</f>
        <v>225</v>
      </c>
      <c r="P119" s="275" t="str">
        <f t="shared" si="2"/>
        <v/>
      </c>
      <c r="Q119" s="273" t="str">
        <f>IFERROR(__xludf.DUMMYFUNCTION("""COMPUTED_VALUE"""),"247 Triple-X-Level Boxer - Ideo")</f>
        <v>247 Triple-X-Level Boxer - Ideo</v>
      </c>
      <c r="R119" s="273"/>
      <c r="S119" s="273"/>
      <c r="T119" s="273"/>
      <c r="U119" s="273"/>
      <c r="V119" s="273"/>
      <c r="W119" s="273"/>
      <c r="X119" s="273"/>
      <c r="Y119" s="273"/>
      <c r="Z119" s="273"/>
      <c r="AA119" s="273"/>
      <c r="AB119" s="273"/>
      <c r="AC119" s="273"/>
    </row>
    <row r="120" ht="75.0" customHeight="1">
      <c r="A120" s="272" t="s">
        <v>2281</v>
      </c>
      <c r="B120" s="273"/>
      <c r="C120" s="274" t="s">
        <v>2282</v>
      </c>
      <c r="D120" s="274" t="s">
        <v>2282</v>
      </c>
      <c r="E120" s="273"/>
      <c r="F120" s="275"/>
      <c r="G120" s="273" t="s">
        <v>2283</v>
      </c>
      <c r="H120" s="273" t="str">
        <f t="shared" si="1"/>
        <v>Revolutionary Army / Officer ~ Inazuma</v>
      </c>
      <c r="I120" s="275"/>
      <c r="J120" s="274" t="s">
        <v>2284</v>
      </c>
      <c r="K120" s="273"/>
      <c r="L120" s="273"/>
      <c r="M120" s="273"/>
      <c r="N120" s="273" t="str">
        <f>IFERROR(__xludf.DUMMYFUNCTION("""COMPUTED_VALUE"""),"The Bullet of Dressrosa ~ Bellamy")</f>
        <v>The Bullet of Dressrosa ~ Bellamy</v>
      </c>
      <c r="O120" s="273">
        <f>IFERROR(__xludf.DUMMYFUNCTION("""COMPUTED_VALUE"""),224.0)</f>
        <v>224</v>
      </c>
      <c r="P120" s="275" t="str">
        <f t="shared" si="2"/>
        <v/>
      </c>
      <c r="Q120" s="273" t="str">
        <f>IFERROR(__xludf.DUMMYFUNCTION("""COMPUTED_VALUE"""),"266 Revolutionary Army / Officer - Inazuma")</f>
        <v>266 Revolutionary Army / Officer - Inazuma</v>
      </c>
      <c r="R120" s="273"/>
      <c r="S120" s="273"/>
      <c r="T120" s="273"/>
      <c r="U120" s="273"/>
      <c r="V120" s="273"/>
      <c r="W120" s="273"/>
      <c r="X120" s="273"/>
      <c r="Y120" s="273"/>
      <c r="Z120" s="273"/>
      <c r="AA120" s="273"/>
      <c r="AB120" s="273"/>
      <c r="AC120" s="273"/>
    </row>
    <row r="121" ht="75.0" customHeight="1">
      <c r="A121" s="272" t="s">
        <v>2285</v>
      </c>
      <c r="B121" s="273"/>
      <c r="C121" s="274" t="s">
        <v>2286</v>
      </c>
      <c r="D121" s="274" t="s">
        <v>2286</v>
      </c>
      <c r="E121" s="273"/>
      <c r="F121" s="275"/>
      <c r="G121" s="273" t="s">
        <v>2287</v>
      </c>
      <c r="H121" s="273" t="str">
        <f t="shared" si="1"/>
        <v>King of the Day ~ Dogstorm</v>
      </c>
      <c r="I121" s="275"/>
      <c r="J121" s="274" t="s">
        <v>2288</v>
      </c>
      <c r="K121" s="273"/>
      <c r="L121" s="273"/>
      <c r="M121" s="273"/>
      <c r="N121" s="273" t="str">
        <f>IFERROR(__xludf.DUMMYFUNCTION("""COMPUTED_VALUE"""),"FILM RED ~ Usopp")</f>
        <v>FILM RED ~ Usopp</v>
      </c>
      <c r="O121" s="273">
        <f>IFERROR(__xludf.DUMMYFUNCTION("""COMPUTED_VALUE"""),223.0)</f>
        <v>223</v>
      </c>
      <c r="P121" s="275" t="str">
        <f t="shared" si="2"/>
        <v/>
      </c>
      <c r="Q121" s="273" t="str">
        <f>IFERROR(__xludf.DUMMYFUNCTION("""COMPUTED_VALUE"""),"164 King of the Day - Dogstorm")</f>
        <v>164 King of the Day - Dogstorm</v>
      </c>
      <c r="R121" s="273"/>
      <c r="S121" s="273"/>
      <c r="T121" s="273"/>
      <c r="U121" s="273"/>
      <c r="V121" s="273"/>
      <c r="W121" s="273"/>
      <c r="X121" s="273"/>
      <c r="Y121" s="273"/>
      <c r="Z121" s="273"/>
      <c r="AA121" s="273"/>
      <c r="AB121" s="273"/>
      <c r="AC121" s="273"/>
    </row>
    <row r="122" ht="75.0" customHeight="1">
      <c r="A122" s="272" t="s">
        <v>2289</v>
      </c>
      <c r="B122" s="273"/>
      <c r="C122" s="274" t="s">
        <v>2290</v>
      </c>
      <c r="D122" s="274" t="s">
        <v>2290</v>
      </c>
      <c r="E122" s="273"/>
      <c r="F122" s="275"/>
      <c r="G122" s="273" t="s">
        <v>2291</v>
      </c>
      <c r="H122" s="273" t="str">
        <f t="shared" si="1"/>
        <v>Revolutoonary Army ~ Emporio Ivankov</v>
      </c>
      <c r="I122" s="275"/>
      <c r="J122" s="274" t="s">
        <v>2292</v>
      </c>
      <c r="K122" s="273"/>
      <c r="L122" s="273"/>
      <c r="M122" s="273"/>
      <c r="N122" s="273" t="str">
        <f>IFERROR(__xludf.DUMMYFUNCTION("""COMPUTED_VALUE"""),"FILM RED ~ Yasopp")</f>
        <v>FILM RED ~ Yasopp</v>
      </c>
      <c r="O122" s="273">
        <f>IFERROR(__xludf.DUMMYFUNCTION("""COMPUTED_VALUE"""),222.0)</f>
        <v>222</v>
      </c>
      <c r="P122" s="275" t="str">
        <f t="shared" si="2"/>
        <v/>
      </c>
      <c r="Q122" s="273" t="str">
        <f>IFERROR(__xludf.DUMMYFUNCTION("""COMPUTED_VALUE"""),"118 Revolutoonary Army - Emporio Ivankov")</f>
        <v>118 Revolutoonary Army - Emporio Ivankov</v>
      </c>
      <c r="R122" s="273"/>
      <c r="S122" s="273"/>
      <c r="T122" s="273"/>
      <c r="U122" s="273"/>
      <c r="V122" s="273"/>
      <c r="W122" s="273"/>
      <c r="X122" s="273"/>
      <c r="Y122" s="273"/>
      <c r="Z122" s="273"/>
      <c r="AA122" s="273"/>
      <c r="AB122" s="273"/>
      <c r="AC122" s="273"/>
    </row>
    <row r="123" ht="75.0" customHeight="1">
      <c r="A123" s="272" t="s">
        <v>2293</v>
      </c>
      <c r="B123" s="273"/>
      <c r="C123" s="274" t="s">
        <v>2294</v>
      </c>
      <c r="D123" s="274" t="s">
        <v>2294</v>
      </c>
      <c r="E123" s="273"/>
      <c r="F123" s="275"/>
      <c r="G123" s="273" t="s">
        <v>2295</v>
      </c>
      <c r="H123" s="273" t="str">
        <f t="shared" si="1"/>
        <v>Former Whitebeard Pirates / 16th Division Commander ~ Izo</v>
      </c>
      <c r="I123" s="275"/>
      <c r="J123" s="274" t="s">
        <v>2296</v>
      </c>
      <c r="K123" s="273"/>
      <c r="L123" s="273"/>
      <c r="M123" s="273"/>
      <c r="N123" s="273" t="str">
        <f>IFERROR(__xludf.DUMMYFUNCTION("""COMPUTED_VALUE"""),"FILM RED ~ Tony Tony Chopper")</f>
        <v>FILM RED ~ Tony Tony Chopper</v>
      </c>
      <c r="O123" s="273">
        <f>IFERROR(__xludf.DUMMYFUNCTION("""COMPUTED_VALUE"""),221.0)</f>
        <v>221</v>
      </c>
      <c r="P123" s="275" t="str">
        <f t="shared" si="2"/>
        <v/>
      </c>
      <c r="Q123" s="273" t="str">
        <f>IFERROR(__xludf.DUMMYFUNCTION("""COMPUTED_VALUE"""),"193 Former Whitebeard Pirates / 16th Division Commander - Izo")</f>
        <v>193 Former Whitebeard Pirates / 16th Division Commander - Izo</v>
      </c>
      <c r="R123" s="273"/>
      <c r="S123" s="273"/>
      <c r="T123" s="273"/>
      <c r="U123" s="273"/>
      <c r="V123" s="273"/>
      <c r="W123" s="273"/>
      <c r="X123" s="273"/>
      <c r="Y123" s="273"/>
      <c r="Z123" s="273"/>
      <c r="AA123" s="273"/>
      <c r="AB123" s="273"/>
      <c r="AC123" s="273"/>
    </row>
    <row r="124" ht="75.0" customHeight="1">
      <c r="A124" s="272" t="s">
        <v>2297</v>
      </c>
      <c r="B124" s="273"/>
      <c r="C124" s="274" t="s">
        <v>2298</v>
      </c>
      <c r="D124" s="274" t="s">
        <v>2298</v>
      </c>
      <c r="E124" s="273"/>
      <c r="F124" s="275"/>
      <c r="G124" s="273" t="s">
        <v>2299</v>
      </c>
      <c r="H124" s="273" t="str">
        <f t="shared" si="1"/>
        <v>CP9 ~ Jabra</v>
      </c>
      <c r="I124" s="275"/>
      <c r="J124" s="274" t="s">
        <v>2300</v>
      </c>
      <c r="K124" s="273"/>
      <c r="L124" s="273"/>
      <c r="M124" s="273"/>
      <c r="N124" s="273" t="str">
        <f>IFERROR(__xludf.DUMMYFUNCTION("""COMPUTED_VALUE"""),"FILM RED ~ Nami")</f>
        <v>FILM RED ~ Nami</v>
      </c>
      <c r="O124" s="273">
        <f>IFERROR(__xludf.DUMMYFUNCTION("""COMPUTED_VALUE"""),220.0)</f>
        <v>220</v>
      </c>
      <c r="P124" s="275" t="str">
        <f t="shared" si="2"/>
        <v/>
      </c>
      <c r="Q124" s="273" t="str">
        <f>IFERROR(__xludf.DUMMYFUNCTION("""COMPUTED_VALUE"""),"292 CP9 - Jabra")</f>
        <v>292 CP9 - Jabra</v>
      </c>
      <c r="R124" s="273"/>
      <c r="S124" s="273"/>
      <c r="T124" s="273"/>
      <c r="U124" s="273"/>
      <c r="V124" s="273"/>
      <c r="W124" s="273"/>
      <c r="X124" s="273"/>
      <c r="Y124" s="273"/>
      <c r="Z124" s="273"/>
      <c r="AA124" s="273"/>
      <c r="AB124" s="273"/>
      <c r="AC124" s="273"/>
    </row>
    <row r="125" ht="75.0" customHeight="1">
      <c r="A125" s="272" t="s">
        <v>2301</v>
      </c>
      <c r="B125" s="273"/>
      <c r="C125" s="274" t="s">
        <v>2302</v>
      </c>
      <c r="D125" s="274" t="s">
        <v>2302</v>
      </c>
      <c r="E125" s="273"/>
      <c r="F125" s="275"/>
      <c r="G125" s="273" t="s">
        <v>2303</v>
      </c>
      <c r="H125" s="273" t="str">
        <f t="shared" si="1"/>
        <v>Animal Kingdom Pirates / Lead Performer ~ Jack</v>
      </c>
      <c r="I125" s="275"/>
      <c r="J125" s="274" t="s">
        <v>2304</v>
      </c>
      <c r="K125" s="273"/>
      <c r="L125" s="273"/>
      <c r="M125" s="273"/>
      <c r="N125" s="273" t="str">
        <f>IFERROR(__xludf.DUMMYFUNCTION("""COMPUTED_VALUE"""),"FILM RED ~ Ben Beckman")</f>
        <v>FILM RED ~ Ben Beckman</v>
      </c>
      <c r="O125" s="273">
        <f>IFERROR(__xludf.DUMMYFUNCTION("""COMPUTED_VALUE"""),219.0)</f>
        <v>219</v>
      </c>
      <c r="P125" s="275" t="str">
        <f t="shared" si="2"/>
        <v/>
      </c>
      <c r="Q125" s="273" t="str">
        <f>IFERROR(__xludf.DUMMYFUNCTION("""COMPUTED_VALUE"""),"195 Animal Kingdom Pirates / Lead Performer - Jack")</f>
        <v>195 Animal Kingdom Pirates / Lead Performer - Jack</v>
      </c>
      <c r="R125" s="273"/>
      <c r="S125" s="273"/>
      <c r="T125" s="273"/>
      <c r="U125" s="273"/>
      <c r="V125" s="273"/>
      <c r="W125" s="273"/>
      <c r="X125" s="273"/>
      <c r="Y125" s="273"/>
      <c r="Z125" s="273"/>
      <c r="AA125" s="273"/>
      <c r="AB125" s="273"/>
      <c r="AC125" s="273"/>
    </row>
    <row r="126" ht="75.0" customHeight="1">
      <c r="A126" s="272" t="s">
        <v>2305</v>
      </c>
      <c r="B126" s="273"/>
      <c r="C126" s="274" t="s">
        <v>2306</v>
      </c>
      <c r="D126" s="274" t="s">
        <v>2306</v>
      </c>
      <c r="E126" s="273"/>
      <c r="F126" s="275"/>
      <c r="G126" s="273" t="s">
        <v>2307</v>
      </c>
      <c r="H126" s="273" t="str">
        <f t="shared" si="1"/>
        <v>Whole Cake Island ~ Jinbe</v>
      </c>
      <c r="I126" s="275"/>
      <c r="J126" s="274" t="s">
        <v>2308</v>
      </c>
      <c r="K126" s="273"/>
      <c r="L126" s="273"/>
      <c r="M126" s="273"/>
      <c r="N126" s="273" t="str">
        <f>IFERROR(__xludf.DUMMYFUNCTION("""COMPUTED_VALUE"""),"FILM RED ~ Shanks")</f>
        <v>FILM RED ~ Shanks</v>
      </c>
      <c r="O126" s="273">
        <f>IFERROR(__xludf.DUMMYFUNCTION("""COMPUTED_VALUE"""),218.0)</f>
        <v>218</v>
      </c>
      <c r="P126" s="275" t="str">
        <f t="shared" si="2"/>
        <v/>
      </c>
      <c r="Q126" s="273" t="str">
        <f>IFERROR(__xludf.DUMMYFUNCTION("""COMPUTED_VALUE"""),"190 Whole Cake Island - Jinbe")</f>
        <v>190 Whole Cake Island - Jinbe</v>
      </c>
      <c r="R126" s="273"/>
      <c r="S126" s="273"/>
      <c r="T126" s="273"/>
      <c r="U126" s="273"/>
      <c r="V126" s="273"/>
      <c r="W126" s="273"/>
      <c r="X126" s="273"/>
      <c r="Y126" s="273"/>
      <c r="Z126" s="273"/>
      <c r="AA126" s="273"/>
      <c r="AB126" s="273"/>
      <c r="AC126" s="273"/>
    </row>
    <row r="127" ht="75.0" customHeight="1">
      <c r="A127" s="272" t="s">
        <v>2309</v>
      </c>
      <c r="B127" s="273"/>
      <c r="C127" s="274" t="s">
        <v>2310</v>
      </c>
      <c r="D127" s="274" t="s">
        <v>2310</v>
      </c>
      <c r="E127" s="273"/>
      <c r="F127" s="275"/>
      <c r="G127" s="273" t="s">
        <v>2311</v>
      </c>
      <c r="H127" s="273" t="str">
        <f t="shared" si="1"/>
        <v>Raid on Onigashima ~ Jinbe</v>
      </c>
      <c r="I127" s="275"/>
      <c r="J127" s="274" t="s">
        <v>2312</v>
      </c>
      <c r="K127" s="273"/>
      <c r="L127" s="273"/>
      <c r="M127" s="273"/>
      <c r="N127" s="273" t="str">
        <f>IFERROR(__xludf.DUMMYFUNCTION("""COMPUTED_VALUE"""),"FILM RED ~ Monkey D. Luffy")</f>
        <v>FILM RED ~ Monkey D. Luffy</v>
      </c>
      <c r="O127" s="273">
        <f>IFERROR(__xludf.DUMMYFUNCTION("""COMPUTED_VALUE"""),217.0)</f>
        <v>217</v>
      </c>
      <c r="P127" s="275" t="str">
        <f t="shared" si="2"/>
        <v/>
      </c>
      <c r="Q127" s="273" t="str">
        <f>IFERROR(__xludf.DUMMYFUNCTION("""COMPUTED_VALUE"""),"236 Raid on Onigashima - Jinbe")</f>
        <v>236 Raid on Onigashima - Jinbe</v>
      </c>
      <c r="R127" s="273"/>
      <c r="S127" s="273"/>
      <c r="T127" s="273"/>
      <c r="U127" s="273"/>
      <c r="V127" s="273"/>
      <c r="W127" s="273"/>
      <c r="X127" s="273"/>
      <c r="Y127" s="273"/>
      <c r="Z127" s="273"/>
      <c r="AA127" s="273"/>
      <c r="AB127" s="273"/>
      <c r="AC127" s="273"/>
    </row>
    <row r="128" ht="75.0" customHeight="1">
      <c r="A128" s="272" t="s">
        <v>2313</v>
      </c>
      <c r="B128" s="273"/>
      <c r="C128" s="274" t="s">
        <v>2314</v>
      </c>
      <c r="D128" s="274" t="s">
        <v>2314</v>
      </c>
      <c r="E128" s="273"/>
      <c r="F128" s="275"/>
      <c r="G128" s="273" t="s">
        <v>2315</v>
      </c>
      <c r="H128" s="273" t="str">
        <f t="shared" si="1"/>
        <v>Egghead ~ Jinbe</v>
      </c>
      <c r="I128" s="275"/>
      <c r="J128" s="274" t="s">
        <v>2316</v>
      </c>
      <c r="K128" s="273"/>
      <c r="L128" s="273"/>
      <c r="M128" s="273"/>
      <c r="N128" s="273" t="str">
        <f>IFERROR(__xludf.DUMMYFUNCTION("""COMPUTED_VALUE"""),"FILM RED ~ Uta")</f>
        <v>FILM RED ~ Uta</v>
      </c>
      <c r="O128" s="273">
        <f>IFERROR(__xludf.DUMMYFUNCTION("""COMPUTED_VALUE"""),216.0)</f>
        <v>216</v>
      </c>
      <c r="P128" s="275" t="str">
        <f t="shared" si="2"/>
        <v/>
      </c>
      <c r="Q128" s="273" t="str">
        <f>IFERROR(__xludf.DUMMYFUNCTION("""COMPUTED_VALUE"""),"335 Egghead - Jinbe")</f>
        <v>335 Egghead - Jinbe</v>
      </c>
      <c r="R128" s="273"/>
      <c r="S128" s="273"/>
      <c r="T128" s="273"/>
      <c r="U128" s="273"/>
      <c r="V128" s="273"/>
      <c r="W128" s="273"/>
      <c r="X128" s="273"/>
      <c r="Y128" s="273"/>
      <c r="Z128" s="273"/>
      <c r="AA128" s="273"/>
      <c r="AB128" s="273"/>
      <c r="AC128" s="273"/>
    </row>
    <row r="129" ht="75.0" customHeight="1">
      <c r="A129" s="272" t="s">
        <v>2317</v>
      </c>
      <c r="B129" s="273"/>
      <c r="C129" s="274" t="s">
        <v>2318</v>
      </c>
      <c r="D129" s="274" t="s">
        <v>2318</v>
      </c>
      <c r="E129" s="273"/>
      <c r="F129" s="275"/>
      <c r="G129" s="273" t="s">
        <v>2319</v>
      </c>
      <c r="H129" s="273" t="str">
        <f t="shared" si="1"/>
        <v>The Seven Warlords of the Sea ~ Jinbe</v>
      </c>
      <c r="I129" s="275"/>
      <c r="J129" s="274" t="s">
        <v>2320</v>
      </c>
      <c r="K129" s="273"/>
      <c r="L129" s="273"/>
      <c r="M129" s="273"/>
      <c r="N129" s="273" t="str">
        <f>IFERROR(__xludf.DUMMYFUNCTION("""COMPUTED_VALUE"""),"FILM Z ~ Zephyr")</f>
        <v>FILM Z ~ Zephyr</v>
      </c>
      <c r="O129" s="273">
        <f>IFERROR(__xludf.DUMMYFUNCTION("""COMPUTED_VALUE"""),215.0)</f>
        <v>215</v>
      </c>
      <c r="P129" s="275" t="str">
        <f t="shared" si="2"/>
        <v/>
      </c>
      <c r="Q129" s="273" t="str">
        <f>IFERROR(__xludf.DUMMYFUNCTION("""COMPUTED_VALUE"""),"091 The Seven Warlords of the Sea - Jinbe")</f>
        <v>091 The Seven Warlords of the Sea - Jinbe</v>
      </c>
      <c r="R129" s="273"/>
      <c r="S129" s="273"/>
      <c r="T129" s="273"/>
      <c r="U129" s="273"/>
      <c r="V129" s="273"/>
      <c r="W129" s="273"/>
      <c r="X129" s="273"/>
      <c r="Y129" s="273"/>
      <c r="Z129" s="273"/>
      <c r="AA129" s="273"/>
      <c r="AB129" s="273"/>
      <c r="AC129" s="273"/>
    </row>
    <row r="130" ht="75.0" customHeight="1">
      <c r="A130" s="272" t="s">
        <v>2321</v>
      </c>
      <c r="B130" s="273"/>
      <c r="C130" s="274" t="s">
        <v>2322</v>
      </c>
      <c r="D130" s="274" t="s">
        <v>2322</v>
      </c>
      <c r="E130" s="273"/>
      <c r="F130" s="275"/>
      <c r="G130" s="273" t="s">
        <v>2323</v>
      </c>
      <c r="H130" s="273" t="str">
        <f t="shared" si="1"/>
        <v>Bounty Hunter ~ Johnny</v>
      </c>
      <c r="I130" s="275"/>
      <c r="J130" s="274" t="s">
        <v>2324</v>
      </c>
      <c r="K130" s="273"/>
      <c r="L130" s="273"/>
      <c r="M130" s="273"/>
      <c r="N130" s="273" t="str">
        <f>IFERROR(__xludf.DUMMYFUNCTION("""COMPUTED_VALUE"""),"FILM GOLD ~ Gild Tesoro")</f>
        <v>FILM GOLD ~ Gild Tesoro</v>
      </c>
      <c r="O130" s="273">
        <f>IFERROR(__xludf.DUMMYFUNCTION("""COMPUTED_VALUE"""),214.0)</f>
        <v>214</v>
      </c>
      <c r="P130" s="275" t="str">
        <f t="shared" si="2"/>
        <v/>
      </c>
      <c r="Q130" s="273" t="str">
        <f>IFERROR(__xludf.DUMMYFUNCTION("""COMPUTED_VALUE"""),"019 Bounty Hunter - Johnny")</f>
        <v>019 Bounty Hunter - Johnny</v>
      </c>
      <c r="R130" s="273"/>
      <c r="S130" s="273"/>
      <c r="T130" s="273"/>
      <c r="U130" s="273"/>
      <c r="V130" s="273"/>
      <c r="W130" s="273"/>
      <c r="X130" s="273"/>
      <c r="Y130" s="273"/>
      <c r="Z130" s="273"/>
      <c r="AA130" s="273"/>
      <c r="AB130" s="273"/>
      <c r="AC130" s="273"/>
    </row>
    <row r="131" ht="75.0" customHeight="1">
      <c r="A131" s="272" t="s">
        <v>2325</v>
      </c>
      <c r="B131" s="273"/>
      <c r="C131" s="274" t="s">
        <v>2326</v>
      </c>
      <c r="D131" s="274" t="s">
        <v>2326</v>
      </c>
      <c r="E131" s="273"/>
      <c r="F131" s="275"/>
      <c r="G131" s="273" t="s">
        <v>2327</v>
      </c>
      <c r="H131" s="273" t="str">
        <f t="shared" si="1"/>
        <v>Whitebeard Pirates / 3rd Division Commander ~ Jozu</v>
      </c>
      <c r="I131" s="275"/>
      <c r="J131" s="274" t="s">
        <v>2328</v>
      </c>
      <c r="K131" s="273"/>
      <c r="L131" s="273"/>
      <c r="M131" s="273"/>
      <c r="N131" s="273" t="str">
        <f>IFERROR(__xludf.DUMMYFUNCTION("""COMPUTED_VALUE"""),"FILM STRONG WORLD ~ Shiki")</f>
        <v>FILM STRONG WORLD ~ Shiki</v>
      </c>
      <c r="O131" s="273">
        <f>IFERROR(__xludf.DUMMYFUNCTION("""COMPUTED_VALUE"""),213.0)</f>
        <v>213</v>
      </c>
      <c r="P131" s="275" t="str">
        <f t="shared" si="2"/>
        <v/>
      </c>
      <c r="Q131" s="273" t="str">
        <f>IFERROR(__xludf.DUMMYFUNCTION("""COMPUTED_VALUE"""),"203 Whitebeard Pirates / 3rd Division Commander - Jozu")</f>
        <v>203 Whitebeard Pirates / 3rd Division Commander - Jozu</v>
      </c>
      <c r="R131" s="273"/>
      <c r="S131" s="273"/>
      <c r="T131" s="273"/>
      <c r="U131" s="273"/>
      <c r="V131" s="273"/>
      <c r="W131" s="273"/>
      <c r="X131" s="273"/>
      <c r="Y131" s="273"/>
      <c r="Z131" s="273"/>
      <c r="AA131" s="273"/>
      <c r="AB131" s="273"/>
      <c r="AC131" s="273"/>
    </row>
    <row r="132" ht="75.0" customHeight="1">
      <c r="A132" s="272" t="s">
        <v>2329</v>
      </c>
      <c r="B132" s="273"/>
      <c r="C132" s="274" t="s">
        <v>2330</v>
      </c>
      <c r="D132" s="274" t="s">
        <v>2330</v>
      </c>
      <c r="E132" s="273"/>
      <c r="F132" s="275"/>
      <c r="G132" s="273" t="s">
        <v>2331</v>
      </c>
      <c r="H132" s="273" t="str">
        <f t="shared" si="1"/>
        <v>Germa 66 / Generalissimo ~ Vinsmoke Judge</v>
      </c>
      <c r="I132" s="275"/>
      <c r="J132" s="274" t="s">
        <v>2332</v>
      </c>
      <c r="K132" s="273"/>
      <c r="L132" s="273"/>
      <c r="M132" s="273"/>
      <c r="N132" s="273" t="str">
        <f>IFERROR(__xludf.DUMMYFUNCTION("""COMPUTED_VALUE"""),"STAMPEDE ~ Boa Hancock")</f>
        <v>STAMPEDE ~ Boa Hancock</v>
      </c>
      <c r="O132" s="273">
        <f>IFERROR(__xludf.DUMMYFUNCTION("""COMPUTED_VALUE"""),212.0)</f>
        <v>212</v>
      </c>
      <c r="P132" s="275" t="str">
        <f t="shared" si="2"/>
        <v/>
      </c>
      <c r="Q132" s="273" t="str">
        <f>IFERROR(__xludf.DUMMYFUNCTION("""COMPUTED_VALUE"""),"199 Germa 66 / Generalissimo - Vinsmoke Judge 1")</f>
        <v>199 Germa 66 / Generalissimo - Vinsmoke Judge 1</v>
      </c>
      <c r="R132" s="273"/>
      <c r="S132" s="273"/>
      <c r="T132" s="273"/>
      <c r="U132" s="273"/>
      <c r="V132" s="273"/>
      <c r="W132" s="273"/>
      <c r="X132" s="273"/>
      <c r="Y132" s="273"/>
      <c r="Z132" s="273"/>
      <c r="AA132" s="273"/>
      <c r="AB132" s="273"/>
      <c r="AC132" s="273"/>
    </row>
    <row r="133" ht="75.0" customHeight="1">
      <c r="A133" s="272" t="s">
        <v>2333</v>
      </c>
      <c r="B133" s="273"/>
      <c r="C133" s="274" t="s">
        <v>2330</v>
      </c>
      <c r="D133" s="274" t="s">
        <v>2330</v>
      </c>
      <c r="E133" s="273"/>
      <c r="F133" s="275"/>
      <c r="G133" s="273" t="s">
        <v>2331</v>
      </c>
      <c r="H133" s="273" t="str">
        <f t="shared" si="1"/>
        <v>Germa 66 / Generalissimo ~ Vinsmoke Judge</v>
      </c>
      <c r="I133" s="275"/>
      <c r="J133" s="274" t="s">
        <v>2334</v>
      </c>
      <c r="K133" s="273"/>
      <c r="L133" s="273"/>
      <c r="M133" s="273"/>
      <c r="N133" s="273" t="str">
        <f>IFERROR(__xludf.DUMMYFUNCTION("""COMPUTED_VALUE"""),"Land of Wano ~ Marco")</f>
        <v>Land of Wano ~ Marco</v>
      </c>
      <c r="O133" s="273">
        <f>IFERROR(__xludf.DUMMYFUNCTION("""COMPUTED_VALUE"""),211.0)</f>
        <v>211</v>
      </c>
      <c r="P133" s="275" t="str">
        <f t="shared" si="2"/>
        <v/>
      </c>
      <c r="Q133" s="273" t="str">
        <f>IFERROR(__xludf.DUMMYFUNCTION("""COMPUTED_VALUE"""),"199 Germa 66 / Generalissimo - Vinsmoke Judge 2")</f>
        <v>199 Germa 66 / Generalissimo - Vinsmoke Judge 2</v>
      </c>
      <c r="R133" s="273"/>
      <c r="S133" s="273"/>
      <c r="T133" s="273"/>
      <c r="U133" s="273"/>
      <c r="V133" s="273"/>
      <c r="W133" s="273"/>
      <c r="X133" s="273"/>
      <c r="Y133" s="273"/>
      <c r="Z133" s="273"/>
      <c r="AA133" s="273"/>
      <c r="AB133" s="273"/>
      <c r="AC133" s="273"/>
    </row>
    <row r="134" ht="75.0" customHeight="1">
      <c r="A134" s="272" t="s">
        <v>2335</v>
      </c>
      <c r="B134" s="273"/>
      <c r="C134" s="274" t="s">
        <v>2336</v>
      </c>
      <c r="D134" s="274" t="s">
        <v>2336</v>
      </c>
      <c r="E134" s="273"/>
      <c r="F134" s="275"/>
      <c r="G134" s="273" t="s">
        <v>2337</v>
      </c>
      <c r="H134" s="273" t="str">
        <f t="shared" si="1"/>
        <v>The Strongest Creature Alive ~ Kaido</v>
      </c>
      <c r="I134" s="275"/>
      <c r="J134" s="274" t="s">
        <v>2338</v>
      </c>
      <c r="K134" s="273"/>
      <c r="L134" s="273"/>
      <c r="M134" s="273"/>
      <c r="N134" s="273" t="str">
        <f>IFERROR(__xludf.DUMMYFUNCTION("""COMPUTED_VALUE"""),"Big Mom Pirates / Crewmate ~ Charlotte Perospero")</f>
        <v>Big Mom Pirates / Crewmate ~ Charlotte Perospero</v>
      </c>
      <c r="O134" s="273">
        <f>IFERROR(__xludf.DUMMYFUNCTION("""COMPUTED_VALUE"""),210.0)</f>
        <v>210</v>
      </c>
      <c r="P134" s="275" t="str">
        <f t="shared" si="2"/>
        <v/>
      </c>
      <c r="Q134" s="273" t="str">
        <f>IFERROR(__xludf.DUMMYFUNCTION("""COMPUTED_VALUE"""),"197 The Strongest Creature Alive - Kaido")</f>
        <v>197 The Strongest Creature Alive - Kaido</v>
      </c>
      <c r="R134" s="273"/>
      <c r="S134" s="273"/>
      <c r="T134" s="273"/>
      <c r="U134" s="273"/>
      <c r="V134" s="273"/>
      <c r="W134" s="273"/>
      <c r="X134" s="273"/>
      <c r="Y134" s="273"/>
      <c r="Z134" s="273"/>
      <c r="AA134" s="273"/>
      <c r="AB134" s="273"/>
      <c r="AC134" s="273"/>
    </row>
    <row r="135" ht="75.0" customHeight="1">
      <c r="A135" s="272" t="s">
        <v>2339</v>
      </c>
      <c r="B135" s="273"/>
      <c r="C135" s="274" t="s">
        <v>2340</v>
      </c>
      <c r="D135" s="274" t="s">
        <v>2340</v>
      </c>
      <c r="E135" s="273"/>
      <c r="F135" s="275"/>
      <c r="G135" s="273" t="s">
        <v>2341</v>
      </c>
      <c r="H135" s="273" t="str">
        <f t="shared" si="1"/>
        <v>Battle of Monsters on Onigashima ~ Kaido</v>
      </c>
      <c r="I135" s="275"/>
      <c r="J135" s="274" t="s">
        <v>2342</v>
      </c>
      <c r="K135" s="273"/>
      <c r="L135" s="273"/>
      <c r="M135" s="273"/>
      <c r="N135" s="273" t="str">
        <f>IFERROR(__xludf.DUMMYFUNCTION("""COMPUTED_VALUE"""),"Animal Kingdom Pirates / Tobi Roppo ~ Ulti")</f>
        <v>Animal Kingdom Pirates / Tobi Roppo ~ Ulti</v>
      </c>
      <c r="O135" s="273">
        <f>IFERROR(__xludf.DUMMYFUNCTION("""COMPUTED_VALUE"""),209.0)</f>
        <v>209</v>
      </c>
      <c r="P135" s="275" t="str">
        <f t="shared" si="2"/>
        <v/>
      </c>
      <c r="Q135" s="273" t="str">
        <f>IFERROR(__xludf.DUMMYFUNCTION("""COMPUTED_VALUE"""),"234 Battle of Monsters on Onigashima - Kaido")</f>
        <v>234 Battle of Monsters on Onigashima - Kaido</v>
      </c>
      <c r="R135" s="273"/>
      <c r="S135" s="273"/>
      <c r="T135" s="273"/>
      <c r="U135" s="273"/>
      <c r="V135" s="273"/>
      <c r="W135" s="273"/>
      <c r="X135" s="273"/>
      <c r="Y135" s="273"/>
      <c r="Z135" s="273"/>
      <c r="AA135" s="273"/>
      <c r="AB135" s="273"/>
      <c r="AC135" s="273"/>
    </row>
    <row r="136" ht="75.0" customHeight="1">
      <c r="A136" s="272" t="s">
        <v>2343</v>
      </c>
      <c r="B136" s="273"/>
      <c r="C136" s="274" t="s">
        <v>2344</v>
      </c>
      <c r="D136" s="274" t="s">
        <v>2344</v>
      </c>
      <c r="E136" s="273"/>
      <c r="F136" s="275"/>
      <c r="G136" s="273" t="s">
        <v>2345</v>
      </c>
      <c r="H136" s="273" t="str">
        <f t="shared" si="1"/>
        <v>Animal Kingdom Pirates / Supreme Commander ~ Kaido</v>
      </c>
      <c r="I136" s="275"/>
      <c r="J136" s="274" t="s">
        <v>2346</v>
      </c>
      <c r="K136" s="273"/>
      <c r="L136" s="273"/>
      <c r="M136" s="273"/>
      <c r="N136" s="273" t="str">
        <f>IFERROR(__xludf.DUMMYFUNCTION("""COMPUTED_VALUE"""),"Animal Kingdom Pirates / Tobi Roppo ~ Page One")</f>
        <v>Animal Kingdom Pirates / Tobi Roppo ~ Page One</v>
      </c>
      <c r="O136" s="273">
        <f>IFERROR(__xludf.DUMMYFUNCTION("""COMPUTED_VALUE"""),208.0)</f>
        <v>208</v>
      </c>
      <c r="P136" s="275" t="str">
        <f t="shared" si="2"/>
        <v/>
      </c>
      <c r="Q136" s="273" t="str">
        <f>IFERROR(__xludf.DUMMYFUNCTION("""COMPUTED_VALUE"""),"099 Animal Kingdom Pirates / Supreme Commander - Kaido")</f>
        <v>099 Animal Kingdom Pirates / Supreme Commander - Kaido</v>
      </c>
      <c r="R136" s="273"/>
      <c r="S136" s="273"/>
      <c r="T136" s="273"/>
      <c r="U136" s="273"/>
      <c r="V136" s="273"/>
      <c r="W136" s="273"/>
      <c r="X136" s="273"/>
      <c r="Y136" s="273"/>
      <c r="Z136" s="273"/>
      <c r="AA136" s="273"/>
      <c r="AB136" s="273"/>
      <c r="AC136" s="273"/>
    </row>
    <row r="137" ht="75.0" customHeight="1">
      <c r="A137" s="272" t="s">
        <v>2347</v>
      </c>
      <c r="B137" s="273"/>
      <c r="C137" s="274" t="s">
        <v>2348</v>
      </c>
      <c r="D137" s="274" t="s">
        <v>2348</v>
      </c>
      <c r="E137" s="273"/>
      <c r="F137" s="275"/>
      <c r="G137" s="273" t="s">
        <v>2349</v>
      </c>
      <c r="H137" s="273" t="str">
        <f t="shared" si="1"/>
        <v>Awakened Form ~ Kaku</v>
      </c>
      <c r="I137" s="275"/>
      <c r="J137" s="274" t="s">
        <v>2350</v>
      </c>
      <c r="K137" s="273"/>
      <c r="L137" s="273"/>
      <c r="M137" s="273"/>
      <c r="N137" s="273" t="str">
        <f>IFERROR(__xludf.DUMMYFUNCTION("""COMPUTED_VALUE"""),"Shandian Warrior ~ Wyper")</f>
        <v>Shandian Warrior ~ Wyper</v>
      </c>
      <c r="O137" s="273">
        <f>IFERROR(__xludf.DUMMYFUNCTION("""COMPUTED_VALUE"""),207.0)</f>
        <v>207</v>
      </c>
      <c r="P137" s="275" t="str">
        <f t="shared" si="2"/>
        <v/>
      </c>
      <c r="Q137" s="273" t="str">
        <f>IFERROR(__xludf.DUMMYFUNCTION("""COMPUTED_VALUE"""),"294 Awakened Form - Kaku")</f>
        <v>294 Awakened Form - Kaku</v>
      </c>
      <c r="R137" s="273"/>
      <c r="S137" s="273"/>
      <c r="T137" s="273"/>
      <c r="U137" s="273"/>
      <c r="V137" s="273"/>
      <c r="W137" s="273"/>
      <c r="X137" s="273"/>
      <c r="Y137" s="273"/>
      <c r="Z137" s="273"/>
      <c r="AA137" s="273"/>
      <c r="AB137" s="273"/>
      <c r="AC137" s="273"/>
    </row>
    <row r="138" ht="75.0" customHeight="1">
      <c r="A138" s="272" t="s">
        <v>2351</v>
      </c>
      <c r="B138" s="273"/>
      <c r="C138" s="274" t="s">
        <v>2352</v>
      </c>
      <c r="D138" s="274" t="s">
        <v>2352</v>
      </c>
      <c r="E138" s="273"/>
      <c r="F138" s="275"/>
      <c r="G138" s="273" t="s">
        <v>2353</v>
      </c>
      <c r="H138" s="273" t="str">
        <f t="shared" si="1"/>
        <v>CP9 ~ Kaku</v>
      </c>
      <c r="I138" s="275"/>
      <c r="J138" s="274" t="s">
        <v>2354</v>
      </c>
      <c r="K138" s="273"/>
      <c r="L138" s="273"/>
      <c r="M138" s="273"/>
      <c r="N138" s="273" t="str">
        <f>IFERROR(__xludf.DUMMYFUNCTION("""COMPUTED_VALUE"""),"Land of Wano ~ Franosuke")</f>
        <v>Land of Wano ~ Franosuke</v>
      </c>
      <c r="O138" s="273">
        <f>IFERROR(__xludf.DUMMYFUNCTION("""COMPUTED_VALUE"""),206.0)</f>
        <v>206</v>
      </c>
      <c r="P138" s="275" t="str">
        <f t="shared" si="2"/>
        <v/>
      </c>
      <c r="Q138" s="273" t="str">
        <f>IFERROR(__xludf.DUMMYFUNCTION("""COMPUTED_VALUE"""),"111 CP9 - Kaku")</f>
        <v>111 CP9 - Kaku</v>
      </c>
      <c r="R138" s="273"/>
      <c r="S138" s="273"/>
      <c r="T138" s="273"/>
      <c r="U138" s="273"/>
      <c r="V138" s="273"/>
      <c r="W138" s="273"/>
      <c r="X138" s="273"/>
      <c r="Y138" s="273"/>
      <c r="Z138" s="273"/>
      <c r="AA138" s="273"/>
      <c r="AB138" s="273"/>
      <c r="AC138" s="273"/>
    </row>
    <row r="139" ht="75.0" customHeight="1">
      <c r="A139" s="272" t="s">
        <v>2355</v>
      </c>
      <c r="B139" s="273"/>
      <c r="C139" s="274" t="s">
        <v>2356</v>
      </c>
      <c r="D139" s="274" t="s">
        <v>2356</v>
      </c>
      <c r="E139" s="273"/>
      <c r="F139" s="275"/>
      <c r="G139" s="273" t="s">
        <v>2357</v>
      </c>
      <c r="H139" s="273" t="str">
        <f t="shared" si="1"/>
        <v>The Great Warrior of Shandora ~ Kalgara</v>
      </c>
      <c r="I139" s="275"/>
      <c r="J139" s="274" t="s">
        <v>2358</v>
      </c>
      <c r="K139" s="273"/>
      <c r="L139" s="273"/>
      <c r="M139" s="273"/>
      <c r="N139" s="273" t="str">
        <f>IFERROR(__xludf.DUMMYFUNCTION("""COMPUTED_VALUE"""),"Land of Wano ~ Usohachi")</f>
        <v>Land of Wano ~ Usohachi</v>
      </c>
      <c r="O139" s="273">
        <f>IFERROR(__xludf.DUMMYFUNCTION("""COMPUTED_VALUE"""),205.0)</f>
        <v>205</v>
      </c>
      <c r="P139" s="275" t="str">
        <f t="shared" si="2"/>
        <v/>
      </c>
      <c r="Q139" s="273" t="str">
        <f>IFERROR(__xludf.DUMMYFUNCTION("""COMPUTED_VALUE"""),"282 The Great Warrior of Shandora - Kalgara")</f>
        <v>282 The Great Warrior of Shandora - Kalgara</v>
      </c>
      <c r="R139" s="273"/>
      <c r="S139" s="273"/>
      <c r="T139" s="273"/>
      <c r="U139" s="273"/>
      <c r="V139" s="273"/>
      <c r="W139" s="273"/>
      <c r="X139" s="273"/>
      <c r="Y139" s="273"/>
      <c r="Z139" s="273"/>
      <c r="AA139" s="273"/>
      <c r="AB139" s="273"/>
      <c r="AC139" s="273"/>
    </row>
    <row r="140" ht="75.0" customHeight="1">
      <c r="A140" s="272" t="s">
        <v>2359</v>
      </c>
      <c r="B140" s="273"/>
      <c r="C140" s="274" t="s">
        <v>2360</v>
      </c>
      <c r="D140" s="274" t="s">
        <v>2360</v>
      </c>
      <c r="E140" s="273"/>
      <c r="F140" s="275"/>
      <c r="G140" s="273" t="s">
        <v>2361</v>
      </c>
      <c r="H140" s="273" t="str">
        <f t="shared" si="1"/>
        <v>Kurozumi Spy ~ Kurozumi Kanjuro</v>
      </c>
      <c r="I140" s="275"/>
      <c r="J140" s="274" t="s">
        <v>2362</v>
      </c>
      <c r="K140" s="273"/>
      <c r="L140" s="273"/>
      <c r="M140" s="273"/>
      <c r="N140" s="273" t="str">
        <f>IFERROR(__xludf.DUMMYFUNCTION("""COMPUTED_VALUE"""),"Blackbeard Pirates / Former Head Jailer of Impel Down ~ Shiryu")</f>
        <v>Blackbeard Pirates / Former Head Jailer of Impel Down ~ Shiryu</v>
      </c>
      <c r="O140" s="273">
        <f>IFERROR(__xludf.DUMMYFUNCTION("""COMPUTED_VALUE"""),204.0)</f>
        <v>204</v>
      </c>
      <c r="P140" s="275" t="str">
        <f t="shared" si="2"/>
        <v/>
      </c>
      <c r="Q140" s="273" t="str">
        <f>IFERROR(__xludf.DUMMYFUNCTION("""COMPUTED_VALUE"""),"192 Kurozumi Spy - Kurozumi Kanjuro")</f>
        <v>192 Kurozumi Spy - Kurozumi Kanjuro</v>
      </c>
      <c r="R140" s="273"/>
      <c r="S140" s="273"/>
      <c r="T140" s="273"/>
      <c r="U140" s="273"/>
      <c r="V140" s="273"/>
      <c r="W140" s="273"/>
      <c r="X140" s="273"/>
      <c r="Y140" s="273"/>
      <c r="Z140" s="273"/>
      <c r="AA140" s="273"/>
      <c r="AB140" s="273"/>
      <c r="AC140" s="273"/>
    </row>
    <row r="141" ht="75.0" customHeight="1">
      <c r="A141" s="272" t="s">
        <v>2363</v>
      </c>
      <c r="B141" s="273"/>
      <c r="C141" s="274" t="s">
        <v>2364</v>
      </c>
      <c r="D141" s="274" t="s">
        <v>2364</v>
      </c>
      <c r="E141" s="273"/>
      <c r="F141" s="275"/>
      <c r="G141" s="273" t="s">
        <v>2365</v>
      </c>
      <c r="H141" s="273" t="str">
        <f t="shared" si="1"/>
        <v>Revolutionary Army / Captain of the Northern Forces ~ Karasu</v>
      </c>
      <c r="I141" s="275"/>
      <c r="J141" s="274" t="s">
        <v>2366</v>
      </c>
      <c r="K141" s="273"/>
      <c r="L141" s="273"/>
      <c r="M141" s="273"/>
      <c r="N141" s="273" t="str">
        <f>IFERROR(__xludf.DUMMYFUNCTION("""COMPUTED_VALUE"""),"Whitebeard Pirates / 3rd Division Commander ~ Jozu")</f>
        <v>Whitebeard Pirates / 3rd Division Commander ~ Jozu</v>
      </c>
      <c r="O141" s="273">
        <f>IFERROR(__xludf.DUMMYFUNCTION("""COMPUTED_VALUE"""),203.0)</f>
        <v>203</v>
      </c>
      <c r="P141" s="275" t="str">
        <f t="shared" si="2"/>
        <v/>
      </c>
      <c r="Q141" s="273" t="str">
        <f>IFERROR(__xludf.DUMMYFUNCTION("""COMPUTED_VALUE"""),"267 Revolutionary Army / Captain of the Northern Forces - Karasu")</f>
        <v>267 Revolutionary Army / Captain of the Northern Forces - Karasu</v>
      </c>
      <c r="R141" s="273"/>
      <c r="S141" s="273"/>
      <c r="T141" s="273"/>
      <c r="U141" s="273"/>
      <c r="V141" s="273"/>
      <c r="W141" s="273"/>
      <c r="X141" s="273"/>
      <c r="Y141" s="273"/>
      <c r="Z141" s="273"/>
      <c r="AA141" s="273"/>
      <c r="AB141" s="273"/>
      <c r="AC141" s="273"/>
    </row>
    <row r="142" ht="75.0" customHeight="1">
      <c r="A142" s="272" t="s">
        <v>2367</v>
      </c>
      <c r="B142" s="273"/>
      <c r="C142" s="274" t="s">
        <v>2368</v>
      </c>
      <c r="D142" s="274" t="s">
        <v>2368</v>
      </c>
      <c r="E142" s="273"/>
      <c r="F142" s="275"/>
      <c r="G142" s="273" t="s">
        <v>2369</v>
      </c>
      <c r="H142" s="273" t="str">
        <f t="shared" si="1"/>
        <v>Superhuman ~ Charlotte Katakuri</v>
      </c>
      <c r="I142" s="275"/>
      <c r="J142" s="274" t="s">
        <v>2370</v>
      </c>
      <c r="K142" s="273"/>
      <c r="L142" s="273"/>
      <c r="M142" s="273"/>
      <c r="N142" s="273" t="str">
        <f>IFERROR(__xludf.DUMMYFUNCTION("""COMPUTED_VALUE"""),"Whitebeard Pirates / 5th Division Commander ~ Vista")</f>
        <v>Whitebeard Pirates / 5th Division Commander ~ Vista</v>
      </c>
      <c r="O142" s="273">
        <f>IFERROR(__xludf.DUMMYFUNCTION("""COMPUTED_VALUE"""),202.0)</f>
        <v>202</v>
      </c>
      <c r="P142" s="275" t="str">
        <f t="shared" si="2"/>
        <v/>
      </c>
      <c r="Q142" s="273" t="str">
        <f>IFERROR(__xludf.DUMMYFUNCTION("""COMPUTED_VALUE"""),"135 Superhuman - Charlotte Katakuri")</f>
        <v>135 Superhuman - Charlotte Katakuri</v>
      </c>
      <c r="R142" s="273"/>
      <c r="S142" s="273"/>
      <c r="T142" s="273"/>
      <c r="U142" s="273"/>
      <c r="V142" s="273"/>
      <c r="W142" s="273"/>
      <c r="X142" s="273"/>
      <c r="Y142" s="273"/>
      <c r="Z142" s="273"/>
      <c r="AA142" s="273"/>
      <c r="AB142" s="273"/>
      <c r="AC142" s="273"/>
    </row>
    <row r="143" ht="75.0" customHeight="1">
      <c r="A143" s="272" t="s">
        <v>2371</v>
      </c>
      <c r="B143" s="273"/>
      <c r="C143" s="274" t="s">
        <v>2372</v>
      </c>
      <c r="D143" s="274" t="s">
        <v>2372</v>
      </c>
      <c r="E143" s="273"/>
      <c r="F143" s="275"/>
      <c r="G143" s="273" t="s">
        <v>2373</v>
      </c>
      <c r="H143" s="273" t="str">
        <f t="shared" si="1"/>
        <v>Big Mom Pirates / "Sweet 3" General ~ Charlotte Katakuri</v>
      </c>
      <c r="I143" s="275"/>
      <c r="J143" s="274" t="s">
        <v>2374</v>
      </c>
      <c r="K143" s="273"/>
      <c r="L143" s="273"/>
      <c r="M143" s="273"/>
      <c r="N143" s="273" t="str">
        <f>IFERROR(__xludf.DUMMYFUNCTION("""COMPUTED_VALUE"""),"Blackbeard Pirates / Helsman ""Champ"" ~ Jesus Burgess")</f>
        <v>Blackbeard Pirates / Helsman "Champ" ~ Jesus Burgess</v>
      </c>
      <c r="O143" s="273">
        <f>IFERROR(__xludf.DUMMYFUNCTION("""COMPUTED_VALUE"""),201.0)</f>
        <v>201</v>
      </c>
      <c r="P143" s="275" t="str">
        <f t="shared" si="2"/>
        <v/>
      </c>
      <c r="Q143" s="273" t="str">
        <f>IFERROR(__xludf.DUMMYFUNCTION("""COMPUTED_VALUE"""),"086 Big Mom Pirates / ""Sweet 3"" General - Charlotte Katakuri")</f>
        <v>086 Big Mom Pirates / "Sweet 3" General - Charlotte Katakuri</v>
      </c>
      <c r="R143" s="273"/>
      <c r="S143" s="273"/>
      <c r="T143" s="273"/>
      <c r="U143" s="273"/>
      <c r="V143" s="273"/>
      <c r="W143" s="273"/>
      <c r="X143" s="273"/>
      <c r="Y143" s="273"/>
      <c r="Z143" s="273"/>
      <c r="AA143" s="273"/>
      <c r="AB143" s="273"/>
      <c r="AC143" s="273"/>
    </row>
    <row r="144" ht="75.0" customHeight="1">
      <c r="A144" s="272" t="s">
        <v>2375</v>
      </c>
      <c r="B144" s="273"/>
      <c r="C144" s="274" t="s">
        <v>2376</v>
      </c>
      <c r="D144" s="274" t="s">
        <v>2376</v>
      </c>
      <c r="E144" s="273"/>
      <c r="F144" s="275"/>
      <c r="G144" s="273" t="s">
        <v>2377</v>
      </c>
      <c r="H144" s="273" t="str">
        <f t="shared" si="1"/>
        <v>Kozuki Clan / Servant ~ Kawamatsu</v>
      </c>
      <c r="I144" s="275"/>
      <c r="J144" s="274" t="s">
        <v>2378</v>
      </c>
      <c r="K144" s="273"/>
      <c r="L144" s="273"/>
      <c r="M144" s="273"/>
      <c r="N144" s="273" t="str">
        <f>IFERROR(__xludf.DUMMYFUNCTION("""COMPUTED_VALUE"""),"Stealth Black ~ Soba Mask")</f>
        <v>Stealth Black ~ Soba Mask</v>
      </c>
      <c r="O144" s="273">
        <f>IFERROR(__xludf.DUMMYFUNCTION("""COMPUTED_VALUE"""),200.0)</f>
        <v>200</v>
      </c>
      <c r="P144" s="275" t="str">
        <f t="shared" si="2"/>
        <v/>
      </c>
      <c r="Q144" s="273" t="str">
        <f>IFERROR(__xludf.DUMMYFUNCTION("""COMPUTED_VALUE"""),"152 Kozuki Clan / Servant - Kawamatsu")</f>
        <v>152 Kozuki Clan / Servant - Kawamatsu</v>
      </c>
      <c r="R144" s="273"/>
      <c r="S144" s="273"/>
      <c r="T144" s="273"/>
      <c r="U144" s="273"/>
      <c r="V144" s="273"/>
      <c r="W144" s="273"/>
      <c r="X144" s="273"/>
      <c r="Y144" s="273"/>
      <c r="Z144" s="273"/>
      <c r="AA144" s="273"/>
      <c r="AB144" s="273"/>
      <c r="AC144" s="273"/>
    </row>
    <row r="145" ht="75.0" customHeight="1">
      <c r="A145" s="272" t="s">
        <v>2379</v>
      </c>
      <c r="B145" s="273"/>
      <c r="C145" s="274" t="s">
        <v>2380</v>
      </c>
      <c r="D145" s="274" t="s">
        <v>2380</v>
      </c>
      <c r="E145" s="273"/>
      <c r="F145" s="275"/>
      <c r="G145" s="273" t="s">
        <v>2381</v>
      </c>
      <c r="H145" s="273" t="str">
        <f t="shared" si="1"/>
        <v>Girl from Syrub Village ~ Kaya</v>
      </c>
      <c r="I145" s="275"/>
      <c r="J145" s="274" t="s">
        <v>2382</v>
      </c>
      <c r="K145" s="273"/>
      <c r="L145" s="273"/>
      <c r="M145" s="273"/>
      <c r="N145" s="273" t="str">
        <f>IFERROR(__xludf.DUMMYFUNCTION("""COMPUTED_VALUE"""),"Germa 66 / Generalissimo ~ Vinsmoke Judge")</f>
        <v>Germa 66 / Generalissimo ~ Vinsmoke Judge</v>
      </c>
      <c r="O145" s="273">
        <f>IFERROR(__xludf.DUMMYFUNCTION("""COMPUTED_VALUE"""),199.0)</f>
        <v>199</v>
      </c>
      <c r="P145" s="275" t="str">
        <f t="shared" si="2"/>
        <v/>
      </c>
      <c r="Q145" s="273" t="str">
        <f>IFERROR(__xludf.DUMMYFUNCTION("""COMPUTED_VALUE"""),"037 Girl from Syrub Village - Kaya")</f>
        <v>037 Girl from Syrub Village - Kaya</v>
      </c>
      <c r="R145" s="273"/>
      <c r="S145" s="273"/>
      <c r="T145" s="273"/>
      <c r="U145" s="273"/>
      <c r="V145" s="273"/>
      <c r="W145" s="273"/>
      <c r="X145" s="273"/>
      <c r="Y145" s="273"/>
      <c r="Z145" s="273"/>
      <c r="AA145" s="273"/>
      <c r="AB145" s="273"/>
      <c r="AC145" s="273"/>
    </row>
    <row r="146" ht="75.0" customHeight="1">
      <c r="A146" s="272" t="s">
        <v>2383</v>
      </c>
      <c r="B146" s="273"/>
      <c r="C146" s="274" t="s">
        <v>2384</v>
      </c>
      <c r="D146" s="274" t="s">
        <v>2384</v>
      </c>
      <c r="E146" s="273"/>
      <c r="F146" s="275"/>
      <c r="G146" s="273" t="s">
        <v>2385</v>
      </c>
      <c r="H146" s="273" t="str">
        <f t="shared" si="1"/>
        <v>New World ~ Eustass Kid</v>
      </c>
      <c r="I146" s="275"/>
      <c r="J146" s="274" t="s">
        <v>2386</v>
      </c>
      <c r="K146" s="273"/>
      <c r="L146" s="273"/>
      <c r="M146" s="273"/>
      <c r="N146" s="273" t="str">
        <f>IFERROR(__xludf.DUMMYFUNCTION("""COMPUTED_VALUE"""),"Man Who Dreams of Becoming the King of the Pirates ~ Monkey D. Luffy")</f>
        <v>Man Who Dreams of Becoming the King of the Pirates ~ Monkey D. Luffy</v>
      </c>
      <c r="O146" s="273">
        <f>IFERROR(__xludf.DUMMYFUNCTION("""COMPUTED_VALUE"""),198.0)</f>
        <v>198</v>
      </c>
      <c r="P146" s="275" t="str">
        <f t="shared" si="2"/>
        <v/>
      </c>
      <c r="Q146" s="273" t="str">
        <f>IFERROR(__xludf.DUMMYFUNCTION("""COMPUTED_VALUE"""),"125 New World - Eustass Kid")</f>
        <v>125 New World - Eustass Kid</v>
      </c>
      <c r="R146" s="273"/>
      <c r="S146" s="273"/>
      <c r="T146" s="273"/>
      <c r="U146" s="273"/>
      <c r="V146" s="273"/>
      <c r="W146" s="273"/>
      <c r="X146" s="273"/>
      <c r="Y146" s="273"/>
      <c r="Z146" s="273"/>
      <c r="AA146" s="273"/>
      <c r="AB146" s="273"/>
      <c r="AC146" s="273"/>
    </row>
    <row r="147" ht="75.0" customHeight="1">
      <c r="A147" s="272" t="s">
        <v>2387</v>
      </c>
      <c r="B147" s="273"/>
      <c r="C147" s="274" t="s">
        <v>2388</v>
      </c>
      <c r="D147" s="274" t="s">
        <v>2388</v>
      </c>
      <c r="E147" s="273"/>
      <c r="F147" s="275"/>
      <c r="G147" s="273" t="s">
        <v>2389</v>
      </c>
      <c r="H147" s="273" t="str">
        <f t="shared" si="1"/>
        <v>Raid on Onigashima ~ Eustass Kid</v>
      </c>
      <c r="I147" s="275"/>
      <c r="J147" s="274" t="s">
        <v>2390</v>
      </c>
      <c r="K147" s="273"/>
      <c r="L147" s="273"/>
      <c r="M147" s="273"/>
      <c r="N147" s="273" t="str">
        <f>IFERROR(__xludf.DUMMYFUNCTION("""COMPUTED_VALUE"""),"The Strongest Creature Alive ~ Kaido")</f>
        <v>The Strongest Creature Alive ~ Kaido</v>
      </c>
      <c r="O147" s="273">
        <f>IFERROR(__xludf.DUMMYFUNCTION("""COMPUTED_VALUE"""),197.0)</f>
        <v>197</v>
      </c>
      <c r="P147" s="275" t="str">
        <f t="shared" si="2"/>
        <v/>
      </c>
      <c r="Q147" s="273" t="str">
        <f>IFERROR(__xludf.DUMMYFUNCTION("""COMPUTED_VALUE"""),"170 Raid on Onigashima - Eustass Kid")</f>
        <v>170 Raid on Onigashima - Eustass Kid</v>
      </c>
      <c r="R147" s="273"/>
      <c r="S147" s="273"/>
      <c r="T147" s="273"/>
      <c r="U147" s="273"/>
      <c r="V147" s="273"/>
      <c r="W147" s="273"/>
      <c r="X147" s="273"/>
      <c r="Y147" s="273"/>
      <c r="Z147" s="273"/>
      <c r="AA147" s="273"/>
      <c r="AB147" s="273"/>
      <c r="AC147" s="273"/>
    </row>
    <row r="148" ht="75.0" customHeight="1">
      <c r="A148" s="272" t="s">
        <v>2391</v>
      </c>
      <c r="B148" s="273"/>
      <c r="C148" s="274" t="s">
        <v>2392</v>
      </c>
      <c r="D148" s="274" t="s">
        <v>2392</v>
      </c>
      <c r="E148" s="273"/>
      <c r="F148" s="275"/>
      <c r="G148" s="273" t="s">
        <v>2393</v>
      </c>
      <c r="H148" s="273" t="str">
        <f t="shared" si="1"/>
        <v>Kid Pirates / Captain ~ Eustass Kid</v>
      </c>
      <c r="I148" s="275"/>
      <c r="J148" s="274" t="s">
        <v>2394</v>
      </c>
      <c r="K148" s="273"/>
      <c r="L148" s="273"/>
      <c r="M148" s="273"/>
      <c r="N148" s="273" t="str">
        <f>IFERROR(__xludf.DUMMYFUNCTION("""COMPUTED_VALUE"""),"Animal Kingdom Pirates / Lead Performer ~ Queen")</f>
        <v>Animal Kingdom Pirates / Lead Performer ~ Queen</v>
      </c>
      <c r="O148" s="273">
        <f>IFERROR(__xludf.DUMMYFUNCTION("""COMPUTED_VALUE"""),196.0)</f>
        <v>196</v>
      </c>
      <c r="P148" s="275" t="str">
        <f t="shared" si="2"/>
        <v/>
      </c>
      <c r="Q148" s="273" t="str">
        <f>IFERROR(__xludf.DUMMYFUNCTION("""COMPUTED_VALUE"""),"058 Kid Pirates / Captain - Eustass Kid")</f>
        <v>058 Kid Pirates / Captain - Eustass Kid</v>
      </c>
      <c r="R148" s="273"/>
      <c r="S148" s="273"/>
      <c r="T148" s="273"/>
      <c r="U148" s="273"/>
      <c r="V148" s="273"/>
      <c r="W148" s="273"/>
      <c r="X148" s="273"/>
      <c r="Y148" s="273"/>
      <c r="Z148" s="273"/>
      <c r="AA148" s="273"/>
      <c r="AB148" s="273"/>
      <c r="AC148" s="273"/>
    </row>
    <row r="149" ht="75.0" customHeight="1">
      <c r="A149" s="272" t="s">
        <v>2395</v>
      </c>
      <c r="B149" s="273"/>
      <c r="C149" s="274" t="s">
        <v>2396</v>
      </c>
      <c r="D149" s="274" t="s">
        <v>2396</v>
      </c>
      <c r="E149" s="273"/>
      <c r="F149" s="275"/>
      <c r="G149" s="273" t="s">
        <v>2397</v>
      </c>
      <c r="H149" s="273" t="str">
        <f t="shared" si="1"/>
        <v>Battle of Monsters on Onigashima ~ Kid &amp; Law</v>
      </c>
      <c r="I149" s="275"/>
      <c r="J149" s="274" t="s">
        <v>2398</v>
      </c>
      <c r="K149" s="273"/>
      <c r="L149" s="273"/>
      <c r="M149" s="273"/>
      <c r="N149" s="273" t="str">
        <f>IFERROR(__xludf.DUMMYFUNCTION("""COMPUTED_VALUE"""),"Animal Kingdom Pirates / Lead Performer ~ Jack")</f>
        <v>Animal Kingdom Pirates / Lead Performer ~ Jack</v>
      </c>
      <c r="O149" s="273">
        <f>IFERROR(__xludf.DUMMYFUNCTION("""COMPUTED_VALUE"""),195.0)</f>
        <v>195</v>
      </c>
      <c r="P149" s="275" t="str">
        <f t="shared" si="2"/>
        <v/>
      </c>
      <c r="Q149" s="273" t="str">
        <f>IFERROR(__xludf.DUMMYFUNCTION("""COMPUTED_VALUE"""),"257 Battle of Monsters on Onigashima - Kid &amp; Law 2 1")</f>
        <v>257 Battle of Monsters on Onigashima - Kid &amp; Law 2 1</v>
      </c>
      <c r="R149" s="273"/>
      <c r="S149" s="273"/>
      <c r="T149" s="273"/>
      <c r="U149" s="273"/>
      <c r="V149" s="273"/>
      <c r="W149" s="273"/>
      <c r="X149" s="273"/>
      <c r="Y149" s="273"/>
      <c r="Z149" s="273"/>
      <c r="AA149" s="273"/>
      <c r="AB149" s="273"/>
      <c r="AC149" s="273"/>
    </row>
    <row r="150" ht="75.0" customHeight="1">
      <c r="A150" s="272" t="s">
        <v>2399</v>
      </c>
      <c r="B150" s="273"/>
      <c r="C150" s="274" t="s">
        <v>2396</v>
      </c>
      <c r="D150" s="274" t="s">
        <v>2396</v>
      </c>
      <c r="E150" s="273"/>
      <c r="F150" s="275"/>
      <c r="G150" s="273" t="s">
        <v>2397</v>
      </c>
      <c r="H150" s="273" t="str">
        <f t="shared" si="1"/>
        <v>Battle of Monsters on Onigashima ~ Kid &amp; Law</v>
      </c>
      <c r="I150" s="275"/>
      <c r="J150" s="274" t="s">
        <v>2400</v>
      </c>
      <c r="K150" s="273"/>
      <c r="L150" s="273"/>
      <c r="M150" s="273"/>
      <c r="N150" s="273" t="str">
        <f>IFERROR(__xludf.DUMMYFUNCTION("""COMPUTED_VALUE"""),"Kaido`s Son ~ Yamato")</f>
        <v>Kaido`s Son ~ Yamato</v>
      </c>
      <c r="O150" s="273">
        <f>IFERROR(__xludf.DUMMYFUNCTION("""COMPUTED_VALUE"""),194.0)</f>
        <v>194</v>
      </c>
      <c r="P150" s="275" t="str">
        <f t="shared" si="2"/>
        <v/>
      </c>
      <c r="Q150" s="273" t="str">
        <f>IFERROR(__xludf.DUMMYFUNCTION("""COMPUTED_VALUE"""),"257 Battle of Monsters on Onigashima - Kid &amp; Law 2 2")</f>
        <v>257 Battle of Monsters on Onigashima - Kid &amp; Law 2 2</v>
      </c>
      <c r="R150" s="273"/>
      <c r="S150" s="273"/>
      <c r="T150" s="273"/>
      <c r="U150" s="273"/>
      <c r="V150" s="273"/>
      <c r="W150" s="273"/>
      <c r="X150" s="273"/>
      <c r="Y150" s="273"/>
      <c r="Z150" s="273"/>
      <c r="AA150" s="273"/>
      <c r="AB150" s="273"/>
      <c r="AC150" s="273"/>
    </row>
    <row r="151" ht="75.0" customHeight="1">
      <c r="A151" s="272" t="s">
        <v>2401</v>
      </c>
      <c r="B151" s="273"/>
      <c r="C151" s="274" t="s">
        <v>2396</v>
      </c>
      <c r="D151" s="274" t="s">
        <v>2396</v>
      </c>
      <c r="E151" s="273"/>
      <c r="F151" s="275"/>
      <c r="G151" s="273" t="s">
        <v>2397</v>
      </c>
      <c r="H151" s="273" t="str">
        <f t="shared" si="1"/>
        <v>Battle of Monsters on Onigashima ~ Kid &amp; Law</v>
      </c>
      <c r="I151" s="275"/>
      <c r="J151" s="274" t="s">
        <v>2402</v>
      </c>
      <c r="K151" s="273"/>
      <c r="L151" s="273"/>
      <c r="M151" s="273"/>
      <c r="N151" s="273" t="str">
        <f>IFERROR(__xludf.DUMMYFUNCTION("""COMPUTED_VALUE"""),"Former Whitebeard Pirates / 16th Division Commander ~ Izo")</f>
        <v>Former Whitebeard Pirates / 16th Division Commander ~ Izo</v>
      </c>
      <c r="O151" s="273">
        <f>IFERROR(__xludf.DUMMYFUNCTION("""COMPUTED_VALUE"""),193.0)</f>
        <v>193</v>
      </c>
      <c r="P151" s="275" t="str">
        <f t="shared" si="2"/>
        <v/>
      </c>
      <c r="Q151" s="273" t="str">
        <f>IFERROR(__xludf.DUMMYFUNCTION("""COMPUTED_VALUE"""),"257 Battle of Monsters on Onigashima - Kid &amp; Law 1")</f>
        <v>257 Battle of Monsters on Onigashima - Kid &amp; Law 1</v>
      </c>
      <c r="R151" s="273"/>
      <c r="S151" s="273"/>
      <c r="T151" s="273"/>
      <c r="U151" s="273"/>
      <c r="V151" s="273"/>
      <c r="W151" s="273"/>
      <c r="X151" s="273"/>
      <c r="Y151" s="273"/>
      <c r="Z151" s="273"/>
      <c r="AA151" s="273"/>
      <c r="AB151" s="273"/>
      <c r="AC151" s="273"/>
    </row>
    <row r="152" ht="75.0" customHeight="1">
      <c r="A152" s="272" t="s">
        <v>2403</v>
      </c>
      <c r="B152" s="273"/>
      <c r="C152" s="274" t="s">
        <v>2404</v>
      </c>
      <c r="D152" s="274" t="s">
        <v>2404</v>
      </c>
      <c r="E152" s="273"/>
      <c r="F152" s="275"/>
      <c r="G152" s="273" t="s">
        <v>2405</v>
      </c>
      <c r="H152" s="273" t="str">
        <f t="shared" si="1"/>
        <v>Most Handsome Swordman in the Land of Wano ~ Kikunojo</v>
      </c>
      <c r="I152" s="275"/>
      <c r="J152" s="274" t="s">
        <v>2406</v>
      </c>
      <c r="K152" s="273"/>
      <c r="L152" s="273"/>
      <c r="M152" s="273"/>
      <c r="N152" s="273" t="str">
        <f>IFERROR(__xludf.DUMMYFUNCTION("""COMPUTED_VALUE"""),"Kurozumi Spy ~ Kurozumi Kanjuro")</f>
        <v>Kurozumi Spy ~ Kurozumi Kanjuro</v>
      </c>
      <c r="O152" s="273">
        <f>IFERROR(__xludf.DUMMYFUNCTION("""COMPUTED_VALUE"""),192.0)</f>
        <v>192</v>
      </c>
      <c r="P152" s="275" t="str">
        <f t="shared" si="2"/>
        <v/>
      </c>
      <c r="Q152" s="273" t="str">
        <f>IFERROR(__xludf.DUMMYFUNCTION("""COMPUTED_VALUE"""),"151 Most Handsome Swordman in the Land of Wano - Kikunojo")</f>
        <v>151 Most Handsome Swordman in the Land of Wano - Kikunojo</v>
      </c>
      <c r="R152" s="273"/>
      <c r="S152" s="273"/>
      <c r="T152" s="273"/>
      <c r="U152" s="273"/>
      <c r="V152" s="273"/>
      <c r="W152" s="273"/>
      <c r="X152" s="273"/>
      <c r="Y152" s="273"/>
      <c r="Z152" s="273"/>
      <c r="AA152" s="273"/>
      <c r="AB152" s="273"/>
      <c r="AC152" s="273"/>
    </row>
    <row r="153" ht="75.0" customHeight="1">
      <c r="A153" s="272" t="s">
        <v>2407</v>
      </c>
      <c r="B153" s="273"/>
      <c r="C153" s="274" t="s">
        <v>2408</v>
      </c>
      <c r="D153" s="274" t="s">
        <v>2408</v>
      </c>
      <c r="E153" s="273"/>
      <c r="F153" s="275"/>
      <c r="G153" s="273" t="s">
        <v>2409</v>
      </c>
      <c r="H153" s="273" t="str">
        <f t="shared" si="1"/>
        <v>Kid Pirates / Fighter ~ Killer</v>
      </c>
      <c r="I153" s="275"/>
      <c r="J153" s="274" t="s">
        <v>2410</v>
      </c>
      <c r="K153" s="273"/>
      <c r="L153" s="273"/>
      <c r="M153" s="273"/>
      <c r="N153" s="273" t="str">
        <f>IFERROR(__xludf.DUMMYFUNCTION("""COMPUTED_VALUE"""),"Roger Pirates / First Mate ~ Silvers Rayleigh")</f>
        <v>Roger Pirates / First Mate ~ Silvers Rayleigh</v>
      </c>
      <c r="O153" s="273">
        <f>IFERROR(__xludf.DUMMYFUNCTION("""COMPUTED_VALUE"""),191.0)</f>
        <v>191</v>
      </c>
      <c r="P153" s="275" t="str">
        <f t="shared" si="2"/>
        <v/>
      </c>
      <c r="Q153" s="273" t="str">
        <f>IFERROR(__xludf.DUMMYFUNCTION("""COMPUTED_VALUE"""),"124 Kid Pirates / Fighter - Killer")</f>
        <v>124 Kid Pirates / Fighter - Killer</v>
      </c>
      <c r="R153" s="273"/>
      <c r="S153" s="273"/>
      <c r="T153" s="273"/>
      <c r="U153" s="273"/>
      <c r="V153" s="273"/>
      <c r="W153" s="273"/>
      <c r="X153" s="273"/>
      <c r="Y153" s="273"/>
      <c r="Z153" s="273"/>
      <c r="AA153" s="273"/>
      <c r="AB153" s="273"/>
      <c r="AC153" s="273"/>
    </row>
    <row r="154" ht="75.0" customHeight="1">
      <c r="A154" s="272" t="s">
        <v>2411</v>
      </c>
      <c r="B154" s="273"/>
      <c r="C154" s="274" t="s">
        <v>2412</v>
      </c>
      <c r="D154" s="274" t="s">
        <v>2412</v>
      </c>
      <c r="E154" s="273"/>
      <c r="F154" s="275"/>
      <c r="G154" s="273" t="s">
        <v>2413</v>
      </c>
      <c r="H154" s="273" t="str">
        <f t="shared" si="1"/>
        <v>Raid on Onigashima ~ Killer</v>
      </c>
      <c r="I154" s="275"/>
      <c r="J154" s="274" t="s">
        <v>2414</v>
      </c>
      <c r="K154" s="273"/>
      <c r="L154" s="273"/>
      <c r="M154" s="273"/>
      <c r="N154" s="273" t="str">
        <f>IFERROR(__xludf.DUMMYFUNCTION("""COMPUTED_VALUE"""),"Whole Cake Island ~ Jinbe")</f>
        <v>Whole Cake Island ~ Jinbe</v>
      </c>
      <c r="O154" s="273">
        <f>IFERROR(__xludf.DUMMYFUNCTION("""COMPUTED_VALUE"""),190.0)</f>
        <v>190</v>
      </c>
      <c r="P154" s="275" t="str">
        <f t="shared" si="2"/>
        <v/>
      </c>
      <c r="Q154" s="273" t="str">
        <f>IFERROR(__xludf.DUMMYFUNCTION("""COMPUTED_VALUE"""),"258 Raid on Onigashima - Killer")</f>
        <v>258 Raid on Onigashima - Killer</v>
      </c>
      <c r="R154" s="273"/>
      <c r="S154" s="273"/>
      <c r="T154" s="273"/>
      <c r="U154" s="273"/>
      <c r="V154" s="273"/>
      <c r="W154" s="273"/>
      <c r="X154" s="273"/>
      <c r="Y154" s="273"/>
      <c r="Z154" s="273"/>
      <c r="AA154" s="273"/>
      <c r="AB154" s="273"/>
      <c r="AC154" s="273"/>
    </row>
    <row r="155" ht="75.0" customHeight="1">
      <c r="A155" s="272" t="s">
        <v>2415</v>
      </c>
      <c r="B155" s="273"/>
      <c r="C155" s="274" t="s">
        <v>2416</v>
      </c>
      <c r="D155" s="274" t="s">
        <v>2416</v>
      </c>
      <c r="E155" s="273"/>
      <c r="F155" s="275"/>
      <c r="G155" s="273" t="s">
        <v>2417</v>
      </c>
      <c r="H155" s="273" t="str">
        <f t="shared" si="1"/>
        <v>Kozuki Clan / Servant ~ Kin'emon</v>
      </c>
      <c r="I155" s="275"/>
      <c r="J155" s="274" t="s">
        <v>2418</v>
      </c>
      <c r="K155" s="273"/>
      <c r="L155" s="273"/>
      <c r="M155" s="273"/>
      <c r="N155" s="273" t="str">
        <f>IFERROR(__xludf.DUMMYFUNCTION("""COMPUTED_VALUE"""),"Big Mom Pirates / Crewmate ~ Charlotte Pudding")</f>
        <v>Big Mom Pirates / Crewmate ~ Charlotte Pudding</v>
      </c>
      <c r="O155" s="273">
        <f>IFERROR(__xludf.DUMMYFUNCTION("""COMPUTED_VALUE"""),189.0)</f>
        <v>189</v>
      </c>
      <c r="P155" s="275" t="str">
        <f t="shared" si="2"/>
        <v/>
      </c>
      <c r="Q155" s="273" t="str">
        <f>IFERROR(__xludf.DUMMYFUNCTION("""COMPUTED_VALUE"""),"145 Kozuki Clan / Servant - Kin'emon")</f>
        <v>145 Kozuki Clan / Servant - Kin'emon</v>
      </c>
      <c r="R155" s="273"/>
      <c r="S155" s="273"/>
      <c r="T155" s="273"/>
      <c r="U155" s="273"/>
      <c r="V155" s="273"/>
      <c r="W155" s="273"/>
      <c r="X155" s="273"/>
      <c r="Y155" s="273"/>
      <c r="Z155" s="273"/>
      <c r="AA155" s="273"/>
      <c r="AB155" s="273"/>
      <c r="AC155" s="273"/>
    </row>
    <row r="156" ht="75.0" customHeight="1">
      <c r="A156" s="272" t="s">
        <v>2419</v>
      </c>
      <c r="B156" s="273"/>
      <c r="C156" s="274" t="s">
        <v>2420</v>
      </c>
      <c r="D156" s="274" t="s">
        <v>2420</v>
      </c>
      <c r="E156" s="273"/>
      <c r="F156" s="275"/>
      <c r="G156" s="273" t="s">
        <v>2421</v>
      </c>
      <c r="H156" s="273" t="str">
        <f t="shared" si="1"/>
        <v>Lunarian ~ Alber</v>
      </c>
      <c r="I156" s="275"/>
      <c r="J156" s="274" t="s">
        <v>2422</v>
      </c>
      <c r="K156" s="273"/>
      <c r="L156" s="273"/>
      <c r="M156" s="273"/>
      <c r="N156" s="273" t="str">
        <f>IFERROR(__xludf.DUMMYFUNCTION("""COMPUTED_VALUE"""),"Whole Cake Island ~ Brook")</f>
        <v>Whole Cake Island ~ Brook</v>
      </c>
      <c r="O156" s="273">
        <f>IFERROR(__xludf.DUMMYFUNCTION("""COMPUTED_VALUE"""),188.0)</f>
        <v>188</v>
      </c>
      <c r="P156" s="275" t="str">
        <f t="shared" si="2"/>
        <v/>
      </c>
      <c r="Q156" s="273" t="str">
        <f>IFERROR(__xludf.DUMMYFUNCTION("""COMPUTED_VALUE"""),"263 Lunarian - Alber")</f>
        <v>263 Lunarian - Alber</v>
      </c>
      <c r="R156" s="273"/>
      <c r="S156" s="273"/>
      <c r="T156" s="273"/>
      <c r="U156" s="273"/>
      <c r="V156" s="273"/>
      <c r="W156" s="273"/>
      <c r="X156" s="273"/>
      <c r="Y156" s="273"/>
      <c r="Z156" s="273"/>
      <c r="AA156" s="273"/>
      <c r="AB156" s="273"/>
      <c r="AC156" s="273"/>
    </row>
    <row r="157" ht="75.0" customHeight="1">
      <c r="A157" s="272" t="s">
        <v>2423</v>
      </c>
      <c r="B157" s="273"/>
      <c r="C157" s="274" t="s">
        <v>2424</v>
      </c>
      <c r="D157" s="274" t="s">
        <v>2424</v>
      </c>
      <c r="E157" s="273"/>
      <c r="F157" s="275"/>
      <c r="G157" s="273" t="s">
        <v>2425</v>
      </c>
      <c r="H157" s="273" t="str">
        <f t="shared" si="1"/>
        <v>Animal Kingdom Pirates / Lead Performer ~ King</v>
      </c>
      <c r="I157" s="275"/>
      <c r="J157" s="274" t="s">
        <v>2426</v>
      </c>
      <c r="K157" s="273"/>
      <c r="L157" s="273"/>
      <c r="M157" s="273"/>
      <c r="N157" s="273" t="str">
        <f>IFERROR(__xludf.DUMMYFUNCTION("""COMPUTED_VALUE"""),"Whole Cake Island ~ Nami")</f>
        <v>Whole Cake Island ~ Nami</v>
      </c>
      <c r="O157" s="273">
        <f>IFERROR(__xludf.DUMMYFUNCTION("""COMPUTED_VALUE"""),187.0)</f>
        <v>187</v>
      </c>
      <c r="P157" s="275" t="str">
        <f t="shared" si="2"/>
        <v/>
      </c>
      <c r="Q157" s="273" t="str">
        <f>IFERROR(__xludf.DUMMYFUNCTION("""COMPUTED_VALUE"""),"231 Animal Kingdom Pirates / Lead Performer - King")</f>
        <v>231 Animal Kingdom Pirates / Lead Performer - King</v>
      </c>
      <c r="R157" s="273"/>
      <c r="S157" s="273"/>
      <c r="T157" s="273"/>
      <c r="U157" s="273"/>
      <c r="V157" s="273"/>
      <c r="W157" s="273"/>
      <c r="X157" s="273"/>
      <c r="Y157" s="273"/>
      <c r="Z157" s="273"/>
      <c r="AA157" s="273"/>
      <c r="AB157" s="273"/>
      <c r="AC157" s="273"/>
    </row>
    <row r="158" ht="75.0" customHeight="1">
      <c r="A158" s="272" t="s">
        <v>2427</v>
      </c>
      <c r="B158" s="273"/>
      <c r="C158" s="274" t="s">
        <v>2428</v>
      </c>
      <c r="D158" s="274" t="s">
        <v>2428</v>
      </c>
      <c r="E158" s="273"/>
      <c r="F158" s="275"/>
      <c r="G158" s="273" t="s">
        <v>2429</v>
      </c>
      <c r="H158" s="273" t="str">
        <f t="shared" si="1"/>
        <v>Navy HQ / Admiral Kizaru ~ [Borsalino]</v>
      </c>
      <c r="I158" s="275"/>
      <c r="J158" s="274" t="s">
        <v>2430</v>
      </c>
      <c r="K158" s="273"/>
      <c r="L158" s="273"/>
      <c r="M158" s="273"/>
      <c r="N158" s="273" t="str">
        <f>IFERROR(__xludf.DUMMYFUNCTION("""COMPUTED_VALUE"""),"Don Quixote Pirates / Officer ~ Monet")</f>
        <v>Don Quixote Pirates / Officer ~ Monet</v>
      </c>
      <c r="O158" s="273">
        <f>IFERROR(__xludf.DUMMYFUNCTION("""COMPUTED_VALUE"""),186.0)</f>
        <v>186</v>
      </c>
      <c r="P158" s="275" t="str">
        <f t="shared" si="2"/>
        <v/>
      </c>
      <c r="Q158" s="273" t="str">
        <f>IFERROR(__xludf.DUMMYFUNCTION("""COMPUTED_VALUE"""),"068 Navy HQ / Admiral Kizaru - [Borsalino]")</f>
        <v>068 Navy HQ / Admiral Kizaru - [Borsalino]</v>
      </c>
      <c r="R158" s="273"/>
      <c r="S158" s="273"/>
      <c r="T158" s="273"/>
      <c r="U158" s="273"/>
      <c r="V158" s="273"/>
      <c r="W158" s="273"/>
      <c r="X158" s="273"/>
      <c r="Y158" s="273"/>
      <c r="Z158" s="273"/>
      <c r="AA158" s="273"/>
      <c r="AB158" s="273"/>
      <c r="AC158" s="273"/>
    </row>
    <row r="159" ht="75.0" customHeight="1">
      <c r="A159" s="272" t="s">
        <v>2431</v>
      </c>
      <c r="B159" s="273"/>
      <c r="C159" s="274" t="s">
        <v>2432</v>
      </c>
      <c r="D159" s="274" t="s">
        <v>2432</v>
      </c>
      <c r="E159" s="273"/>
      <c r="F159" s="275"/>
      <c r="G159" s="273" t="s">
        <v>2433</v>
      </c>
      <c r="H159" s="273" t="str">
        <f t="shared" si="1"/>
        <v>Ama no Murakumo Sword Kizaru ~ [Borsalino]</v>
      </c>
      <c r="I159" s="275"/>
      <c r="J159" s="274" t="s">
        <v>2434</v>
      </c>
      <c r="K159" s="273"/>
      <c r="L159" s="273"/>
      <c r="M159" s="273"/>
      <c r="N159" s="273" t="str">
        <f>IFERROR(__xludf.DUMMYFUNCTION("""COMPUTED_VALUE"""),"Don Quixote Pirates / Supreme Officer ~ Vergo")</f>
        <v>Don Quixote Pirates / Supreme Officer ~ Vergo</v>
      </c>
      <c r="O159" s="273">
        <f>IFERROR(__xludf.DUMMYFUNCTION("""COMPUTED_VALUE"""),185.0)</f>
        <v>185</v>
      </c>
      <c r="P159" s="275" t="str">
        <f t="shared" si="2"/>
        <v/>
      </c>
      <c r="Q159" s="273" t="str">
        <f>IFERROR(__xludf.DUMMYFUNCTION("""COMPUTED_VALUE"""),"324 Ama no Murakumo Sword Kizaru - [Borsalino]")</f>
        <v>324 Ama no Murakumo Sword Kizaru - [Borsalino]</v>
      </c>
      <c r="R159" s="273"/>
      <c r="S159" s="273"/>
      <c r="T159" s="273"/>
      <c r="U159" s="273"/>
      <c r="V159" s="273"/>
      <c r="W159" s="273"/>
      <c r="X159" s="273"/>
      <c r="Y159" s="273"/>
      <c r="Z159" s="273"/>
      <c r="AA159" s="273"/>
      <c r="AB159" s="273"/>
      <c r="AC159" s="273"/>
    </row>
    <row r="160" ht="75.0" customHeight="1">
      <c r="A160" s="272" t="s">
        <v>2435</v>
      </c>
      <c r="B160" s="273"/>
      <c r="C160" s="274" t="s">
        <v>2436</v>
      </c>
      <c r="D160" s="274" t="s">
        <v>2436</v>
      </c>
      <c r="E160" s="273"/>
      <c r="F160" s="275"/>
      <c r="G160" s="273" t="s">
        <v>2437</v>
      </c>
      <c r="H160" s="273" t="str">
        <f t="shared" si="1"/>
        <v>Assistant Fish-Man Karate Master ~ Koala</v>
      </c>
      <c r="I160" s="275"/>
      <c r="J160" s="274" t="s">
        <v>2438</v>
      </c>
      <c r="K160" s="273"/>
      <c r="L160" s="273"/>
      <c r="M160" s="273"/>
      <c r="N160" s="273" t="str">
        <f>IFERROR(__xludf.DUMMYFUNCTION("""COMPUTED_VALUE"""),"Don Quixote Pirates / Special Officer ~ Sugar")</f>
        <v>Don Quixote Pirates / Special Officer ~ Sugar</v>
      </c>
      <c r="O160" s="273">
        <f>IFERROR(__xludf.DUMMYFUNCTION("""COMPUTED_VALUE"""),184.0)</f>
        <v>184</v>
      </c>
      <c r="P160" s="275" t="str">
        <f t="shared" si="2"/>
        <v/>
      </c>
      <c r="Q160" s="273" t="str">
        <f>IFERROR(__xludf.DUMMYFUNCTION("""COMPUTED_VALUE"""),"311 Assistant Fish-Man Karate Master - Koala")</f>
        <v>311 Assistant Fish-Man Karate Master - Koala</v>
      </c>
      <c r="R160" s="273"/>
      <c r="S160" s="273"/>
      <c r="T160" s="273"/>
      <c r="U160" s="273"/>
      <c r="V160" s="273"/>
      <c r="W160" s="273"/>
      <c r="X160" s="273"/>
      <c r="Y160" s="273"/>
      <c r="Z160" s="273"/>
      <c r="AA160" s="273"/>
      <c r="AB160" s="273"/>
      <c r="AC160" s="273"/>
    </row>
    <row r="161" ht="75.0" customHeight="1">
      <c r="A161" s="272" t="s">
        <v>2439</v>
      </c>
      <c r="B161" s="273"/>
      <c r="C161" s="274" t="s">
        <v>2436</v>
      </c>
      <c r="D161" s="274" t="s">
        <v>2436</v>
      </c>
      <c r="E161" s="273"/>
      <c r="F161" s="275"/>
      <c r="G161" s="273" t="s">
        <v>2437</v>
      </c>
      <c r="H161" s="273" t="str">
        <f t="shared" si="1"/>
        <v>Assistant Fish-Man Karate Master ~ Koala</v>
      </c>
      <c r="I161" s="275"/>
      <c r="J161" s="274" t="s">
        <v>2440</v>
      </c>
      <c r="K161" s="273"/>
      <c r="L161" s="273"/>
      <c r="M161" s="273"/>
      <c r="N161" s="273" t="str">
        <f>IFERROR(__xludf.DUMMYFUNCTION("""COMPUTED_VALUE"""),"Don Quixote Pirates / Captain ~ Don Quixote Doflamingo")</f>
        <v>Don Quixote Pirates / Captain ~ Don Quixote Doflamingo</v>
      </c>
      <c r="O161" s="273">
        <f>IFERROR(__xludf.DUMMYFUNCTION("""COMPUTED_VALUE"""),183.0)</f>
        <v>183</v>
      </c>
      <c r="P161" s="275" t="str">
        <f t="shared" si="2"/>
        <v/>
      </c>
      <c r="Q161" s="273" t="str">
        <f>IFERROR(__xludf.DUMMYFUNCTION("""COMPUTED_VALUE"""),"311 Assistant Fish-Man Karate Master - Koala 2")</f>
        <v>311 Assistant Fish-Man Karate Master - Koala 2</v>
      </c>
      <c r="R161" s="273"/>
      <c r="S161" s="273"/>
      <c r="T161" s="273"/>
      <c r="U161" s="273"/>
      <c r="V161" s="273"/>
      <c r="W161" s="273"/>
      <c r="X161" s="273"/>
      <c r="Y161" s="273"/>
      <c r="Z161" s="273"/>
      <c r="AA161" s="273"/>
      <c r="AB161" s="273"/>
      <c r="AC161" s="273"/>
    </row>
    <row r="162" ht="75.0" customHeight="1">
      <c r="A162" s="272" t="s">
        <v>2441</v>
      </c>
      <c r="B162" s="273"/>
      <c r="C162" s="274" t="s">
        <v>2442</v>
      </c>
      <c r="D162" s="274" t="s">
        <v>2442</v>
      </c>
      <c r="E162" s="273"/>
      <c r="F162" s="275"/>
      <c r="G162" s="273" t="s">
        <v>2443</v>
      </c>
      <c r="H162" s="273" t="str">
        <f t="shared" si="1"/>
        <v>Revolutionary Army / Officer ~ Koala</v>
      </c>
      <c r="I162" s="275"/>
      <c r="J162" s="274" t="s">
        <v>2444</v>
      </c>
      <c r="K162" s="273"/>
      <c r="L162" s="273"/>
      <c r="M162" s="273"/>
      <c r="N162" s="273" t="str">
        <f>IFERROR(__xludf.DUMMYFUNCTION("""COMPUTED_VALUE"""),"Don Quixote Pirates / Officer ~ Señor Pink")</f>
        <v>Don Quixote Pirates / Officer ~ Señor Pink</v>
      </c>
      <c r="O162" s="273">
        <f>IFERROR(__xludf.DUMMYFUNCTION("""COMPUTED_VALUE"""),182.0)</f>
        <v>182</v>
      </c>
      <c r="P162" s="275" t="str">
        <f t="shared" si="2"/>
        <v/>
      </c>
      <c r="Q162" s="273" t="str">
        <f>IFERROR(__xludf.DUMMYFUNCTION("""COMPUTED_VALUE"""),"160 Revolutionary Army / Officer - Koala 1")</f>
        <v>160 Revolutionary Army / Officer - Koala 1</v>
      </c>
      <c r="R162" s="273"/>
      <c r="S162" s="273"/>
      <c r="T162" s="273"/>
      <c r="U162" s="273"/>
      <c r="V162" s="273"/>
      <c r="W162" s="273"/>
      <c r="X162" s="273"/>
      <c r="Y162" s="273"/>
      <c r="Z162" s="273"/>
      <c r="AA162" s="273"/>
      <c r="AB162" s="273"/>
      <c r="AC162" s="273"/>
    </row>
    <row r="163" ht="75.0" customHeight="1">
      <c r="A163" s="272" t="s">
        <v>2445</v>
      </c>
      <c r="B163" s="273"/>
      <c r="C163" s="274" t="s">
        <v>2446</v>
      </c>
      <c r="D163" s="274" t="s">
        <v>2446</v>
      </c>
      <c r="E163" s="273"/>
      <c r="F163" s="275"/>
      <c r="G163" s="273" t="s">
        <v>2447</v>
      </c>
      <c r="H163" s="273" t="str">
        <f t="shared" si="1"/>
        <v>Father and Daughter ~ Kuma &amp; Bonney</v>
      </c>
      <c r="I163" s="275"/>
      <c r="J163" s="274" t="s">
        <v>2448</v>
      </c>
      <c r="K163" s="273"/>
      <c r="L163" s="273"/>
      <c r="M163" s="273"/>
      <c r="N163" s="273" t="str">
        <f>IFERROR(__xludf.DUMMYFUNCTION("""COMPUTED_VALUE"""),"Don Quixote Pirates / Servant Assassin ~ Baby 5")</f>
        <v>Don Quixote Pirates / Servant Assassin ~ Baby 5</v>
      </c>
      <c r="O163" s="273">
        <f>IFERROR(__xludf.DUMMYFUNCTION("""COMPUTED_VALUE"""),181.0)</f>
        <v>181</v>
      </c>
      <c r="P163" s="275" t="str">
        <f t="shared" si="2"/>
        <v/>
      </c>
      <c r="Q163" s="273" t="str">
        <f>IFERROR(__xludf.DUMMYFUNCTION("""COMPUTED_VALUE"""),"336 Father and Daughter - Kuma &amp; Bonney 2 1")</f>
        <v>336 Father and Daughter - Kuma &amp; Bonney 2 1</v>
      </c>
      <c r="R163" s="273"/>
      <c r="S163" s="273"/>
      <c r="T163" s="273"/>
      <c r="U163" s="273"/>
      <c r="V163" s="273"/>
      <c r="W163" s="273"/>
      <c r="X163" s="273"/>
      <c r="Y163" s="273"/>
      <c r="Z163" s="273"/>
      <c r="AA163" s="273"/>
      <c r="AB163" s="273"/>
      <c r="AC163" s="273"/>
    </row>
    <row r="164" ht="75.0" customHeight="1">
      <c r="A164" s="272" t="s">
        <v>2449</v>
      </c>
      <c r="B164" s="273"/>
      <c r="C164" s="274" t="s">
        <v>2446</v>
      </c>
      <c r="D164" s="274" t="s">
        <v>2446</v>
      </c>
      <c r="E164" s="273"/>
      <c r="F164" s="275"/>
      <c r="G164" s="273" t="s">
        <v>2447</v>
      </c>
      <c r="H164" s="273" t="str">
        <f t="shared" si="1"/>
        <v>Father and Daughter ~ Kuma &amp; Bonney</v>
      </c>
      <c r="I164" s="275"/>
      <c r="J164" s="274" t="s">
        <v>2450</v>
      </c>
      <c r="K164" s="273"/>
      <c r="L164" s="273"/>
      <c r="M164" s="273"/>
      <c r="N164" s="273" t="str">
        <f>IFERROR(__xludf.DUMMYFUNCTION("""COMPUTED_VALUE"""),"Navy HQ / Science Team Captain ~ Sentomaru")</f>
        <v>Navy HQ / Science Team Captain ~ Sentomaru</v>
      </c>
      <c r="O164" s="273">
        <f>IFERROR(__xludf.DUMMYFUNCTION("""COMPUTED_VALUE"""),180.0)</f>
        <v>180</v>
      </c>
      <c r="P164" s="275" t="str">
        <f t="shared" si="2"/>
        <v/>
      </c>
      <c r="Q164" s="273" t="str">
        <f>IFERROR(__xludf.DUMMYFUNCTION("""COMPUTED_VALUE"""),"336 Father and Daughter - Kuma &amp; Bonney 2 2")</f>
        <v>336 Father and Daughter - Kuma &amp; Bonney 2 2</v>
      </c>
      <c r="R164" s="273"/>
      <c r="S164" s="273"/>
      <c r="T164" s="273"/>
      <c r="U164" s="273"/>
      <c r="V164" s="273"/>
      <c r="W164" s="273"/>
      <c r="X164" s="273"/>
      <c r="Y164" s="273"/>
      <c r="Z164" s="273"/>
      <c r="AA164" s="273"/>
      <c r="AB164" s="273"/>
      <c r="AC164" s="273"/>
    </row>
    <row r="165" ht="75.0" customHeight="1">
      <c r="A165" s="272" t="s">
        <v>2451</v>
      </c>
      <c r="B165" s="273"/>
      <c r="C165" s="274" t="s">
        <v>2446</v>
      </c>
      <c r="D165" s="274" t="s">
        <v>2446</v>
      </c>
      <c r="E165" s="273"/>
      <c r="F165" s="275"/>
      <c r="G165" s="273" t="s">
        <v>2447</v>
      </c>
      <c r="H165" s="273" t="str">
        <f t="shared" si="1"/>
        <v>Father and Daughter ~ Kuma &amp; Bonney</v>
      </c>
      <c r="I165" s="275"/>
      <c r="J165" s="274" t="s">
        <v>2452</v>
      </c>
      <c r="K165" s="273"/>
      <c r="L165" s="273"/>
      <c r="M165" s="273"/>
      <c r="N165" s="273" t="str">
        <f>IFERROR(__xludf.DUMMYFUNCTION("""COMPUTED_VALUE"""),"Navy HQ / Master Chief Petty Officer ~ Koby")</f>
        <v>Navy HQ / Master Chief Petty Officer ~ Koby</v>
      </c>
      <c r="O165" s="273">
        <f>IFERROR(__xludf.DUMMYFUNCTION("""COMPUTED_VALUE"""),179.0)</f>
        <v>179</v>
      </c>
      <c r="P165" s="275" t="str">
        <f t="shared" si="2"/>
        <v/>
      </c>
      <c r="Q165" s="273" t="str">
        <f>IFERROR(__xludf.DUMMYFUNCTION("""COMPUTED_VALUE"""),"336 Father and Daughter - Kuma &amp; Bonney 1")</f>
        <v>336 Father and Daughter - Kuma &amp; Bonney 1</v>
      </c>
      <c r="R165" s="273"/>
      <c r="S165" s="273"/>
      <c r="T165" s="273"/>
      <c r="U165" s="273"/>
      <c r="V165" s="273"/>
      <c r="W165" s="273"/>
      <c r="X165" s="273"/>
      <c r="Y165" s="273"/>
      <c r="Z165" s="273"/>
      <c r="AA165" s="273"/>
      <c r="AB165" s="273"/>
      <c r="AC165" s="273"/>
    </row>
    <row r="166" ht="75.0" customHeight="1">
      <c r="A166" s="272" t="s">
        <v>2453</v>
      </c>
      <c r="B166" s="273"/>
      <c r="C166" s="274" t="s">
        <v>2454</v>
      </c>
      <c r="D166" s="274" t="s">
        <v>2454</v>
      </c>
      <c r="E166" s="273"/>
      <c r="F166" s="275"/>
      <c r="G166" s="273" t="s">
        <v>2455</v>
      </c>
      <c r="H166" s="273" t="str">
        <f t="shared" si="1"/>
        <v>Disciple of the Martial Arts ~ Kung Fu Jugon</v>
      </c>
      <c r="I166" s="275"/>
      <c r="J166" s="274" t="s">
        <v>2456</v>
      </c>
      <c r="K166" s="273"/>
      <c r="L166" s="273"/>
      <c r="M166" s="273"/>
      <c r="N166" s="273" t="str">
        <f>IFERROR(__xludf.DUMMYFUNCTION("""COMPUTED_VALUE"""),"Navy HQ / Fleet Admiral Akainu ~ [Sakazuki]")</f>
        <v>Navy HQ / Fleet Admiral Akainu ~ [Sakazuki]</v>
      </c>
      <c r="O166" s="273">
        <f>IFERROR(__xludf.DUMMYFUNCTION("""COMPUTED_VALUE"""),178.0)</f>
        <v>178</v>
      </c>
      <c r="P166" s="275" t="str">
        <f t="shared" si="2"/>
        <v/>
      </c>
      <c r="Q166" s="273" t="str">
        <f>IFERROR(__xludf.DUMMYFUNCTION("""COMPUTED_VALUE"""),"245 Disciple of the Martials - Kung Fu Jugon")</f>
        <v>245 Disciple of the Martials - Kung Fu Jugon</v>
      </c>
      <c r="R166" s="273"/>
      <c r="S166" s="273"/>
      <c r="T166" s="273"/>
      <c r="U166" s="273"/>
      <c r="V166" s="273"/>
      <c r="W166" s="273"/>
      <c r="X166" s="273"/>
      <c r="Y166" s="273"/>
      <c r="Z166" s="273"/>
      <c r="AA166" s="273"/>
      <c r="AB166" s="273"/>
      <c r="AC166" s="273"/>
    </row>
    <row r="167" ht="75.0" customHeight="1">
      <c r="A167" s="272" t="s">
        <v>2457</v>
      </c>
      <c r="B167" s="273"/>
      <c r="C167" s="274" t="s">
        <v>2458</v>
      </c>
      <c r="D167" s="274" t="s">
        <v>2458</v>
      </c>
      <c r="E167" s="273"/>
      <c r="F167" s="275"/>
      <c r="G167" s="273" t="s">
        <v>2459</v>
      </c>
      <c r="H167" s="273" t="str">
        <f t="shared" si="1"/>
        <v>Black Cat Pirates / Former Captain ~ Captain Kuro</v>
      </c>
      <c r="I167" s="275"/>
      <c r="J167" s="274" t="s">
        <v>2460</v>
      </c>
      <c r="K167" s="273"/>
      <c r="L167" s="273"/>
      <c r="M167" s="273"/>
      <c r="N167" s="273" t="str">
        <f>IFERROR(__xludf.DUMMYFUNCTION("""COMPUTED_VALUE"""),"Land of Wano ~ Bonekichi")</f>
        <v>Land of Wano ~ Bonekichi</v>
      </c>
      <c r="O167" s="273">
        <f>IFERROR(__xludf.DUMMYFUNCTION("""COMPUTED_VALUE"""),177.0)</f>
        <v>177</v>
      </c>
      <c r="P167" s="275" t="str">
        <f t="shared" si="2"/>
        <v/>
      </c>
      <c r="Q167" s="273" t="str">
        <f>IFERROR(__xludf.DUMMYFUNCTION("""COMPUTED_VALUE"""),"021 Black Cat Pirates / Former Captain - Captain Kuro")</f>
        <v>021 Black Cat Pirates / Former Captain - Captain Kuro</v>
      </c>
      <c r="R167" s="273"/>
      <c r="S167" s="273"/>
      <c r="T167" s="273"/>
      <c r="U167" s="273"/>
      <c r="V167" s="273"/>
      <c r="W167" s="273"/>
      <c r="X167" s="273"/>
      <c r="Y167" s="273"/>
      <c r="Z167" s="273"/>
      <c r="AA167" s="273"/>
      <c r="AB167" s="273"/>
      <c r="AC167" s="273"/>
    </row>
    <row r="168" ht="75.0" customHeight="1">
      <c r="A168" s="272" t="s">
        <v>2461</v>
      </c>
      <c r="B168" s="273"/>
      <c r="C168" s="274" t="s">
        <v>2462</v>
      </c>
      <c r="D168" s="274" t="s">
        <v>2462</v>
      </c>
      <c r="E168" s="273"/>
      <c r="F168" s="275"/>
      <c r="G168" s="273" t="s">
        <v>2463</v>
      </c>
      <c r="H168" s="273" t="str">
        <f t="shared" si="1"/>
        <v>Arlong Pirates / Officer ~ Kuroobi</v>
      </c>
      <c r="I168" s="275"/>
      <c r="J168" s="274" t="s">
        <v>2464</v>
      </c>
      <c r="K168" s="273"/>
      <c r="L168" s="273"/>
      <c r="M168" s="273"/>
      <c r="N168" s="273" t="str">
        <f>IFERROR(__xludf.DUMMYFUNCTION("""COMPUTED_VALUE"""),"Land of Wano ~ Orobi")</f>
        <v>Land of Wano ~ Orobi</v>
      </c>
      <c r="O168" s="273">
        <f>IFERROR(__xludf.DUMMYFUNCTION("""COMPUTED_VALUE"""),176.0)</f>
        <v>176</v>
      </c>
      <c r="P168" s="275" t="str">
        <f t="shared" si="2"/>
        <v/>
      </c>
      <c r="Q168" s="273" t="str">
        <f>IFERROR(__xludf.DUMMYFUNCTION("""COMPUTED_VALUE"""),"026 Arlong Pirates / Officer - Kuroobi")</f>
        <v>026 Arlong Pirates / Officer - Kuroobi</v>
      </c>
      <c r="R168" s="273"/>
      <c r="S168" s="273"/>
      <c r="T168" s="273"/>
      <c r="U168" s="273"/>
      <c r="V168" s="273"/>
      <c r="W168" s="273"/>
      <c r="X168" s="273"/>
      <c r="Y168" s="273"/>
      <c r="Z168" s="273"/>
      <c r="AA168" s="273"/>
      <c r="AB168" s="273"/>
      <c r="AC168" s="273"/>
    </row>
    <row r="169" ht="75.0" customHeight="1">
      <c r="A169" s="272" t="s">
        <v>2465</v>
      </c>
      <c r="B169" s="273"/>
      <c r="C169" s="274" t="s">
        <v>2466</v>
      </c>
      <c r="D169" s="274" t="s">
        <v>2466</v>
      </c>
      <c r="E169" s="273"/>
      <c r="F169" s="275"/>
      <c r="G169" s="273" t="s">
        <v>2467</v>
      </c>
      <c r="H169" s="273" t="str">
        <f t="shared" si="1"/>
        <v>Kyoshiro Family / Boss ~ Napping Kyoshiro</v>
      </c>
      <c r="I169" s="275"/>
      <c r="J169" s="274" t="s">
        <v>2468</v>
      </c>
      <c r="K169" s="273"/>
      <c r="L169" s="273"/>
      <c r="M169" s="273"/>
      <c r="N169" s="273" t="str">
        <f>IFERROR(__xludf.DUMMYFUNCTION("""COMPUTED_VALUE"""),"Princess and Loyal Partner ~ Vivi &amp; Karoo")</f>
        <v>Princess and Loyal Partner ~ Vivi &amp; Karoo</v>
      </c>
      <c r="O169" s="273">
        <f>IFERROR(__xludf.DUMMYFUNCTION("""COMPUTED_VALUE"""),175.0)</f>
        <v>175</v>
      </c>
      <c r="P169" s="275" t="str">
        <f t="shared" si="2"/>
        <v/>
      </c>
      <c r="Q169" s="273" t="str">
        <f>IFERROR(__xludf.DUMMYFUNCTION("""COMPUTED_VALUE"""),"155 Kyoshiro Family / Boss - Napping Kyoshiro")</f>
        <v>155 Kyoshiro Family / Boss - Napping Kyoshiro</v>
      </c>
      <c r="R169" s="273"/>
      <c r="S169" s="273"/>
      <c r="T169" s="273"/>
      <c r="U169" s="273"/>
      <c r="V169" s="273"/>
      <c r="W169" s="273"/>
      <c r="X169" s="273"/>
      <c r="Y169" s="273"/>
      <c r="Z169" s="273"/>
      <c r="AA169" s="273"/>
      <c r="AB169" s="273"/>
      <c r="AC169" s="273"/>
    </row>
    <row r="170" ht="75.0" customHeight="1">
      <c r="A170" s="272" t="s">
        <v>2469</v>
      </c>
      <c r="B170" s="273"/>
      <c r="C170" s="274" t="s">
        <v>2470</v>
      </c>
      <c r="D170" s="274" t="s">
        <v>2470</v>
      </c>
      <c r="E170" s="273"/>
      <c r="F170" s="275"/>
      <c r="G170" s="273" t="s">
        <v>2471</v>
      </c>
      <c r="H170" s="273" t="str">
        <f t="shared" si="1"/>
        <v>Surgeon of Death ~ Trafalger Law</v>
      </c>
      <c r="I170" s="275"/>
      <c r="J170" s="274" t="s">
        <v>2472</v>
      </c>
      <c r="K170" s="273"/>
      <c r="L170" s="273"/>
      <c r="M170" s="273"/>
      <c r="N170" s="273" t="str">
        <f>IFERROR(__xludf.DUMMYFUNCTION("""COMPUTED_VALUE"""),"Lieutenant Royal Guard of Alabasta ~ Pell")</f>
        <v>Lieutenant Royal Guard of Alabasta ~ Pell</v>
      </c>
      <c r="O170" s="273">
        <f>IFERROR(__xludf.DUMMYFUNCTION("""COMPUTED_VALUE"""),174.0)</f>
        <v>174</v>
      </c>
      <c r="P170" s="275" t="str">
        <f t="shared" si="2"/>
        <v/>
      </c>
      <c r="Q170" s="273" t="str">
        <f>IFERROR(__xludf.DUMMYFUNCTION("""COMPUTED_VALUE"""),"131 Surgeon of Death - Trafalger Law")</f>
        <v>131 Surgeon of Death - Trafalger Law</v>
      </c>
      <c r="R170" s="273"/>
      <c r="S170" s="273"/>
      <c r="T170" s="273"/>
      <c r="U170" s="273"/>
      <c r="V170" s="273"/>
      <c r="W170" s="273"/>
      <c r="X170" s="273"/>
      <c r="Y170" s="273"/>
      <c r="Z170" s="273"/>
      <c r="AA170" s="273"/>
      <c r="AB170" s="273"/>
      <c r="AC170" s="273"/>
    </row>
    <row r="171" ht="75.0" customHeight="1">
      <c r="A171" s="272" t="s">
        <v>2473</v>
      </c>
      <c r="B171" s="273"/>
      <c r="C171" s="274" t="s">
        <v>2474</v>
      </c>
      <c r="D171" s="274" t="s">
        <v>2474</v>
      </c>
      <c r="E171" s="273"/>
      <c r="F171" s="275"/>
      <c r="G171" s="273" t="s">
        <v>2475</v>
      </c>
      <c r="H171" s="273" t="str">
        <f t="shared" si="1"/>
        <v>Raid on Onigashima ~ Trafalger Law</v>
      </c>
      <c r="I171" s="275"/>
      <c r="J171" s="274" t="s">
        <v>2476</v>
      </c>
      <c r="K171" s="273"/>
      <c r="L171" s="273"/>
      <c r="M171" s="273"/>
      <c r="N171" s="273" t="str">
        <f>IFERROR(__xludf.DUMMYFUNCTION("""COMPUTED_VALUE"""),"Baroque Works / Officer Agent ~ Ms. Goldenweek")</f>
        <v>Baroque Works / Officer Agent ~ Ms. Goldenweek</v>
      </c>
      <c r="O171" s="273">
        <f>IFERROR(__xludf.DUMMYFUNCTION("""COMPUTED_VALUE"""),173.0)</f>
        <v>173</v>
      </c>
      <c r="P171" s="275" t="str">
        <f t="shared" si="2"/>
        <v/>
      </c>
      <c r="Q171" s="273" t="str">
        <f>IFERROR(__xludf.DUMMYFUNCTION("""COMPUTED_VALUE"""),"171 Raid on Onigashima - Trafalger Law")</f>
        <v>171 Raid on Onigashima - Trafalger Law</v>
      </c>
      <c r="R171" s="273"/>
      <c r="S171" s="273"/>
      <c r="T171" s="273"/>
      <c r="U171" s="273"/>
      <c r="V171" s="273"/>
      <c r="W171" s="273"/>
      <c r="X171" s="273"/>
      <c r="Y171" s="273"/>
      <c r="Z171" s="273"/>
      <c r="AA171" s="273"/>
      <c r="AB171" s="273"/>
      <c r="AC171" s="273"/>
    </row>
    <row r="172" ht="75.0" customHeight="1">
      <c r="A172" s="272" t="s">
        <v>2477</v>
      </c>
      <c r="B172" s="273"/>
      <c r="C172" s="274" t="s">
        <v>2478</v>
      </c>
      <c r="D172" s="274" t="s">
        <v>2478</v>
      </c>
      <c r="E172" s="273"/>
      <c r="F172" s="275"/>
      <c r="G172" s="273" t="s">
        <v>2479</v>
      </c>
      <c r="H172" s="273" t="str">
        <f t="shared" si="1"/>
        <v>Heart Pirates / Captain ~ Trafalger Law</v>
      </c>
      <c r="I172" s="275"/>
      <c r="J172" s="274" t="s">
        <v>2480</v>
      </c>
      <c r="K172" s="273"/>
      <c r="L172" s="273"/>
      <c r="M172" s="273"/>
      <c r="N172" s="273" t="str">
        <f>IFERROR(__xludf.DUMMYFUNCTION("""COMPUTED_VALUE"""),"Baroque Works / Officer Agent ~ Mr. 3")</f>
        <v>Baroque Works / Officer Agent ~ Mr. 3</v>
      </c>
      <c r="O172" s="273">
        <f>IFERROR(__xludf.DUMMYFUNCTION("""COMPUTED_VALUE"""),172.0)</f>
        <v>172</v>
      </c>
      <c r="P172" s="275" t="str">
        <f t="shared" si="2"/>
        <v/>
      </c>
      <c r="Q172" s="273" t="str">
        <f>IFERROR(__xludf.DUMMYFUNCTION("""COMPUTED_VALUE"""),"059 Heart Pirates / Captain - Trafalger Law")</f>
        <v>059 Heart Pirates / Captain - Trafalger Law</v>
      </c>
      <c r="R172" s="273"/>
      <c r="S172" s="273"/>
      <c r="T172" s="273"/>
      <c r="U172" s="273"/>
      <c r="V172" s="273"/>
      <c r="W172" s="273"/>
      <c r="X172" s="273"/>
      <c r="Y172" s="273"/>
      <c r="Z172" s="273"/>
      <c r="AA172" s="273"/>
      <c r="AB172" s="273"/>
      <c r="AC172" s="273"/>
    </row>
    <row r="173" ht="75.0" customHeight="1">
      <c r="A173" s="272" t="s">
        <v>2481</v>
      </c>
      <c r="B173" s="273"/>
      <c r="C173" s="274" t="s">
        <v>2482</v>
      </c>
      <c r="D173" s="274" t="s">
        <v>2482</v>
      </c>
      <c r="E173" s="273"/>
      <c r="F173" s="275"/>
      <c r="G173" s="273" t="s">
        <v>2483</v>
      </c>
      <c r="H173" s="273" t="str">
        <f t="shared" si="1"/>
        <v>Land of Wano ~ Trafalgar Law</v>
      </c>
      <c r="I173" s="275"/>
      <c r="J173" s="274" t="s">
        <v>2484</v>
      </c>
      <c r="K173" s="273"/>
      <c r="L173" s="273"/>
      <c r="M173" s="273"/>
      <c r="N173" s="273" t="str">
        <f>IFERROR(__xludf.DUMMYFUNCTION("""COMPUTED_VALUE"""),"Raid on Onigashima ~ Trafalger Law")</f>
        <v>Raid on Onigashima ~ Trafalger Law</v>
      </c>
      <c r="O173" s="273">
        <f>IFERROR(__xludf.DUMMYFUNCTION("""COMPUTED_VALUE"""),171.0)</f>
        <v>171</v>
      </c>
      <c r="P173" s="275" t="str">
        <f t="shared" si="2"/>
        <v/>
      </c>
      <c r="Q173" s="273" t="str">
        <f>IFERROR(__xludf.DUMMYFUNCTION("""COMPUTED_VALUE"""),"082 Land of Wano - Trafalgar Law")</f>
        <v>082 Land of Wano - Trafalgar Law</v>
      </c>
      <c r="R173" s="273"/>
      <c r="S173" s="273"/>
      <c r="T173" s="273"/>
      <c r="U173" s="273"/>
      <c r="V173" s="273"/>
      <c r="W173" s="273"/>
      <c r="X173" s="273"/>
      <c r="Y173" s="273"/>
      <c r="Z173" s="273"/>
      <c r="AA173" s="273"/>
      <c r="AB173" s="273"/>
      <c r="AC173" s="273"/>
    </row>
    <row r="174" ht="75.0" customHeight="1">
      <c r="A174" s="272" t="s">
        <v>2485</v>
      </c>
      <c r="B174" s="273"/>
      <c r="C174" s="274" t="s">
        <v>2486</v>
      </c>
      <c r="D174" s="274" t="s">
        <v>2486</v>
      </c>
      <c r="E174" s="273"/>
      <c r="F174" s="275"/>
      <c r="G174" s="273" t="s">
        <v>2487</v>
      </c>
      <c r="H174" s="273" t="str">
        <f t="shared" si="1"/>
        <v>Winner Island ~ Trafalgar Law</v>
      </c>
      <c r="I174" s="275"/>
      <c r="J174" s="274" t="s">
        <v>2488</v>
      </c>
      <c r="K174" s="273"/>
      <c r="L174" s="273"/>
      <c r="M174" s="273"/>
      <c r="N174" s="273" t="str">
        <f>IFERROR(__xludf.DUMMYFUNCTION("""COMPUTED_VALUE"""),"Raid on Onigashima ~ Eustass Kid")</f>
        <v>Raid on Onigashima ~ Eustass Kid</v>
      </c>
      <c r="O174" s="273">
        <f>IFERROR(__xludf.DUMMYFUNCTION("""COMPUTED_VALUE"""),170.0)</f>
        <v>170</v>
      </c>
      <c r="P174" s="275" t="str">
        <f t="shared" si="2"/>
        <v/>
      </c>
      <c r="Q174" s="273" t="str">
        <f>IFERROR(__xludf.DUMMYFUNCTION("""COMPUTED_VALUE"""),"339 Winner Island - Trafalgar Law")</f>
        <v>339 Winner Island - Trafalgar Law</v>
      </c>
      <c r="R174" s="273"/>
      <c r="S174" s="273"/>
      <c r="T174" s="273"/>
      <c r="U174" s="273"/>
      <c r="V174" s="273"/>
      <c r="W174" s="273"/>
      <c r="X174" s="273"/>
      <c r="Y174" s="273"/>
      <c r="Z174" s="273"/>
      <c r="AA174" s="273"/>
      <c r="AB174" s="273"/>
      <c r="AC174" s="273"/>
    </row>
    <row r="175" ht="75.0" customHeight="1">
      <c r="A175" s="272" t="s">
        <v>2489</v>
      </c>
      <c r="B175" s="273"/>
      <c r="C175" s="274" t="s">
        <v>2490</v>
      </c>
      <c r="D175" s="274" t="s">
        <v>2490</v>
      </c>
      <c r="E175" s="273"/>
      <c r="F175" s="275"/>
      <c r="G175" s="273" t="s">
        <v>2491</v>
      </c>
      <c r="H175" s="273" t="str">
        <f t="shared" si="1"/>
        <v>Tontatta Pirates / Captain ~ Leo</v>
      </c>
      <c r="I175" s="275"/>
      <c r="J175" s="274" t="s">
        <v>2492</v>
      </c>
      <c r="K175" s="273"/>
      <c r="L175" s="273"/>
      <c r="M175" s="273"/>
      <c r="N175" s="273" t="str">
        <f>IFERROR(__xludf.DUMMYFUNCTION("""COMPUTED_VALUE"""),"Impel Down / Prisoner ~ Bon Clay, aka Mr. 2")</f>
        <v>Impel Down / Prisoner ~ Bon Clay, aka Mr. 2</v>
      </c>
      <c r="O175" s="273">
        <f>IFERROR(__xludf.DUMMYFUNCTION("""COMPUTED_VALUE"""),169.0)</f>
        <v>169</v>
      </c>
      <c r="P175" s="275" t="str">
        <f t="shared" si="2"/>
        <v/>
      </c>
      <c r="Q175" s="273" t="str">
        <f>IFERROR(__xludf.DUMMYFUNCTION("""COMPUTED_VALUE"""),"319 Tontatta Pirates / Captain - Leo")</f>
        <v>319 Tontatta Pirates / Captain - Leo</v>
      </c>
      <c r="R175" s="273"/>
      <c r="S175" s="273"/>
      <c r="T175" s="273"/>
      <c r="U175" s="273"/>
      <c r="V175" s="273"/>
      <c r="W175" s="273"/>
      <c r="X175" s="273"/>
      <c r="Y175" s="273"/>
      <c r="Z175" s="273"/>
      <c r="AA175" s="273"/>
      <c r="AB175" s="273"/>
      <c r="AC175" s="273"/>
    </row>
    <row r="176" ht="75.0" customHeight="1">
      <c r="A176" s="272" t="s">
        <v>2493</v>
      </c>
      <c r="B176" s="273"/>
      <c r="C176" s="274" t="s">
        <v>2494</v>
      </c>
      <c r="D176" s="274" t="s">
        <v>2494</v>
      </c>
      <c r="E176" s="273"/>
      <c r="F176" s="275"/>
      <c r="G176" s="273" t="s">
        <v>2495</v>
      </c>
      <c r="H176" s="273" t="str">
        <f t="shared" si="1"/>
        <v>Punk-02 ~ Lilith</v>
      </c>
      <c r="I176" s="275"/>
      <c r="J176" s="274" t="s">
        <v>2496</v>
      </c>
      <c r="K176" s="273"/>
      <c r="L176" s="273"/>
      <c r="M176" s="273"/>
      <c r="N176" s="273" t="str">
        <f>IFERROR(__xludf.DUMMYFUNCTION("""COMPUTED_VALUE"""),"Raid on Onigashima ~ Monkey D. Luffy")</f>
        <v>Raid on Onigashima ~ Monkey D. Luffy</v>
      </c>
      <c r="O176" s="273">
        <f>IFERROR(__xludf.DUMMYFUNCTION("""COMPUTED_VALUE"""),168.0)</f>
        <v>168</v>
      </c>
      <c r="P176" s="275" t="str">
        <f t="shared" si="2"/>
        <v/>
      </c>
      <c r="Q176" s="273" t="str">
        <f>IFERROR(__xludf.DUMMYFUNCTION("""COMPUTED_VALUE"""),"300 Punk-02 - Lilith")</f>
        <v>300 Punk-02 - Lilith</v>
      </c>
      <c r="R176" s="273"/>
      <c r="S176" s="273"/>
      <c r="T176" s="273"/>
      <c r="U176" s="273"/>
      <c r="V176" s="273"/>
      <c r="W176" s="273"/>
      <c r="X176" s="273"/>
      <c r="Y176" s="273"/>
      <c r="Z176" s="273"/>
      <c r="AA176" s="273"/>
      <c r="AB176" s="273"/>
      <c r="AC176" s="273"/>
    </row>
    <row r="177" ht="75.0" customHeight="1">
      <c r="A177" s="272" t="s">
        <v>2497</v>
      </c>
      <c r="B177" s="273"/>
      <c r="C177" s="274" t="s">
        <v>2498</v>
      </c>
      <c r="D177" s="274" t="s">
        <v>2498</v>
      </c>
      <c r="E177" s="273"/>
      <c r="F177" s="275"/>
      <c r="G177" s="273" t="s">
        <v>2499</v>
      </c>
      <c r="H177" s="273" t="str">
        <f t="shared" si="1"/>
        <v>CP0 ~ Rob Lucci</v>
      </c>
      <c r="I177" s="275"/>
      <c r="J177" s="274" t="s">
        <v>2500</v>
      </c>
      <c r="K177" s="273"/>
      <c r="L177" s="273"/>
      <c r="M177" s="273"/>
      <c r="N177" s="273" t="str">
        <f>IFERROR(__xludf.DUMMYFUNCTION("""COMPUTED_VALUE"""),"Enies Lobby ~ Nico Robin")</f>
        <v>Enies Lobby ~ Nico Robin</v>
      </c>
      <c r="O177" s="273">
        <f>IFERROR(__xludf.DUMMYFUNCTION("""COMPUTED_VALUE"""),167.0)</f>
        <v>167</v>
      </c>
      <c r="P177" s="275" t="str">
        <f t="shared" si="2"/>
        <v/>
      </c>
      <c r="Q177" s="273" t="str">
        <f>IFERROR(__xludf.DUMMYFUNCTION("""COMPUTED_VALUE"""),"129 CP0 - Rob Lucci")</f>
        <v>129 CP0 - Rob Lucci</v>
      </c>
      <c r="R177" s="273"/>
      <c r="S177" s="273"/>
      <c r="T177" s="273"/>
      <c r="U177" s="273"/>
      <c r="V177" s="273"/>
      <c r="W177" s="273"/>
      <c r="X177" s="273"/>
      <c r="Y177" s="273"/>
      <c r="Z177" s="273"/>
      <c r="AA177" s="273"/>
      <c r="AB177" s="273"/>
      <c r="AC177" s="273"/>
    </row>
    <row r="178" ht="75.0" customHeight="1">
      <c r="A178" s="272" t="s">
        <v>2501</v>
      </c>
      <c r="B178" s="273"/>
      <c r="C178" s="274" t="s">
        <v>2502</v>
      </c>
      <c r="D178" s="274" t="s">
        <v>2502</v>
      </c>
      <c r="E178" s="273"/>
      <c r="F178" s="275"/>
      <c r="G178" s="273" t="s">
        <v>2503</v>
      </c>
      <c r="H178" s="273" t="str">
        <f t="shared" si="1"/>
        <v>Awakened Form ~ Rob Lucci</v>
      </c>
      <c r="I178" s="275"/>
      <c r="J178" s="274" t="s">
        <v>2504</v>
      </c>
      <c r="K178" s="273"/>
      <c r="L178" s="273"/>
      <c r="M178" s="273"/>
      <c r="N178" s="273" t="str">
        <f>IFERROR(__xludf.DUMMYFUNCTION("""COMPUTED_VALUE"""),"Monster Point ~ Tony Tony Chopper")</f>
        <v>Monster Point ~ Tony Tony Chopper</v>
      </c>
      <c r="O178" s="273">
        <f>IFERROR(__xludf.DUMMYFUNCTION("""COMPUTED_VALUE"""),166.0)</f>
        <v>166</v>
      </c>
      <c r="P178" s="275" t="str">
        <f t="shared" si="2"/>
        <v/>
      </c>
      <c r="Q178" s="273" t="str">
        <f>IFERROR(__xludf.DUMMYFUNCTION("""COMPUTED_VALUE"""),"293 Awakened Form - Rob Lucci")</f>
        <v>293 Awakened Form - Rob Lucci</v>
      </c>
      <c r="R178" s="273"/>
      <c r="S178" s="273"/>
      <c r="T178" s="273"/>
      <c r="U178" s="273"/>
      <c r="V178" s="273"/>
      <c r="W178" s="273"/>
      <c r="X178" s="273"/>
      <c r="Y178" s="273"/>
      <c r="Z178" s="273"/>
      <c r="AA178" s="273"/>
      <c r="AB178" s="273"/>
      <c r="AC178" s="273"/>
    </row>
    <row r="179" ht="75.0" customHeight="1">
      <c r="A179" s="272" t="s">
        <v>2505</v>
      </c>
      <c r="B179" s="273"/>
      <c r="C179" s="274" t="s">
        <v>2506</v>
      </c>
      <c r="D179" s="274" t="s">
        <v>2506</v>
      </c>
      <c r="E179" s="273"/>
      <c r="F179" s="275"/>
      <c r="G179" s="273" t="s">
        <v>2507</v>
      </c>
      <c r="H179" s="273" t="str">
        <f t="shared" si="1"/>
        <v>CP9 ~ Rob Lucci</v>
      </c>
      <c r="I179" s="275"/>
      <c r="J179" s="274" t="s">
        <v>2508</v>
      </c>
      <c r="K179" s="273"/>
      <c r="L179" s="273"/>
      <c r="M179" s="273"/>
      <c r="N179" s="273" t="str">
        <f>IFERROR(__xludf.DUMMYFUNCTION("""COMPUTED_VALUE"""),"King of the Night ~ Cat Viper")</f>
        <v>King of the Night ~ Cat Viper</v>
      </c>
      <c r="O179" s="273">
        <f>IFERROR(__xludf.DUMMYFUNCTION("""COMPUTED_VALUE"""),165.0)</f>
        <v>165</v>
      </c>
      <c r="P179" s="275" t="str">
        <f t="shared" si="2"/>
        <v/>
      </c>
      <c r="Q179" s="273" t="str">
        <f>IFERROR(__xludf.DUMMYFUNCTION("""COMPUTED_VALUE"""),"110 CP9 - Rob Lucci")</f>
        <v>110 CP9 - Rob Lucci</v>
      </c>
      <c r="R179" s="273"/>
      <c r="S179" s="273"/>
      <c r="T179" s="273"/>
      <c r="U179" s="273"/>
      <c r="V179" s="273"/>
      <c r="W179" s="273"/>
      <c r="X179" s="273"/>
      <c r="Y179" s="273"/>
      <c r="Z179" s="273"/>
      <c r="AA179" s="273"/>
      <c r="AB179" s="273"/>
      <c r="AC179" s="273"/>
    </row>
    <row r="180" ht="75.0" customHeight="1">
      <c r="A180" s="272" t="s">
        <v>2509</v>
      </c>
      <c r="B180" s="273"/>
      <c r="C180" s="274" t="s">
        <v>2510</v>
      </c>
      <c r="D180" s="274" t="s">
        <v>2510</v>
      </c>
      <c r="E180" s="273"/>
      <c r="F180" s="275"/>
      <c r="G180" s="273" t="s">
        <v>2511</v>
      </c>
      <c r="H180" s="273" t="str">
        <f t="shared" si="1"/>
        <v>2 Years Later / Captain ~ Monkey D. Luffy</v>
      </c>
      <c r="I180" s="275"/>
      <c r="J180" s="274" t="s">
        <v>2512</v>
      </c>
      <c r="K180" s="273"/>
      <c r="L180" s="273"/>
      <c r="M180" s="273"/>
      <c r="N180" s="273" t="str">
        <f>IFERROR(__xludf.DUMMYFUNCTION("""COMPUTED_VALUE"""),"King of the Day ~ Dogstorm")</f>
        <v>King of the Day ~ Dogstorm</v>
      </c>
      <c r="O180" s="273">
        <f>IFERROR(__xludf.DUMMYFUNCTION("""COMPUTED_VALUE"""),164.0)</f>
        <v>164</v>
      </c>
      <c r="P180" s="275" t="str">
        <f t="shared" si="2"/>
        <v/>
      </c>
      <c r="Q180" s="273" t="str">
        <f>IFERROR(__xludf.DUMMYFUNCTION("""COMPUTED_VALUE"""),"060 2 Years Later / Captain - Monkey D. Luffy")</f>
        <v>060 2 Years Later / Captain - Monkey D. Luffy</v>
      </c>
      <c r="R180" s="273"/>
      <c r="S180" s="273"/>
      <c r="T180" s="273"/>
      <c r="U180" s="273"/>
      <c r="V180" s="273"/>
      <c r="W180" s="273"/>
      <c r="X180" s="273"/>
      <c r="Y180" s="273"/>
      <c r="Z180" s="273"/>
      <c r="AA180" s="273"/>
      <c r="AB180" s="273"/>
      <c r="AC180" s="273"/>
    </row>
    <row r="181" ht="75.0" customHeight="1">
      <c r="A181" s="272" t="s">
        <v>2513</v>
      </c>
      <c r="B181" s="273"/>
      <c r="C181" s="274" t="s">
        <v>2514</v>
      </c>
      <c r="D181" s="274" t="s">
        <v>2514</v>
      </c>
      <c r="E181" s="273"/>
      <c r="F181" s="275"/>
      <c r="G181" s="273" t="s">
        <v>2515</v>
      </c>
      <c r="H181" s="273" t="str">
        <f t="shared" si="1"/>
        <v>Davy Back Fight ~ Monkey D. Luffy</v>
      </c>
      <c r="I181" s="275"/>
      <c r="J181" s="274" t="s">
        <v>2516</v>
      </c>
      <c r="K181" s="273"/>
      <c r="L181" s="273"/>
      <c r="M181" s="273"/>
      <c r="N181" s="273" t="str">
        <f>IFERROR(__xludf.DUMMYFUNCTION("""COMPUTED_VALUE"""),"The Guardian of the Forest ~ Gaimon")</f>
        <v>The Guardian of the Forest ~ Gaimon</v>
      </c>
      <c r="O181" s="273">
        <f>IFERROR(__xludf.DUMMYFUNCTION("""COMPUTED_VALUE"""),163.0)</f>
        <v>163</v>
      </c>
      <c r="P181" s="275" t="str">
        <f t="shared" si="2"/>
        <v/>
      </c>
      <c r="Q181" s="273" t="str">
        <f>IFERROR(__xludf.DUMMYFUNCTION("""COMPUTED_VALUE"""),"321 Davy Back Fight - Monkey D. Luffy")</f>
        <v>321 Davy Back Fight - Monkey D. Luffy</v>
      </c>
      <c r="R181" s="273"/>
      <c r="S181" s="273"/>
      <c r="T181" s="273"/>
      <c r="U181" s="273"/>
      <c r="V181" s="273"/>
      <c r="W181" s="273"/>
      <c r="X181" s="273"/>
      <c r="Y181" s="273"/>
      <c r="Z181" s="273"/>
      <c r="AA181" s="273"/>
      <c r="AB181" s="273"/>
      <c r="AC181" s="273"/>
    </row>
    <row r="182" ht="75.0" customHeight="1">
      <c r="A182" s="272" t="s">
        <v>2517</v>
      </c>
      <c r="B182" s="273"/>
      <c r="C182" s="274" t="s">
        <v>2518</v>
      </c>
      <c r="D182" s="274" t="s">
        <v>2518</v>
      </c>
      <c r="E182" s="273"/>
      <c r="F182" s="275"/>
      <c r="G182" s="273" t="s">
        <v>2519</v>
      </c>
      <c r="H182" s="273" t="str">
        <f t="shared" si="1"/>
        <v>Gum-Gum Storm ~ Monkey D. Luffy</v>
      </c>
      <c r="I182" s="275"/>
      <c r="J182" s="274" t="s">
        <v>2520</v>
      </c>
      <c r="K182" s="273"/>
      <c r="L182" s="273"/>
      <c r="M182" s="273"/>
      <c r="N182" s="273" t="str">
        <f>IFERROR(__xludf.DUMMYFUNCTION("""COMPUTED_VALUE"""),"Iron Pirate ~ General Franky")</f>
        <v>Iron Pirate ~ General Franky</v>
      </c>
      <c r="O182" s="273">
        <f>IFERROR(__xludf.DUMMYFUNCTION("""COMPUTED_VALUE"""),162.0)</f>
        <v>162</v>
      </c>
      <c r="P182" s="275" t="str">
        <f t="shared" si="2"/>
        <v/>
      </c>
      <c r="Q182" s="273" t="str">
        <f>IFERROR(__xludf.DUMMYFUNCTION("""COMPUTED_VALUE"""),"043 Gum-Gum Storm - Monkey D. Luffy")</f>
        <v>043 Gum-Gum Storm - Monkey D. Luffy</v>
      </c>
      <c r="R182" s="273"/>
      <c r="S182" s="273"/>
      <c r="T182" s="273"/>
      <c r="U182" s="273"/>
      <c r="V182" s="273"/>
      <c r="W182" s="273"/>
      <c r="X182" s="273"/>
      <c r="Y182" s="273"/>
      <c r="Z182" s="273"/>
      <c r="AA182" s="273"/>
      <c r="AB182" s="273"/>
      <c r="AC182" s="273"/>
    </row>
    <row r="183" ht="75.0" customHeight="1">
      <c r="A183" s="272" t="s">
        <v>2521</v>
      </c>
      <c r="B183" s="273"/>
      <c r="C183" s="274" t="s">
        <v>2522</v>
      </c>
      <c r="D183" s="274" t="s">
        <v>2522</v>
      </c>
      <c r="E183" s="273"/>
      <c r="F183" s="275"/>
      <c r="G183" s="273" t="s">
        <v>2523</v>
      </c>
      <c r="H183" s="273" t="str">
        <f t="shared" si="1"/>
        <v>Raid on Onigashima ~ Monkey D. Luffy</v>
      </c>
      <c r="I183" s="275"/>
      <c r="J183" s="274" t="s">
        <v>2524</v>
      </c>
      <c r="K183" s="273"/>
      <c r="L183" s="273"/>
      <c r="M183" s="273"/>
      <c r="N183" s="273" t="str">
        <f>IFERROR(__xludf.DUMMYFUNCTION("""COMPUTED_VALUE"""),"Savior ~ God Usopp")</f>
        <v>Savior ~ God Usopp</v>
      </c>
      <c r="O183" s="273">
        <f>IFERROR(__xludf.DUMMYFUNCTION("""COMPUTED_VALUE"""),161.0)</f>
        <v>161</v>
      </c>
      <c r="P183" s="275" t="str">
        <f t="shared" si="2"/>
        <v/>
      </c>
      <c r="Q183" s="273" t="str">
        <f>IFERROR(__xludf.DUMMYFUNCTION("""COMPUTED_VALUE"""),"168 Raid on Onigashima - Monkey D. Luffy")</f>
        <v>168 Raid on Onigashima - Monkey D. Luffy</v>
      </c>
      <c r="R183" s="273"/>
      <c r="S183" s="273"/>
      <c r="T183" s="273"/>
      <c r="U183" s="273"/>
      <c r="V183" s="273"/>
      <c r="W183" s="273"/>
      <c r="X183" s="273"/>
      <c r="Y183" s="273"/>
      <c r="Z183" s="273"/>
      <c r="AA183" s="273"/>
      <c r="AB183" s="273"/>
      <c r="AC183" s="273"/>
    </row>
    <row r="184" ht="75.0" customHeight="1">
      <c r="A184" s="272" t="s">
        <v>2525</v>
      </c>
      <c r="B184" s="273"/>
      <c r="C184" s="274" t="s">
        <v>2526</v>
      </c>
      <c r="D184" s="274" t="s">
        <v>2526</v>
      </c>
      <c r="E184" s="273"/>
      <c r="F184" s="275"/>
      <c r="G184" s="273" t="s">
        <v>2527</v>
      </c>
      <c r="H184" s="273" t="str">
        <f t="shared" si="1"/>
        <v>Gear Four / Bounceman ~ Monkey D. Luffy</v>
      </c>
      <c r="I184" s="275"/>
      <c r="J184" s="274" t="s">
        <v>2528</v>
      </c>
      <c r="K184" s="273"/>
      <c r="L184" s="273"/>
      <c r="M184" s="273"/>
      <c r="N184" s="273" t="str">
        <f>IFERROR(__xludf.DUMMYFUNCTION("""COMPUTED_VALUE"""),"Revolutionary Army / Officer ~ Koala")</f>
        <v>Revolutionary Army / Officer ~ Koala</v>
      </c>
      <c r="O184" s="273">
        <f>IFERROR(__xludf.DUMMYFUNCTION("""COMPUTED_VALUE"""),160.0)</f>
        <v>160</v>
      </c>
      <c r="P184" s="275" t="str">
        <f t="shared" si="2"/>
        <v/>
      </c>
      <c r="Q184" s="273" t="str">
        <f>IFERROR(__xludf.DUMMYFUNCTION("""COMPUTED_VALUE"""),"080 Gear Four / Bounceman - Monkey D. Luffy")</f>
        <v>080 Gear Four / Bounceman - Monkey D. Luffy</v>
      </c>
      <c r="R184" s="273"/>
      <c r="S184" s="273"/>
      <c r="T184" s="273"/>
      <c r="U184" s="273"/>
      <c r="V184" s="273"/>
      <c r="W184" s="273"/>
      <c r="X184" s="273"/>
      <c r="Y184" s="273"/>
      <c r="Z184" s="273"/>
      <c r="AA184" s="273"/>
      <c r="AB184" s="273"/>
      <c r="AC184" s="273"/>
    </row>
    <row r="185" ht="75.0" customHeight="1">
      <c r="A185" s="272" t="s">
        <v>2529</v>
      </c>
      <c r="B185" s="273"/>
      <c r="C185" s="274" t="s">
        <v>2530</v>
      </c>
      <c r="D185" s="274" t="s">
        <v>2530</v>
      </c>
      <c r="E185" s="273"/>
      <c r="F185" s="275"/>
      <c r="G185" s="273" t="s">
        <v>2531</v>
      </c>
      <c r="H185" s="273" t="str">
        <f t="shared" si="1"/>
        <v>Luffy &amp; Law Pirate Alliance ~ Monkey D. Luffy</v>
      </c>
      <c r="I185" s="275"/>
      <c r="J185" s="274" t="s">
        <v>2532</v>
      </c>
      <c r="K185" s="273"/>
      <c r="L185" s="273"/>
      <c r="M185" s="273"/>
      <c r="N185" s="273" t="str">
        <f>IFERROR(__xludf.DUMMYFUNCTION("""COMPUTED_VALUE"""),"Minks ~ Carrot")</f>
        <v>Minks ~ Carrot</v>
      </c>
      <c r="O185" s="273">
        <f>IFERROR(__xludf.DUMMYFUNCTION("""COMPUTED_VALUE"""),159.0)</f>
        <v>159</v>
      </c>
      <c r="P185" s="275" t="str">
        <f t="shared" si="2"/>
        <v/>
      </c>
      <c r="Q185" s="273" t="str">
        <f>IFERROR(__xludf.DUMMYFUNCTION("""COMPUTED_VALUE"""),"146 Luffy &amp; Law Pirate Alliance - Monkey D. Luffy 1")</f>
        <v>146 Luffy &amp; Law Pirate Alliance - Monkey D. Luffy 1</v>
      </c>
      <c r="R185" s="273"/>
      <c r="S185" s="273"/>
      <c r="T185" s="273"/>
      <c r="U185" s="273"/>
      <c r="V185" s="273"/>
      <c r="W185" s="273"/>
      <c r="X185" s="273"/>
      <c r="Y185" s="273"/>
      <c r="Z185" s="273"/>
      <c r="AA185" s="273"/>
      <c r="AB185" s="273"/>
      <c r="AC185" s="273"/>
    </row>
    <row r="186" ht="75.0" customHeight="1">
      <c r="A186" s="272" t="s">
        <v>2533</v>
      </c>
      <c r="B186" s="273"/>
      <c r="C186" s="274" t="s">
        <v>2530</v>
      </c>
      <c r="D186" s="274" t="s">
        <v>2530</v>
      </c>
      <c r="E186" s="273"/>
      <c r="F186" s="275"/>
      <c r="G186" s="273" t="s">
        <v>2531</v>
      </c>
      <c r="H186" s="273" t="str">
        <f t="shared" si="1"/>
        <v>Luffy &amp; Law Pirate Alliance ~ Monkey D. Luffy</v>
      </c>
      <c r="I186" s="275"/>
      <c r="J186" s="274" t="s">
        <v>2534</v>
      </c>
      <c r="K186" s="273"/>
      <c r="L186" s="273"/>
      <c r="M186" s="273"/>
      <c r="N186" s="273" t="str">
        <f>IFERROR(__xludf.DUMMYFUNCTION("""COMPUTED_VALUE"""),"Roger`s Rival ~ Edward Newgate")</f>
        <v>Roger`s Rival ~ Edward Newgate</v>
      </c>
      <c r="O186" s="273">
        <f>IFERROR(__xludf.DUMMYFUNCTION("""COMPUTED_VALUE"""),158.0)</f>
        <v>158</v>
      </c>
      <c r="P186" s="275" t="str">
        <f t="shared" si="2"/>
        <v/>
      </c>
      <c r="Q186" s="273" t="str">
        <f>IFERROR(__xludf.DUMMYFUNCTION("""COMPUTED_VALUE"""),"146 Luffy &amp; Law Pirate Alliance - Monkey D. Luffy 2")</f>
        <v>146 Luffy &amp; Law Pirate Alliance - Monkey D. Luffy 2</v>
      </c>
      <c r="R186" s="273"/>
      <c r="S186" s="273"/>
      <c r="T186" s="273"/>
      <c r="U186" s="273"/>
      <c r="V186" s="273"/>
      <c r="W186" s="273"/>
      <c r="X186" s="273"/>
      <c r="Y186" s="273"/>
      <c r="Z186" s="273"/>
      <c r="AA186" s="273"/>
      <c r="AB186" s="273"/>
      <c r="AC186" s="273"/>
    </row>
    <row r="187" ht="75.0" customHeight="1">
      <c r="A187" s="272" t="s">
        <v>2535</v>
      </c>
      <c r="B187" s="273"/>
      <c r="C187" s="274" t="s">
        <v>2536</v>
      </c>
      <c r="D187" s="274" t="s">
        <v>2536</v>
      </c>
      <c r="E187" s="273"/>
      <c r="F187" s="275"/>
      <c r="G187" s="273" t="s">
        <v>2537</v>
      </c>
      <c r="H187" s="273" t="str">
        <f t="shared" si="1"/>
        <v>The Four Emperors ~ Monkey D. Luffy</v>
      </c>
      <c r="I187" s="275"/>
      <c r="J187" s="274" t="s">
        <v>2538</v>
      </c>
      <c r="K187" s="273"/>
      <c r="L187" s="273"/>
      <c r="M187" s="273"/>
      <c r="N187" s="273" t="str">
        <f>IFERROR(__xludf.DUMMYFUNCTION("""COMPUTED_VALUE"""),"Hero of the Navy ~ Monkey D. Garb")</f>
        <v>Hero of the Navy ~ Monkey D. Garb</v>
      </c>
      <c r="O187" s="273">
        <f>IFERROR(__xludf.DUMMYFUNCTION("""COMPUTED_VALUE"""),157.0)</f>
        <v>157</v>
      </c>
      <c r="P187" s="275" t="str">
        <f t="shared" si="2"/>
        <v/>
      </c>
      <c r="Q187" s="273" t="str">
        <f>IFERROR(__xludf.DUMMYFUNCTION("""COMPUTED_VALUE"""),"329 The Four Emperors - Monkey D. Luffy")</f>
        <v>329 The Four Emperors - Monkey D. Luffy</v>
      </c>
      <c r="R187" s="273"/>
      <c r="S187" s="273"/>
      <c r="T187" s="273"/>
      <c r="U187" s="273"/>
      <c r="V187" s="273"/>
      <c r="W187" s="273"/>
      <c r="X187" s="273"/>
      <c r="Y187" s="273"/>
      <c r="Z187" s="273"/>
      <c r="AA187" s="273"/>
      <c r="AB187" s="273"/>
      <c r="AC187" s="273"/>
    </row>
    <row r="188" ht="75.0" customHeight="1">
      <c r="A188" s="272" t="s">
        <v>2539</v>
      </c>
      <c r="B188" s="273"/>
      <c r="C188" s="274" t="s">
        <v>2540</v>
      </c>
      <c r="D188" s="274" t="s">
        <v>2540</v>
      </c>
      <c r="E188" s="273"/>
      <c r="F188" s="275"/>
      <c r="G188" s="273" t="s">
        <v>2541</v>
      </c>
      <c r="H188" s="273" t="str">
        <f t="shared" si="1"/>
        <v>Egghead ~ Monkey D. Luffy</v>
      </c>
      <c r="I188" s="275"/>
      <c r="J188" s="274" t="s">
        <v>2542</v>
      </c>
      <c r="K188" s="273"/>
      <c r="L188" s="273"/>
      <c r="M188" s="273"/>
      <c r="N188" s="273" t="str">
        <f>IFERROR(__xludf.DUMMYFUNCTION("""COMPUTED_VALUE"""),"Kozuki Clan / Servant ~ Ashura Doji")</f>
        <v>Kozuki Clan / Servant ~ Ashura Doji</v>
      </c>
      <c r="O188" s="273">
        <f>IFERROR(__xludf.DUMMYFUNCTION("""COMPUTED_VALUE"""),156.0)</f>
        <v>156</v>
      </c>
      <c r="P188" s="275" t="str">
        <f t="shared" si="2"/>
        <v/>
      </c>
      <c r="Q188" s="273" t="str">
        <f>IFERROR(__xludf.DUMMYFUNCTION("""COMPUTED_VALUE"""),"287 Egghead - Monkey D. Luffy")</f>
        <v>287 Egghead - Monkey D. Luffy</v>
      </c>
      <c r="R188" s="273"/>
      <c r="S188" s="273"/>
      <c r="T188" s="273"/>
      <c r="U188" s="273"/>
      <c r="V188" s="273"/>
      <c r="W188" s="273"/>
      <c r="X188" s="273"/>
      <c r="Y188" s="273"/>
      <c r="Z188" s="273"/>
      <c r="AA188" s="273"/>
      <c r="AB188" s="273"/>
      <c r="AC188" s="273"/>
    </row>
    <row r="189" ht="75.0" customHeight="1">
      <c r="A189" s="272" t="s">
        <v>2543</v>
      </c>
      <c r="B189" s="273"/>
      <c r="C189" s="274" t="s">
        <v>2544</v>
      </c>
      <c r="D189" s="274" t="s">
        <v>2544</v>
      </c>
      <c r="E189" s="273"/>
      <c r="F189" s="275"/>
      <c r="G189" s="273" t="s">
        <v>2545</v>
      </c>
      <c r="H189" s="273" t="str">
        <f t="shared" si="1"/>
        <v>Gear Five ~ Monkey D. Luffy</v>
      </c>
      <c r="I189" s="275"/>
      <c r="J189" s="274" t="s">
        <v>2546</v>
      </c>
      <c r="K189" s="273"/>
      <c r="L189" s="273"/>
      <c r="M189" s="273"/>
      <c r="N189" s="273" t="str">
        <f>IFERROR(__xludf.DUMMYFUNCTION("""COMPUTED_VALUE"""),"Kyoshiro Family / Boss ~ Napping Kyoshiro")</f>
        <v>Kyoshiro Family / Boss ~ Napping Kyoshiro</v>
      </c>
      <c r="O189" s="273">
        <f>IFERROR(__xludf.DUMMYFUNCTION("""COMPUTED_VALUE"""),155.0)</f>
        <v>155</v>
      </c>
      <c r="P189" s="275" t="str">
        <f t="shared" si="2"/>
        <v/>
      </c>
      <c r="Q189" s="273" t="str">
        <f>IFERROR(__xludf.DUMMYFUNCTION("""COMPUTED_VALUE"""),"260 Gear Five - Monkey D. Luffy")</f>
        <v>260 Gear Five - Monkey D. Luffy</v>
      </c>
      <c r="R189" s="273"/>
      <c r="S189" s="273"/>
      <c r="T189" s="273"/>
      <c r="U189" s="273"/>
      <c r="V189" s="273"/>
      <c r="W189" s="273"/>
      <c r="X189" s="273"/>
      <c r="Y189" s="273"/>
      <c r="Z189" s="273"/>
      <c r="AA189" s="273"/>
      <c r="AB189" s="273"/>
      <c r="AC189" s="273"/>
    </row>
    <row r="190" ht="75.0" customHeight="1">
      <c r="A190" s="272" t="s">
        <v>2547</v>
      </c>
      <c r="B190" s="273"/>
      <c r="C190" s="274" t="s">
        <v>2548</v>
      </c>
      <c r="D190" s="274" t="s">
        <v>2548</v>
      </c>
      <c r="E190" s="273"/>
      <c r="F190" s="275"/>
      <c r="G190" s="273" t="s">
        <v>2549</v>
      </c>
      <c r="H190" s="273" t="str">
        <f t="shared" si="1"/>
        <v>Ray of Hope ~ Nightmare Luffy</v>
      </c>
      <c r="I190" s="275"/>
      <c r="J190" s="274" t="s">
        <v>2550</v>
      </c>
      <c r="K190" s="273"/>
      <c r="L190" s="273"/>
      <c r="M190" s="273"/>
      <c r="N190" s="273" t="str">
        <f>IFERROR(__xludf.DUMMYFUNCTION("""COMPUTED_VALUE"""),"King of the Pirates ~ Gol D. Roger")</f>
        <v>King of the Pirates ~ Gol D. Roger</v>
      </c>
      <c r="O190" s="273">
        <f>IFERROR(__xludf.DUMMYFUNCTION("""COMPUTED_VALUE"""),154.0)</f>
        <v>154</v>
      </c>
      <c r="P190" s="275" t="str">
        <f t="shared" si="2"/>
        <v/>
      </c>
      <c r="Q190" s="273" t="str">
        <f>IFERROR(__xludf.DUMMYFUNCTION("""COMPUTED_VALUE"""),"087 Ray of Hope - Nightmare Luffy")</f>
        <v>087 Ray of Hope - Nightmare Luffy</v>
      </c>
      <c r="R190" s="273"/>
      <c r="S190" s="273"/>
      <c r="T190" s="273"/>
      <c r="U190" s="273"/>
      <c r="V190" s="273"/>
      <c r="W190" s="273"/>
      <c r="X190" s="273"/>
      <c r="Y190" s="273"/>
      <c r="Z190" s="273"/>
      <c r="AA190" s="273"/>
      <c r="AB190" s="273"/>
      <c r="AC190" s="273"/>
    </row>
    <row r="191" ht="75.0" customHeight="1">
      <c r="A191" s="272" t="s">
        <v>2551</v>
      </c>
      <c r="B191" s="273"/>
      <c r="C191" s="274" t="s">
        <v>2552</v>
      </c>
      <c r="D191" s="274" t="s">
        <v>2552</v>
      </c>
      <c r="E191" s="273"/>
      <c r="F191" s="275"/>
      <c r="G191" s="273" t="s">
        <v>2553</v>
      </c>
      <c r="H191" s="273" t="str">
        <f t="shared" si="1"/>
        <v>30 Million Berry Bounty ~ Monkey D. Luffy</v>
      </c>
      <c r="I191" s="275"/>
      <c r="J191" s="274" t="s">
        <v>2554</v>
      </c>
      <c r="K191" s="273"/>
      <c r="L191" s="273"/>
      <c r="M191" s="273"/>
      <c r="N191" s="273" t="str">
        <f>IFERROR(__xludf.DUMMYFUNCTION("""COMPUTED_VALUE"""),"Land of Wano ~ Chopperemon")</f>
        <v>Land of Wano ~ Chopperemon</v>
      </c>
      <c r="O191" s="273">
        <f>IFERROR(__xludf.DUMMYFUNCTION("""COMPUTED_VALUE"""),153.0)</f>
        <v>153</v>
      </c>
      <c r="P191" s="275" t="str">
        <f t="shared" si="2"/>
        <v/>
      </c>
      <c r="Q191" s="273" t="str">
        <f>IFERROR(__xludf.DUMMYFUNCTION("""COMPUTED_VALUE"""),"040 30 Million Berry Bounty - Monkey D. Luffy")</f>
        <v>040 30 Million Berry Bounty - Monkey D. Luffy</v>
      </c>
      <c r="R191" s="273"/>
      <c r="S191" s="273"/>
      <c r="T191" s="273"/>
      <c r="U191" s="273"/>
      <c r="V191" s="273"/>
      <c r="W191" s="273"/>
      <c r="X191" s="273"/>
      <c r="Y191" s="273"/>
      <c r="Z191" s="273"/>
      <c r="AA191" s="273"/>
      <c r="AB191" s="273"/>
      <c r="AC191" s="273"/>
    </row>
    <row r="192" ht="75.0" customHeight="1">
      <c r="A192" s="272" t="s">
        <v>2555</v>
      </c>
      <c r="B192" s="273"/>
      <c r="C192" s="274" t="s">
        <v>2556</v>
      </c>
      <c r="D192" s="274" t="s">
        <v>2556</v>
      </c>
      <c r="E192" s="273"/>
      <c r="F192" s="275"/>
      <c r="G192" s="273" t="s">
        <v>2557</v>
      </c>
      <c r="H192" s="273" t="str">
        <f t="shared" si="1"/>
        <v>Straw Hat Pirates / Captain ~ Monkey D. Luffy</v>
      </c>
      <c r="I192" s="275"/>
      <c r="J192" s="274" t="s">
        <v>2558</v>
      </c>
      <c r="K192" s="273"/>
      <c r="L192" s="273"/>
      <c r="M192" s="273"/>
      <c r="N192" s="273" t="str">
        <f>IFERROR(__xludf.DUMMYFUNCTION("""COMPUTED_VALUE"""),"Kozuki Clan / Servant ~ Kawamatsu")</f>
        <v>Kozuki Clan / Servant ~ Kawamatsu</v>
      </c>
      <c r="O192" s="273">
        <f>IFERROR(__xludf.DUMMYFUNCTION("""COMPUTED_VALUE"""),152.0)</f>
        <v>152</v>
      </c>
      <c r="P192" s="275" t="str">
        <f t="shared" si="2"/>
        <v/>
      </c>
      <c r="Q192" s="273" t="str">
        <f>IFERROR(__xludf.DUMMYFUNCTION("""COMPUTED_VALUE"""),"001 Straw Hat Pirates / Captain - Monkey D. Luffy")</f>
        <v>001 Straw Hat Pirates / Captain - Monkey D. Luffy</v>
      </c>
      <c r="R192" s="273"/>
      <c r="S192" s="273"/>
      <c r="T192" s="273"/>
      <c r="U192" s="273"/>
      <c r="V192" s="273"/>
      <c r="W192" s="273"/>
      <c r="X192" s="273"/>
      <c r="Y192" s="273"/>
      <c r="Z192" s="273"/>
      <c r="AA192" s="273"/>
      <c r="AB192" s="273"/>
      <c r="AC192" s="273"/>
    </row>
    <row r="193" ht="75.0" customHeight="1">
      <c r="A193" s="272" t="s">
        <v>2559</v>
      </c>
      <c r="B193" s="273"/>
      <c r="C193" s="274" t="s">
        <v>2560</v>
      </c>
      <c r="D193" s="274" t="s">
        <v>2560</v>
      </c>
      <c r="E193" s="273"/>
      <c r="F193" s="275"/>
      <c r="G193" s="273" t="s">
        <v>2561</v>
      </c>
      <c r="H193" s="273" t="str">
        <f t="shared" si="1"/>
        <v>Gear Four / Snakeman ~ Monkey D. Luffy</v>
      </c>
      <c r="I193" s="275"/>
      <c r="J193" s="274" t="s">
        <v>2562</v>
      </c>
      <c r="K193" s="273"/>
      <c r="L193" s="273"/>
      <c r="M193" s="273"/>
      <c r="N193" s="273" t="str">
        <f>IFERROR(__xludf.DUMMYFUNCTION("""COMPUTED_VALUE"""),"Most Handsome Swordman in the Land of Wano ~ Kikunojo")</f>
        <v>Most Handsome Swordman in the Land of Wano ~ Kikunojo</v>
      </c>
      <c r="O193" s="273">
        <f>IFERROR(__xludf.DUMMYFUNCTION("""COMPUTED_VALUE"""),151.0)</f>
        <v>151</v>
      </c>
      <c r="P193" s="275" t="str">
        <f t="shared" si="2"/>
        <v/>
      </c>
      <c r="Q193" s="273" t="str">
        <f>IFERROR(__xludf.DUMMYFUNCTION("""COMPUTED_VALUE"""),"119 Gear Four / Snakeman - Monkey D. Luffy")</f>
        <v>119 Gear Four / Snakeman - Monkey D. Luffy</v>
      </c>
      <c r="R193" s="273"/>
      <c r="S193" s="273"/>
      <c r="T193" s="273"/>
      <c r="U193" s="273"/>
      <c r="V193" s="273"/>
      <c r="W193" s="273"/>
      <c r="X193" s="273"/>
      <c r="Y193" s="273"/>
      <c r="Z193" s="273"/>
      <c r="AA193" s="273"/>
      <c r="AB193" s="273"/>
      <c r="AC193" s="273"/>
    </row>
    <row r="194" ht="75.0" customHeight="1">
      <c r="A194" s="272" t="s">
        <v>2563</v>
      </c>
      <c r="B194" s="273"/>
      <c r="C194" s="274" t="s">
        <v>2564</v>
      </c>
      <c r="D194" s="274" t="s">
        <v>2564</v>
      </c>
      <c r="E194" s="273"/>
      <c r="F194" s="275"/>
      <c r="G194" s="273" t="s">
        <v>2565</v>
      </c>
      <c r="H194" s="273" t="str">
        <f t="shared" si="1"/>
        <v>STAMPEDE ~ Monkey D. Luffy</v>
      </c>
      <c r="I194" s="275"/>
      <c r="J194" s="274" t="s">
        <v>2566</v>
      </c>
      <c r="K194" s="273"/>
      <c r="L194" s="273"/>
      <c r="M194" s="273"/>
      <c r="N194" s="273" t="str">
        <f>IFERROR(__xludf.DUMMYFUNCTION("""COMPUTED_VALUE"""),"Daimyo of Kuri ~ Kozuki Oden")</f>
        <v>Daimyo of Kuri ~ Kozuki Oden</v>
      </c>
      <c r="O194" s="273">
        <f>IFERROR(__xludf.DUMMYFUNCTION("""COMPUTED_VALUE"""),150.0)</f>
        <v>150</v>
      </c>
      <c r="P194" s="275" t="str">
        <f t="shared" si="2"/>
        <v/>
      </c>
      <c r="Q194" s="273" t="str">
        <f>IFERROR(__xludf.DUMMYFUNCTION("""COMPUTED_VALUE"""),"078 STAMPEDE - Monkey D. Luffy")</f>
        <v>078 STAMPEDE - Monkey D. Luffy</v>
      </c>
      <c r="R194" s="273"/>
      <c r="S194" s="273"/>
      <c r="T194" s="273"/>
      <c r="U194" s="273"/>
      <c r="V194" s="273"/>
      <c r="W194" s="273"/>
      <c r="X194" s="273"/>
      <c r="Y194" s="273"/>
      <c r="Z194" s="273"/>
      <c r="AA194" s="273"/>
      <c r="AB194" s="273"/>
      <c r="AC194" s="273"/>
    </row>
    <row r="195" ht="75.0" customHeight="1">
      <c r="A195" s="272" t="s">
        <v>2567</v>
      </c>
      <c r="B195" s="273"/>
      <c r="C195" s="274" t="s">
        <v>2568</v>
      </c>
      <c r="D195" s="274" t="s">
        <v>2568</v>
      </c>
      <c r="E195" s="273"/>
      <c r="F195" s="275"/>
      <c r="G195" s="273" t="s">
        <v>2569</v>
      </c>
      <c r="H195" s="273" t="str">
        <f t="shared" si="1"/>
        <v>FILM RED ~ Monkey D. Luffy</v>
      </c>
      <c r="I195" s="275"/>
      <c r="J195" s="274" t="s">
        <v>2570</v>
      </c>
      <c r="K195" s="273"/>
      <c r="L195" s="273"/>
      <c r="M195" s="273"/>
      <c r="N195" s="273" t="str">
        <f>IFERROR(__xludf.DUMMYFUNCTION("""COMPUTED_VALUE"""),"Fire Fist ~ Portgaz D. Ace")</f>
        <v>Fire Fist ~ Portgaz D. Ace</v>
      </c>
      <c r="O195" s="273">
        <f>IFERROR(__xludf.DUMMYFUNCTION("""COMPUTED_VALUE"""),149.0)</f>
        <v>149</v>
      </c>
      <c r="P195" s="275" t="str">
        <f t="shared" si="2"/>
        <v/>
      </c>
      <c r="Q195" s="273" t="str">
        <f>IFERROR(__xludf.DUMMYFUNCTION("""COMPUTED_VALUE"""),"217 FILM RED - Monkey D. Luffy")</f>
        <v>217 FILM RED - Monkey D. Luffy</v>
      </c>
      <c r="R195" s="273"/>
      <c r="S195" s="273"/>
      <c r="T195" s="273"/>
      <c r="U195" s="273"/>
      <c r="V195" s="273"/>
      <c r="W195" s="273"/>
      <c r="X195" s="273"/>
      <c r="Y195" s="273"/>
      <c r="Z195" s="273"/>
      <c r="AA195" s="273"/>
      <c r="AB195" s="273"/>
      <c r="AC195" s="273"/>
    </row>
    <row r="196" ht="75.0" customHeight="1">
      <c r="A196" s="272" t="s">
        <v>2571</v>
      </c>
      <c r="B196" s="273"/>
      <c r="C196" s="274" t="s">
        <v>2572</v>
      </c>
      <c r="D196" s="274" t="s">
        <v>2572</v>
      </c>
      <c r="E196" s="273"/>
      <c r="F196" s="275"/>
      <c r="G196" s="273" t="s">
        <v>2573</v>
      </c>
      <c r="H196" s="273" t="str">
        <f t="shared" si="1"/>
        <v>Man Who Dreams of Becoming the King of the Pirates ~ Monkey D. Luffy</v>
      </c>
      <c r="I196" s="275"/>
      <c r="J196" s="274" t="s">
        <v>2574</v>
      </c>
      <c r="K196" s="273"/>
      <c r="L196" s="273"/>
      <c r="M196" s="273"/>
      <c r="N196" s="273" t="str">
        <f>IFERROR(__xludf.DUMMYFUNCTION("""COMPUTED_VALUE"""),"Royal Wedding ~ Sanji")</f>
        <v>Royal Wedding ~ Sanji</v>
      </c>
      <c r="O196" s="273">
        <f>IFERROR(__xludf.DUMMYFUNCTION("""COMPUTED_VALUE"""),148.0)</f>
        <v>148</v>
      </c>
      <c r="P196" s="275" t="str">
        <f t="shared" si="2"/>
        <v/>
      </c>
      <c r="Q196" s="273" t="str">
        <f>IFERROR(__xludf.DUMMYFUNCTION("""COMPUTED_VALUE"""),"198 Man Who Dreams of Becoming the King of the Pirates - Monkey D. Luffy")</f>
        <v>198 Man Who Dreams of Becoming the King of the Pirates - Monkey D. Luffy</v>
      </c>
      <c r="R196" s="273"/>
      <c r="S196" s="273"/>
      <c r="T196" s="273"/>
      <c r="U196" s="273"/>
      <c r="V196" s="273"/>
      <c r="W196" s="273"/>
      <c r="X196" s="273"/>
      <c r="Y196" s="273"/>
      <c r="Z196" s="273"/>
      <c r="AA196" s="273"/>
      <c r="AB196" s="273"/>
      <c r="AC196" s="273"/>
    </row>
    <row r="197" ht="75.0" customHeight="1">
      <c r="A197" s="272" t="s">
        <v>2575</v>
      </c>
      <c r="B197" s="273"/>
      <c r="C197" s="274" t="s">
        <v>2576</v>
      </c>
      <c r="D197" s="274" t="s">
        <v>2576</v>
      </c>
      <c r="E197" s="273"/>
      <c r="F197" s="275"/>
      <c r="G197" s="273" t="s">
        <v>2577</v>
      </c>
      <c r="H197" s="273" t="str">
        <f t="shared" si="1"/>
        <v>The Parmount War ~ Monkey D. Luffy</v>
      </c>
      <c r="I197" s="275"/>
      <c r="J197" s="274" t="s">
        <v>2578</v>
      </c>
      <c r="K197" s="273"/>
      <c r="L197" s="273"/>
      <c r="M197" s="273"/>
      <c r="N197" s="273" t="str">
        <f>IFERROR(__xludf.DUMMYFUNCTION("""COMPUTED_VALUE"""),"The Billion-Fold World Trichiliocosm ~ Roronoa Zoro")</f>
        <v>The Billion-Fold World Trichiliocosm ~ Roronoa Zoro</v>
      </c>
      <c r="O197" s="273">
        <f>IFERROR(__xludf.DUMMYFUNCTION("""COMPUTED_VALUE"""),147.0)</f>
        <v>147</v>
      </c>
      <c r="P197" s="275" t="str">
        <f t="shared" si="2"/>
        <v/>
      </c>
      <c r="Q197" s="273" t="str">
        <f>IFERROR(__xludf.DUMMYFUNCTION("""COMPUTED_VALUE"""),"105 The Parmount War - Monkey D. Luffy 1")</f>
        <v>105 The Parmount War - Monkey D. Luffy 1</v>
      </c>
      <c r="R197" s="273"/>
      <c r="S197" s="273"/>
      <c r="T197" s="273"/>
      <c r="U197" s="273"/>
      <c r="V197" s="273"/>
      <c r="W197" s="273"/>
      <c r="X197" s="273"/>
      <c r="Y197" s="273"/>
      <c r="Z197" s="273"/>
      <c r="AA197" s="273"/>
      <c r="AB197" s="273"/>
      <c r="AC197" s="273"/>
    </row>
    <row r="198" ht="75.0" customHeight="1">
      <c r="A198" s="272" t="s">
        <v>2579</v>
      </c>
      <c r="B198" s="273"/>
      <c r="C198" s="274" t="s">
        <v>2576</v>
      </c>
      <c r="D198" s="274" t="s">
        <v>2576</v>
      </c>
      <c r="E198" s="273"/>
      <c r="F198" s="275"/>
      <c r="G198" s="273" t="s">
        <v>2577</v>
      </c>
      <c r="H198" s="273" t="str">
        <f t="shared" si="1"/>
        <v>The Parmount War ~ Monkey D. Luffy</v>
      </c>
      <c r="I198" s="275"/>
      <c r="J198" s="274" t="s">
        <v>2580</v>
      </c>
      <c r="K198" s="273"/>
      <c r="L198" s="273"/>
      <c r="M198" s="273"/>
      <c r="N198" s="273" t="str">
        <f>IFERROR(__xludf.DUMMYFUNCTION("""COMPUTED_VALUE"""),"Luffy &amp; Law Pirate Alliance ~ Monkey D. Luffy")</f>
        <v>Luffy &amp; Law Pirate Alliance ~ Monkey D. Luffy</v>
      </c>
      <c r="O198" s="273">
        <f>IFERROR(__xludf.DUMMYFUNCTION("""COMPUTED_VALUE"""),146.0)</f>
        <v>146</v>
      </c>
      <c r="P198" s="275" t="str">
        <f t="shared" si="2"/>
        <v/>
      </c>
      <c r="Q198" s="273" t="str">
        <f>IFERROR(__xludf.DUMMYFUNCTION("""COMPUTED_VALUE"""),"105 The Parmount War - Monkey D. Luffy 2")</f>
        <v>105 The Parmount War - Monkey D. Luffy 2</v>
      </c>
      <c r="R198" s="273"/>
      <c r="S198" s="273"/>
      <c r="T198" s="273"/>
      <c r="U198" s="273"/>
      <c r="V198" s="273"/>
      <c r="W198" s="273"/>
      <c r="X198" s="273"/>
      <c r="Y198" s="273"/>
      <c r="Z198" s="273"/>
      <c r="AA198" s="273"/>
      <c r="AB198" s="273"/>
      <c r="AC198" s="273"/>
    </row>
    <row r="199" ht="75.0" customHeight="1">
      <c r="A199" s="272" t="s">
        <v>2581</v>
      </c>
      <c r="B199" s="273"/>
      <c r="C199" s="274" t="s">
        <v>2582</v>
      </c>
      <c r="D199" s="274" t="s">
        <v>2582</v>
      </c>
      <c r="E199" s="273"/>
      <c r="F199" s="275"/>
      <c r="G199" s="273" t="s">
        <v>2583</v>
      </c>
      <c r="H199" s="273" t="str">
        <f t="shared" si="1"/>
        <v>Land of Wano ~ Luffytaro</v>
      </c>
      <c r="I199" s="275"/>
      <c r="J199" s="274" t="s">
        <v>2584</v>
      </c>
      <c r="K199" s="273"/>
      <c r="L199" s="273"/>
      <c r="M199" s="273"/>
      <c r="N199" s="273" t="str">
        <f>IFERROR(__xludf.DUMMYFUNCTION("""COMPUTED_VALUE"""),"Kozuki Clan / Servant ~ Kin'emon")</f>
        <v>Kozuki Clan / Servant ~ Kin'emon</v>
      </c>
      <c r="O199" s="273">
        <f>IFERROR(__xludf.DUMMYFUNCTION("""COMPUTED_VALUE"""),145.0)</f>
        <v>145</v>
      </c>
      <c r="P199" s="275" t="str">
        <f t="shared" si="2"/>
        <v/>
      </c>
      <c r="Q199" s="273" t="str">
        <f>IFERROR(__xludf.DUMMYFUNCTION("""COMPUTED_VALUE"""),"128 Land of Wano - Luffytaro")</f>
        <v>128 Land of Wano - Luffytaro</v>
      </c>
      <c r="R199" s="273"/>
      <c r="S199" s="273"/>
      <c r="T199" s="273"/>
      <c r="U199" s="273"/>
      <c r="V199" s="273"/>
      <c r="W199" s="273"/>
      <c r="X199" s="273"/>
      <c r="Y199" s="273"/>
      <c r="Z199" s="273"/>
      <c r="AA199" s="273"/>
      <c r="AB199" s="273"/>
      <c r="AC199" s="273"/>
    </row>
    <row r="200" ht="75.0" customHeight="1">
      <c r="A200" s="272" t="s">
        <v>2585</v>
      </c>
      <c r="B200" s="273"/>
      <c r="C200" s="274" t="s">
        <v>2586</v>
      </c>
      <c r="D200" s="274" t="s">
        <v>2586</v>
      </c>
      <c r="E200" s="273"/>
      <c r="F200" s="275"/>
      <c r="G200" s="273" t="s">
        <v>2587</v>
      </c>
      <c r="H200" s="273" t="str">
        <f t="shared" si="1"/>
        <v>Impel Down / Warden ~ Magellan</v>
      </c>
      <c r="I200" s="275"/>
      <c r="J200" s="274" t="s">
        <v>2588</v>
      </c>
      <c r="K200" s="273"/>
      <c r="L200" s="273"/>
      <c r="M200" s="273"/>
      <c r="N200" s="273" t="str">
        <f>IFERROR(__xludf.DUMMYFUNCTION("""COMPUTED_VALUE"""),"Former Navy Admiral ~ Kuzan")</f>
        <v>Former Navy Admiral ~ Kuzan</v>
      </c>
      <c r="O200" s="273">
        <f>IFERROR(__xludf.DUMMYFUNCTION("""COMPUTED_VALUE"""),144.0)</f>
        <v>144</v>
      </c>
      <c r="P200" s="275" t="str">
        <f t="shared" si="2"/>
        <v/>
      </c>
      <c r="Q200" s="273" t="str">
        <f>IFERROR(__xludf.DUMMYFUNCTION("""COMPUTED_VALUE"""),"117 Impel Down / Warden - Magellan")</f>
        <v>117 Impel Down / Warden - Magellan</v>
      </c>
      <c r="R200" s="273"/>
      <c r="S200" s="273"/>
      <c r="T200" s="273"/>
      <c r="U200" s="273"/>
      <c r="V200" s="273"/>
      <c r="W200" s="273"/>
      <c r="X200" s="273"/>
      <c r="Y200" s="273"/>
      <c r="Z200" s="273"/>
      <c r="AA200" s="273"/>
      <c r="AB200" s="273"/>
      <c r="AC200" s="273"/>
    </row>
    <row r="201" ht="75.0" customHeight="1">
      <c r="A201" s="272" t="s">
        <v>2589</v>
      </c>
      <c r="B201" s="273"/>
      <c r="C201" s="274" t="s">
        <v>2590</v>
      </c>
      <c r="D201" s="274" t="s">
        <v>2590</v>
      </c>
      <c r="E201" s="273"/>
      <c r="F201" s="275"/>
      <c r="G201" s="273" t="s">
        <v>2591</v>
      </c>
      <c r="H201" s="273" t="str">
        <f t="shared" si="1"/>
        <v>Land of Wano ~ Marco</v>
      </c>
      <c r="I201" s="275"/>
      <c r="J201" s="274" t="s">
        <v>2592</v>
      </c>
      <c r="K201" s="273"/>
      <c r="L201" s="273"/>
      <c r="M201" s="273"/>
      <c r="N201" s="273" t="str">
        <f>IFERROR(__xludf.DUMMYFUNCTION("""COMPUTED_VALUE"""),"Punk Hazard ~ Smoker (Chambres)")</f>
        <v>Punk Hazard ~ Smoker (Chambres)</v>
      </c>
      <c r="O201" s="273">
        <f>IFERROR(__xludf.DUMMYFUNCTION("""COMPUTED_VALUE"""),143.0)</f>
        <v>143</v>
      </c>
      <c r="P201" s="275" t="str">
        <f t="shared" si="2"/>
        <v/>
      </c>
      <c r="Q201" s="273" t="str">
        <f>IFERROR(__xludf.DUMMYFUNCTION("""COMPUTED_VALUE"""),"211 Land of Wano - Marco")</f>
        <v>211 Land of Wano - Marco</v>
      </c>
      <c r="R201" s="273"/>
      <c r="S201" s="273"/>
      <c r="T201" s="273"/>
      <c r="U201" s="273"/>
      <c r="V201" s="273"/>
      <c r="W201" s="273"/>
      <c r="X201" s="273"/>
      <c r="Y201" s="273"/>
      <c r="Z201" s="273"/>
      <c r="AA201" s="273"/>
      <c r="AB201" s="273"/>
      <c r="AC201" s="273"/>
    </row>
    <row r="202" ht="75.0" customHeight="1">
      <c r="A202" s="272" t="s">
        <v>2593</v>
      </c>
      <c r="B202" s="273"/>
      <c r="C202" s="274" t="s">
        <v>2594</v>
      </c>
      <c r="D202" s="274" t="s">
        <v>2594</v>
      </c>
      <c r="E202" s="273"/>
      <c r="F202" s="275"/>
      <c r="G202" s="273" t="s">
        <v>2595</v>
      </c>
      <c r="H202" s="273" t="str">
        <f t="shared" si="1"/>
        <v>Whitebeard Pirates / 1st Division Commander ~ Marco</v>
      </c>
      <c r="I202" s="275"/>
      <c r="J202" s="274" t="s">
        <v>2596</v>
      </c>
      <c r="K202" s="273"/>
      <c r="L202" s="273"/>
      <c r="M202" s="273"/>
      <c r="N202" s="273" t="str">
        <f>IFERROR(__xludf.DUMMYFUNCTION("""COMPUTED_VALUE"""),"The Parmount War ~ Gecko Moria")</f>
        <v>The Parmount War ~ Gecko Moria</v>
      </c>
      <c r="O202" s="273">
        <f>IFERROR(__xludf.DUMMYFUNCTION("""COMPUTED_VALUE"""),142.0)</f>
        <v>142</v>
      </c>
      <c r="P202" s="275" t="str">
        <f t="shared" si="2"/>
        <v/>
      </c>
      <c r="Q202" s="273" t="str">
        <f>IFERROR(__xludf.DUMMYFUNCTION("""COMPUTED_VALUE"""),"101 Whitebeard Pirates / 1st Division Commander - Marco")</f>
        <v>101 Whitebeard Pirates / 1st Division Commander - Marco</v>
      </c>
      <c r="R202" s="273"/>
      <c r="S202" s="273"/>
      <c r="T202" s="273"/>
      <c r="U202" s="273"/>
      <c r="V202" s="273"/>
      <c r="W202" s="273"/>
      <c r="X202" s="273"/>
      <c r="Y202" s="273"/>
      <c r="Z202" s="273"/>
      <c r="AA202" s="273"/>
      <c r="AB202" s="273"/>
      <c r="AC202" s="273"/>
    </row>
    <row r="203" ht="75.0" customHeight="1">
      <c r="A203" s="272" t="s">
        <v>2597</v>
      </c>
      <c r="B203" s="273"/>
      <c r="C203" s="274" t="s">
        <v>2598</v>
      </c>
      <c r="D203" s="274" t="s">
        <v>2598</v>
      </c>
      <c r="E203" s="273"/>
      <c r="F203" s="275"/>
      <c r="G203" s="273" t="s">
        <v>2599</v>
      </c>
      <c r="H203" s="273" t="str">
        <f t="shared" si="1"/>
        <v>The Seven Warlords of the Sea ~ Dracule Mihawk</v>
      </c>
      <c r="I203" s="275"/>
      <c r="J203" s="274" t="s">
        <v>2600</v>
      </c>
      <c r="K203" s="273"/>
      <c r="L203" s="273"/>
      <c r="M203" s="273"/>
      <c r="N203" s="273" t="str">
        <f>IFERROR(__xludf.DUMMYFUNCTION("""COMPUTED_VALUE"""),"The Parmount War ~ Crocodile")</f>
        <v>The Parmount War ~ Crocodile</v>
      </c>
      <c r="O203" s="273">
        <f>IFERROR(__xludf.DUMMYFUNCTION("""COMPUTED_VALUE"""),141.0)</f>
        <v>141</v>
      </c>
      <c r="P203" s="275" t="str">
        <f t="shared" si="2"/>
        <v/>
      </c>
      <c r="Q203" s="273" t="str">
        <f>IFERROR(__xludf.DUMMYFUNCTION("""COMPUTED_VALUE"""),"038 The Seven Warlords of the Sea - Dracule Mihawk")</f>
        <v>038 The Seven Warlords of the Sea - Dracule Mihawk</v>
      </c>
      <c r="R203" s="273"/>
      <c r="S203" s="273"/>
      <c r="T203" s="273"/>
      <c r="U203" s="273"/>
      <c r="V203" s="273"/>
      <c r="W203" s="273"/>
      <c r="X203" s="273"/>
      <c r="Y203" s="273"/>
      <c r="Z203" s="273"/>
      <c r="AA203" s="273"/>
      <c r="AB203" s="273"/>
      <c r="AC203" s="273"/>
    </row>
    <row r="204" ht="75.0" customHeight="1">
      <c r="A204" s="272" t="s">
        <v>2601</v>
      </c>
      <c r="B204" s="273"/>
      <c r="C204" s="274" t="s">
        <v>2602</v>
      </c>
      <c r="D204" s="274" t="s">
        <v>2602</v>
      </c>
      <c r="E204" s="273"/>
      <c r="F204" s="275"/>
      <c r="G204" s="273" t="s">
        <v>2603</v>
      </c>
      <c r="H204" s="273" t="str">
        <f t="shared" si="1"/>
        <v>The Greatest Swordman in the World ~ Dracule Mihawk</v>
      </c>
      <c r="I204" s="275"/>
      <c r="J204" s="274" t="s">
        <v>2604</v>
      </c>
      <c r="K204" s="273"/>
      <c r="L204" s="273"/>
      <c r="M204" s="273"/>
      <c r="N204" s="273" t="str">
        <f>IFERROR(__xludf.DUMMYFUNCTION("""COMPUTED_VALUE"""),"Ghost Princess ~ Perona")</f>
        <v>Ghost Princess ~ Perona</v>
      </c>
      <c r="O204" s="273">
        <f>IFERROR(__xludf.DUMMYFUNCTION("""COMPUTED_VALUE"""),140.0)</f>
        <v>140</v>
      </c>
      <c r="P204" s="275" t="str">
        <f t="shared" si="2"/>
        <v/>
      </c>
      <c r="Q204" s="273" t="str">
        <f>IFERROR(__xludf.DUMMYFUNCTION("""COMPUTED_VALUE"""),"138 The Greatest Swordman in the World - Dracule Mihawk")</f>
        <v>138 The Greatest Swordman in the World - Dracule Mihawk</v>
      </c>
      <c r="R204" s="273"/>
      <c r="S204" s="273"/>
      <c r="T204" s="273"/>
      <c r="U204" s="273"/>
      <c r="V204" s="273"/>
      <c r="W204" s="273"/>
      <c r="X204" s="273"/>
      <c r="Y204" s="273"/>
      <c r="Z204" s="273"/>
      <c r="AA204" s="273"/>
      <c r="AB204" s="273"/>
      <c r="AC204" s="273"/>
    </row>
    <row r="205" ht="75.0" customHeight="1">
      <c r="A205" s="272" t="s">
        <v>2605</v>
      </c>
      <c r="B205" s="273"/>
      <c r="C205" s="274" t="s">
        <v>2606</v>
      </c>
      <c r="D205" s="274" t="s">
        <v>2606</v>
      </c>
      <c r="E205" s="273"/>
      <c r="F205" s="275"/>
      <c r="G205" s="273" t="s">
        <v>2607</v>
      </c>
      <c r="H205" s="273" t="str">
        <f t="shared" si="1"/>
        <v>Shogun of Wano ~ Kozuki Momonosuke</v>
      </c>
      <c r="I205" s="275"/>
      <c r="J205" s="274" t="s">
        <v>2608</v>
      </c>
      <c r="K205" s="273"/>
      <c r="L205" s="273"/>
      <c r="M205" s="273"/>
      <c r="N205" s="273" t="str">
        <f>IFERROR(__xludf.DUMMYFUNCTION("""COMPUTED_VALUE"""),"Kuja Pirates / Captain ~ Boa Hancock")</f>
        <v>Kuja Pirates / Captain ~ Boa Hancock</v>
      </c>
      <c r="O205" s="273">
        <f>IFERROR(__xludf.DUMMYFUNCTION("""COMPUTED_VALUE"""),139.0)</f>
        <v>139</v>
      </c>
      <c r="P205" s="275" t="str">
        <f t="shared" si="2"/>
        <v/>
      </c>
      <c r="Q205" s="273" t="str">
        <f>IFERROR(__xludf.DUMMYFUNCTION("""COMPUTED_VALUE"""),"274 Shogun of Wano - Kozuki Momonosuke")</f>
        <v>274 Shogun of Wano - Kozuki Momonosuke</v>
      </c>
      <c r="R205" s="273"/>
      <c r="S205" s="273"/>
      <c r="T205" s="273"/>
      <c r="U205" s="273"/>
      <c r="V205" s="273"/>
      <c r="W205" s="273"/>
      <c r="X205" s="273"/>
      <c r="Y205" s="273"/>
      <c r="Z205" s="273"/>
      <c r="AA205" s="273"/>
      <c r="AB205" s="273"/>
      <c r="AC205" s="273"/>
    </row>
    <row r="206" ht="75.0" customHeight="1">
      <c r="A206" s="272" t="s">
        <v>2609</v>
      </c>
      <c r="B206" s="273"/>
      <c r="C206" s="274" t="s">
        <v>2610</v>
      </c>
      <c r="D206" s="274" t="s">
        <v>2610</v>
      </c>
      <c r="E206" s="273"/>
      <c r="F206" s="275"/>
      <c r="G206" s="273" t="s">
        <v>2611</v>
      </c>
      <c r="H206" s="273" t="str">
        <f t="shared" si="1"/>
        <v>Don Quixote Pirates / Officer ~ Monet</v>
      </c>
      <c r="I206" s="275"/>
      <c r="J206" s="274" t="s">
        <v>2612</v>
      </c>
      <c r="K206" s="273"/>
      <c r="L206" s="273"/>
      <c r="M206" s="273"/>
      <c r="N206" s="273" t="str">
        <f>IFERROR(__xludf.DUMMYFUNCTION("""COMPUTED_VALUE"""),"The Greatest Swordman in the World ~ Dracule Mihawk")</f>
        <v>The Greatest Swordman in the World ~ Dracule Mihawk</v>
      </c>
      <c r="O206" s="273">
        <f>IFERROR(__xludf.DUMMYFUNCTION("""COMPUTED_VALUE"""),138.0)</f>
        <v>138</v>
      </c>
      <c r="P206" s="275" t="str">
        <f t="shared" si="2"/>
        <v/>
      </c>
      <c r="Q206" s="273" t="str">
        <f>IFERROR(__xludf.DUMMYFUNCTION("""COMPUTED_VALUE"""),"186 Don Quixote Pirates / Officer - Monet")</f>
        <v>186 Don Quixote Pirates / Officer - Monet</v>
      </c>
      <c r="R206" s="273"/>
      <c r="S206" s="273"/>
      <c r="T206" s="273"/>
      <c r="U206" s="273"/>
      <c r="V206" s="273"/>
      <c r="W206" s="273"/>
      <c r="X206" s="273"/>
      <c r="Y206" s="273"/>
      <c r="Z206" s="273"/>
      <c r="AA206" s="273"/>
      <c r="AB206" s="273"/>
      <c r="AC206" s="273"/>
    </row>
    <row r="207" ht="75.0" customHeight="1">
      <c r="A207" s="272" t="s">
        <v>2613</v>
      </c>
      <c r="B207" s="273"/>
      <c r="C207" s="274" t="s">
        <v>2614</v>
      </c>
      <c r="D207" s="274" t="s">
        <v>2614</v>
      </c>
      <c r="E207" s="273"/>
      <c r="F207" s="275"/>
      <c r="G207" s="273" t="s">
        <v>2615</v>
      </c>
      <c r="H207" s="273" t="str">
        <f t="shared" si="1"/>
        <v>Navy Captain ~ Morgan</v>
      </c>
      <c r="I207" s="275"/>
      <c r="J207" s="274" t="s">
        <v>2616</v>
      </c>
      <c r="K207" s="273"/>
      <c r="L207" s="273"/>
      <c r="M207" s="273"/>
      <c r="N207" s="273" t="str">
        <f>IFERROR(__xludf.DUMMYFUNCTION("""COMPUTED_VALUE"""),"Former World Government / Science Division Member ~ Caesar Clown")</f>
        <v>Former World Government / Science Division Member ~ Caesar Clown</v>
      </c>
      <c r="O207" s="273">
        <f>IFERROR(__xludf.DUMMYFUNCTION("""COMPUTED_VALUE"""),137.0)</f>
        <v>137</v>
      </c>
      <c r="P207" s="275" t="str">
        <f t="shared" si="2"/>
        <v/>
      </c>
      <c r="Q207" s="273" t="str">
        <f>IFERROR(__xludf.DUMMYFUNCTION("""COMPUTED_VALUE"""),"014 Navy Captain - Morgan")</f>
        <v>014 Navy Captain - Morgan</v>
      </c>
      <c r="R207" s="273"/>
      <c r="S207" s="273"/>
      <c r="T207" s="273"/>
      <c r="U207" s="273"/>
      <c r="V207" s="273"/>
      <c r="W207" s="273"/>
      <c r="X207" s="273"/>
      <c r="Y207" s="273"/>
      <c r="Z207" s="273"/>
      <c r="AA207" s="273"/>
      <c r="AB207" s="273"/>
      <c r="AC207" s="273"/>
    </row>
    <row r="208" ht="75.0" customHeight="1">
      <c r="A208" s="272" t="s">
        <v>2617</v>
      </c>
      <c r="B208" s="273"/>
      <c r="C208" s="274" t="s">
        <v>2618</v>
      </c>
      <c r="D208" s="274" t="s">
        <v>2618</v>
      </c>
      <c r="E208" s="273"/>
      <c r="F208" s="275"/>
      <c r="G208" s="273" t="s">
        <v>2619</v>
      </c>
      <c r="H208" s="273" t="str">
        <f t="shared" si="1"/>
        <v>Impel Down / Prisoner ~ Bon Clay, aka Mr. 2</v>
      </c>
      <c r="I208" s="275"/>
      <c r="J208" s="274" t="s">
        <v>2620</v>
      </c>
      <c r="K208" s="273"/>
      <c r="L208" s="273"/>
      <c r="M208" s="273"/>
      <c r="N208" s="273" t="str">
        <f>IFERROR(__xludf.DUMMYFUNCTION("""COMPUTED_VALUE"""),"The Seven Warlords of the Sea ~ Buggy")</f>
        <v>The Seven Warlords of the Sea ~ Buggy</v>
      </c>
      <c r="O208" s="273">
        <f>IFERROR(__xludf.DUMMYFUNCTION("""COMPUTED_VALUE"""),136.0)</f>
        <v>136</v>
      </c>
      <c r="P208" s="275" t="str">
        <f t="shared" si="2"/>
        <v/>
      </c>
      <c r="Q208" s="273" t="str">
        <f>IFERROR(__xludf.DUMMYFUNCTION("""COMPUTED_VALUE"""),"169 Impel Down / Prisoner - Bon Clay, aka Mr. 2")</f>
        <v>169 Impel Down / Prisoner - Bon Clay, aka Mr. 2</v>
      </c>
      <c r="R208" s="273"/>
      <c r="S208" s="273"/>
      <c r="T208" s="273"/>
      <c r="U208" s="273"/>
      <c r="V208" s="273"/>
      <c r="W208" s="273"/>
      <c r="X208" s="273"/>
      <c r="Y208" s="273"/>
      <c r="Z208" s="273"/>
      <c r="AA208" s="273"/>
      <c r="AB208" s="273"/>
      <c r="AC208" s="273"/>
    </row>
    <row r="209" ht="75.0" customHeight="1">
      <c r="A209" s="272" t="s">
        <v>2621</v>
      </c>
      <c r="B209" s="273"/>
      <c r="C209" s="274" t="s">
        <v>2622</v>
      </c>
      <c r="D209" s="274" t="s">
        <v>2622</v>
      </c>
      <c r="E209" s="273"/>
      <c r="F209" s="275"/>
      <c r="G209" s="273" t="s">
        <v>2623</v>
      </c>
      <c r="H209" s="273" t="str">
        <f t="shared" si="1"/>
        <v>Baroque Works / Officer Agent ~ Bon Clay, aka Mr. 2</v>
      </c>
      <c r="I209" s="275"/>
      <c r="J209" s="274" t="s">
        <v>2624</v>
      </c>
      <c r="K209" s="273"/>
      <c r="L209" s="273"/>
      <c r="M209" s="273"/>
      <c r="N209" s="273" t="str">
        <f>IFERROR(__xludf.DUMMYFUNCTION("""COMPUTED_VALUE"""),"Superhuman ~ Charlotte Katakuri")</f>
        <v>Superhuman ~ Charlotte Katakuri</v>
      </c>
      <c r="O209" s="273">
        <f>IFERROR(__xludf.DUMMYFUNCTION("""COMPUTED_VALUE"""),135.0)</f>
        <v>135</v>
      </c>
      <c r="P209" s="275" t="str">
        <f t="shared" si="2"/>
        <v/>
      </c>
      <c r="Q209" s="273" t="str">
        <f>IFERROR(__xludf.DUMMYFUNCTION("""COMPUTED_VALUE"""),"051 Baroque Works / Officer Agent - Bon Clay, aka Mr. 2")</f>
        <v>051 Baroque Works / Officer Agent - Bon Clay, aka Mr. 2</v>
      </c>
      <c r="R209" s="273"/>
      <c r="S209" s="273"/>
      <c r="T209" s="273"/>
      <c r="U209" s="273"/>
      <c r="V209" s="273"/>
      <c r="W209" s="273"/>
      <c r="X209" s="273"/>
      <c r="Y209" s="273"/>
      <c r="Z209" s="273"/>
      <c r="AA209" s="273"/>
      <c r="AB209" s="273"/>
      <c r="AC209" s="273"/>
    </row>
    <row r="210" ht="75.0" customHeight="1">
      <c r="A210" s="272" t="s">
        <v>2625</v>
      </c>
      <c r="B210" s="273"/>
      <c r="C210" s="274" t="s">
        <v>2626</v>
      </c>
      <c r="D210" s="274" t="s">
        <v>2626</v>
      </c>
      <c r="E210" s="273"/>
      <c r="F210" s="275"/>
      <c r="G210" s="273" t="s">
        <v>2627</v>
      </c>
      <c r="H210" s="273" t="str">
        <f t="shared" si="1"/>
        <v>Baroque Works / Officer Agent ~ Mr. 3</v>
      </c>
      <c r="I210" s="275"/>
      <c r="J210" s="274" t="s">
        <v>2628</v>
      </c>
      <c r="K210" s="273"/>
      <c r="L210" s="273"/>
      <c r="M210" s="273"/>
      <c r="N210" s="273" t="str">
        <f>IFERROR(__xludf.DUMMYFUNCTION("""COMPUTED_VALUE"""),"Hunger Pangs ~ Charlotte Linlin")</f>
        <v>Hunger Pangs ~ Charlotte Linlin</v>
      </c>
      <c r="O210" s="273">
        <f>IFERROR(__xludf.DUMMYFUNCTION("""COMPUTED_VALUE"""),134.0)</f>
        <v>134</v>
      </c>
      <c r="P210" s="275" t="str">
        <f t="shared" si="2"/>
        <v/>
      </c>
      <c r="Q210" s="273" t="str">
        <f>IFERROR(__xludf.DUMMYFUNCTION("""COMPUTED_VALUE"""),"172 Baroque Works / Officer Agent - Mr. 3")</f>
        <v>172 Baroque Works / Officer Agent - Mr. 3</v>
      </c>
      <c r="R210" s="273"/>
      <c r="S210" s="273"/>
      <c r="T210" s="273"/>
      <c r="U210" s="273"/>
      <c r="V210" s="273"/>
      <c r="W210" s="273"/>
      <c r="X210" s="273"/>
      <c r="Y210" s="273"/>
      <c r="Z210" s="273"/>
      <c r="AA210" s="273"/>
      <c r="AB210" s="273"/>
      <c r="AC210" s="273"/>
    </row>
    <row r="211" ht="75.0" customHeight="1">
      <c r="A211" s="272" t="s">
        <v>2629</v>
      </c>
      <c r="B211" s="273"/>
      <c r="C211" s="274" t="s">
        <v>2630</v>
      </c>
      <c r="D211" s="274" t="s">
        <v>2630</v>
      </c>
      <c r="E211" s="273"/>
      <c r="F211" s="275"/>
      <c r="G211" s="273" t="s">
        <v>2631</v>
      </c>
      <c r="H211" s="273" t="str">
        <f t="shared" si="1"/>
        <v>2 Years Later / Navigator ~ Nami</v>
      </c>
      <c r="I211" s="275"/>
      <c r="J211" s="274" t="s">
        <v>2632</v>
      </c>
      <c r="K211" s="273"/>
      <c r="L211" s="273"/>
      <c r="M211" s="273"/>
      <c r="N211" s="273" t="str">
        <f>IFERROR(__xludf.DUMMYFUNCTION("""COMPUTED_VALUE"""),"Don Quixote Family / Officer ~ Corazon")</f>
        <v>Don Quixote Family / Officer ~ Corazon</v>
      </c>
      <c r="O211" s="273">
        <f>IFERROR(__xludf.DUMMYFUNCTION("""COMPUTED_VALUE"""),133.0)</f>
        <v>133</v>
      </c>
      <c r="P211" s="275" t="str">
        <f t="shared" si="2"/>
        <v/>
      </c>
      <c r="Q211" s="273" t="str">
        <f>IFERROR(__xludf.DUMMYFUNCTION("""COMPUTED_VALUE"""),"063 2 Years Later / Navigator - Nami")</f>
        <v>063 2 Years Later / Navigator - Nami</v>
      </c>
      <c r="R211" s="273"/>
      <c r="S211" s="273"/>
      <c r="T211" s="273"/>
      <c r="U211" s="273"/>
      <c r="V211" s="273"/>
      <c r="W211" s="273"/>
      <c r="X211" s="273"/>
      <c r="Y211" s="273"/>
      <c r="Z211" s="273"/>
      <c r="AA211" s="273"/>
      <c r="AB211" s="273"/>
      <c r="AC211" s="273"/>
    </row>
    <row r="212" ht="75.0" customHeight="1">
      <c r="A212" s="272" t="s">
        <v>2633</v>
      </c>
      <c r="B212" s="273"/>
      <c r="C212" s="274" t="s">
        <v>2634</v>
      </c>
      <c r="D212" s="274" t="s">
        <v>2634</v>
      </c>
      <c r="E212" s="273"/>
      <c r="F212" s="275"/>
      <c r="G212" s="273" t="s">
        <v>2635</v>
      </c>
      <c r="H212" s="273" t="str">
        <f t="shared" si="1"/>
        <v>Climate Baton ~ Nami</v>
      </c>
      <c r="I212" s="275"/>
      <c r="J212" s="274" t="s">
        <v>2636</v>
      </c>
      <c r="K212" s="273"/>
      <c r="L212" s="273"/>
      <c r="M212" s="273"/>
      <c r="N212" s="273" t="str">
        <f>IFERROR(__xludf.DUMMYFUNCTION("""COMPUTED_VALUE"""),"The Undefeated Woman ~ Rebecca")</f>
        <v>The Undefeated Woman ~ Rebecca</v>
      </c>
      <c r="O212" s="273">
        <f>IFERROR(__xludf.DUMMYFUNCTION("""COMPUTED_VALUE"""),132.0)</f>
        <v>132</v>
      </c>
      <c r="P212" s="275" t="str">
        <f t="shared" si="2"/>
        <v/>
      </c>
      <c r="Q212" s="273" t="str">
        <f>IFERROR(__xludf.DUMMYFUNCTION("""COMPUTED_VALUE"""),"031 Climate Baton - Nami")</f>
        <v>031 Climate Baton - Nami</v>
      </c>
      <c r="R212" s="273"/>
      <c r="S212" s="273"/>
      <c r="T212" s="273"/>
      <c r="U212" s="273"/>
      <c r="V212" s="273"/>
      <c r="W212" s="273"/>
      <c r="X212" s="273"/>
      <c r="Y212" s="273"/>
      <c r="Z212" s="273"/>
      <c r="AA212" s="273"/>
      <c r="AB212" s="273"/>
      <c r="AC212" s="273"/>
    </row>
    <row r="213" ht="75.0" customHeight="1">
      <c r="A213" s="272" t="s">
        <v>2637</v>
      </c>
      <c r="B213" s="273"/>
      <c r="C213" s="274" t="s">
        <v>2638</v>
      </c>
      <c r="D213" s="274" t="s">
        <v>2638</v>
      </c>
      <c r="E213" s="273"/>
      <c r="F213" s="275"/>
      <c r="G213" s="273" t="s">
        <v>2639</v>
      </c>
      <c r="H213" s="273" t="str">
        <f t="shared" si="1"/>
        <v>Raid on Onigashima ~ Nami</v>
      </c>
      <c r="I213" s="275"/>
      <c r="J213" s="274" t="s">
        <v>2640</v>
      </c>
      <c r="K213" s="273"/>
      <c r="L213" s="273"/>
      <c r="M213" s="273"/>
      <c r="N213" s="273" t="str">
        <f>IFERROR(__xludf.DUMMYFUNCTION("""COMPUTED_VALUE"""),"Surgeon of Death ~ Trafalger Law")</f>
        <v>Surgeon of Death ~ Trafalger Law</v>
      </c>
      <c r="O213" s="273">
        <f>IFERROR(__xludf.DUMMYFUNCTION("""COMPUTED_VALUE"""),131.0)</f>
        <v>131</v>
      </c>
      <c r="P213" s="275" t="str">
        <f t="shared" si="2"/>
        <v/>
      </c>
      <c r="Q213" s="273" t="str">
        <f>IFERROR(__xludf.DUMMYFUNCTION("""COMPUTED_VALUE"""),"251 Raid on Onigashima - Nami")</f>
        <v>251 Raid on Onigashima - Nami</v>
      </c>
      <c r="R213" s="273"/>
      <c r="S213" s="273"/>
      <c r="T213" s="273"/>
      <c r="U213" s="273"/>
      <c r="V213" s="273"/>
      <c r="W213" s="273"/>
      <c r="X213" s="273"/>
      <c r="Y213" s="273"/>
      <c r="Z213" s="273"/>
      <c r="AA213" s="273"/>
      <c r="AB213" s="273"/>
      <c r="AC213" s="273"/>
    </row>
    <row r="214" ht="75.0" customHeight="1">
      <c r="A214" s="272" t="s">
        <v>2641</v>
      </c>
      <c r="B214" s="273"/>
      <c r="C214" s="274" t="s">
        <v>2642</v>
      </c>
      <c r="D214" s="274" t="s">
        <v>2642</v>
      </c>
      <c r="E214" s="273"/>
      <c r="F214" s="275"/>
      <c r="G214" s="273" t="s">
        <v>2643</v>
      </c>
      <c r="H214" s="273" t="str">
        <f t="shared" si="1"/>
        <v>Imprisoned Bride ~ Nami</v>
      </c>
      <c r="I214" s="275"/>
      <c r="J214" s="274" t="s">
        <v>2644</v>
      </c>
      <c r="K214" s="273"/>
      <c r="L214" s="273"/>
      <c r="M214" s="273"/>
      <c r="N214" s="273" t="str">
        <f>IFERROR(__xludf.DUMMYFUNCTION("""COMPUTED_VALUE"""),"Amaru ~ Eneru")</f>
        <v>Amaru ~ Eneru</v>
      </c>
      <c r="O214" s="273">
        <f>IFERROR(__xludf.DUMMYFUNCTION("""COMPUTED_VALUE"""),130.0)</f>
        <v>130</v>
      </c>
      <c r="P214" s="275" t="str">
        <f t="shared" si="2"/>
        <v/>
      </c>
      <c r="Q214" s="273" t="str">
        <f>IFERROR(__xludf.DUMMYFUNCTION("""COMPUTED_VALUE"""),"090 Imprisoned Bride - Nami")</f>
        <v>090 Imprisoned Bride - Nami</v>
      </c>
      <c r="R214" s="273"/>
      <c r="S214" s="273"/>
      <c r="T214" s="273"/>
      <c r="U214" s="273"/>
      <c r="V214" s="273"/>
      <c r="W214" s="273"/>
      <c r="X214" s="273"/>
      <c r="Y214" s="273"/>
      <c r="Z214" s="273"/>
      <c r="AA214" s="273"/>
      <c r="AB214" s="273"/>
      <c r="AC214" s="273"/>
    </row>
    <row r="215" ht="75.0" customHeight="1">
      <c r="A215" s="272" t="s">
        <v>2645</v>
      </c>
      <c r="B215" s="273"/>
      <c r="C215" s="274" t="s">
        <v>2646</v>
      </c>
      <c r="D215" s="274" t="s">
        <v>2646</v>
      </c>
      <c r="E215" s="273"/>
      <c r="F215" s="275"/>
      <c r="G215" s="273" t="s">
        <v>2647</v>
      </c>
      <c r="H215" s="273" t="str">
        <f t="shared" si="1"/>
        <v>Whole Cake Island ~ Nami</v>
      </c>
      <c r="I215" s="275"/>
      <c r="J215" s="274" t="s">
        <v>2648</v>
      </c>
      <c r="K215" s="273"/>
      <c r="L215" s="273"/>
      <c r="M215" s="273"/>
      <c r="N215" s="273" t="str">
        <f>IFERROR(__xludf.DUMMYFUNCTION("""COMPUTED_VALUE"""),"CP0 ~ Rob Lucci")</f>
        <v>CP0 ~ Rob Lucci</v>
      </c>
      <c r="O215" s="273">
        <f>IFERROR(__xludf.DUMMYFUNCTION("""COMPUTED_VALUE"""),129.0)</f>
        <v>129</v>
      </c>
      <c r="P215" s="275" t="str">
        <f t="shared" si="2"/>
        <v/>
      </c>
      <c r="Q215" s="273" t="str">
        <f>IFERROR(__xludf.DUMMYFUNCTION("""COMPUTED_VALUE"""),"187 Whole Cake Island - Nami")</f>
        <v>187 Whole Cake Island - Nami</v>
      </c>
      <c r="R215" s="273"/>
      <c r="S215" s="273"/>
      <c r="T215" s="273"/>
      <c r="U215" s="273"/>
      <c r="V215" s="273"/>
      <c r="W215" s="273"/>
      <c r="X215" s="273"/>
      <c r="Y215" s="273"/>
      <c r="Z215" s="273"/>
      <c r="AA215" s="273"/>
      <c r="AB215" s="273"/>
      <c r="AC215" s="273"/>
    </row>
    <row r="216" ht="75.0" customHeight="1">
      <c r="A216" s="272" t="s">
        <v>2649</v>
      </c>
      <c r="B216" s="273"/>
      <c r="C216" s="274" t="s">
        <v>2650</v>
      </c>
      <c r="D216" s="274" t="s">
        <v>2650</v>
      </c>
      <c r="E216" s="273"/>
      <c r="F216" s="275"/>
      <c r="G216" s="273" t="s">
        <v>2651</v>
      </c>
      <c r="H216" s="273" t="str">
        <f t="shared" si="1"/>
        <v>Egghead ~ Nami</v>
      </c>
      <c r="I216" s="275"/>
      <c r="J216" s="274" t="s">
        <v>2652</v>
      </c>
      <c r="K216" s="273"/>
      <c r="L216" s="273"/>
      <c r="M216" s="273"/>
      <c r="N216" s="273" t="str">
        <f>IFERROR(__xludf.DUMMYFUNCTION("""COMPUTED_VALUE"""),"Land of Wano ~ Luffytaro")</f>
        <v>Land of Wano ~ Luffytaro</v>
      </c>
      <c r="O216" s="273">
        <f>IFERROR(__xludf.DUMMYFUNCTION("""COMPUTED_VALUE"""),128.0)</f>
        <v>128</v>
      </c>
      <c r="P216" s="275" t="str">
        <f t="shared" si="2"/>
        <v/>
      </c>
      <c r="Q216" s="273" t="str">
        <f>IFERROR(__xludf.DUMMYFUNCTION("""COMPUTED_VALUE"""),"327 Egghead - Nami")</f>
        <v>327 Egghead - Nami</v>
      </c>
      <c r="R216" s="273"/>
      <c r="S216" s="273"/>
      <c r="T216" s="273"/>
      <c r="U216" s="273"/>
      <c r="V216" s="273"/>
      <c r="W216" s="273"/>
      <c r="X216" s="273"/>
      <c r="Y216" s="273"/>
      <c r="Z216" s="273"/>
      <c r="AA216" s="273"/>
      <c r="AB216" s="273"/>
      <c r="AC216" s="273"/>
    </row>
    <row r="217" ht="75.0" customHeight="1">
      <c r="A217" s="272" t="s">
        <v>2653</v>
      </c>
      <c r="B217" s="273"/>
      <c r="C217" s="274" t="s">
        <v>2654</v>
      </c>
      <c r="D217" s="274" t="s">
        <v>2654</v>
      </c>
      <c r="E217" s="273"/>
      <c r="F217" s="275"/>
      <c r="G217" s="273" t="s">
        <v>2655</v>
      </c>
      <c r="H217" s="273" t="str">
        <f t="shared" si="1"/>
        <v>Straw Hat Pirates / Navigator ~ Nami</v>
      </c>
      <c r="I217" s="275"/>
      <c r="J217" s="274" t="s">
        <v>2656</v>
      </c>
      <c r="K217" s="273"/>
      <c r="L217" s="273"/>
      <c r="M217" s="273"/>
      <c r="N217" s="273" t="str">
        <f>IFERROR(__xludf.DUMMYFUNCTION("""COMPUTED_VALUE"""),"Land of Wano ~ Onami")</f>
        <v>Land of Wano ~ Onami</v>
      </c>
      <c r="O217" s="273">
        <f>IFERROR(__xludf.DUMMYFUNCTION("""COMPUTED_VALUE"""),127.0)</f>
        <v>127</v>
      </c>
      <c r="P217" s="275" t="str">
        <f t="shared" si="2"/>
        <v/>
      </c>
      <c r="Q217" s="273" t="str">
        <f>IFERROR(__xludf.DUMMYFUNCTION("""COMPUTED_VALUE"""),"003 Straw Hat Pirates / Navigator - Nami")</f>
        <v>003 Straw Hat Pirates / Navigator - Nami</v>
      </c>
      <c r="R217" s="273"/>
      <c r="S217" s="273"/>
      <c r="T217" s="273"/>
      <c r="U217" s="273"/>
      <c r="V217" s="273"/>
      <c r="W217" s="273"/>
      <c r="X217" s="273"/>
      <c r="Y217" s="273"/>
      <c r="Z217" s="273"/>
      <c r="AA217" s="273"/>
      <c r="AB217" s="273"/>
      <c r="AC217" s="273"/>
    </row>
    <row r="218" ht="75.0" customHeight="1">
      <c r="A218" s="272" t="s">
        <v>2657</v>
      </c>
      <c r="B218" s="273"/>
      <c r="C218" s="274" t="s">
        <v>2658</v>
      </c>
      <c r="D218" s="274" t="s">
        <v>2658</v>
      </c>
      <c r="E218" s="273"/>
      <c r="F218" s="275"/>
      <c r="G218" s="273" t="s">
        <v>2659</v>
      </c>
      <c r="H218" s="273" t="str">
        <f t="shared" si="1"/>
        <v>Bikini ~ Nami</v>
      </c>
      <c r="I218" s="275"/>
      <c r="J218" s="274" t="s">
        <v>2660</v>
      </c>
      <c r="K218" s="273"/>
      <c r="L218" s="273"/>
      <c r="M218" s="273"/>
      <c r="N218" s="273" t="str">
        <f>IFERROR(__xludf.DUMMYFUNCTION("""COMPUTED_VALUE"""),"Land of Wano ~ X.Drake")</f>
        <v>Land of Wano ~ X.Drake</v>
      </c>
      <c r="O218" s="273">
        <f>IFERROR(__xludf.DUMMYFUNCTION("""COMPUTED_VALUE"""),126.0)</f>
        <v>126</v>
      </c>
      <c r="P218" s="275" t="str">
        <f t="shared" si="2"/>
        <v/>
      </c>
      <c r="Q218" s="273" t="str">
        <f>IFERROR(__xludf.DUMMYFUNCTION("""COMPUTED_VALUE"""),"073 Bikini - Nami")</f>
        <v>073 Bikini - Nami</v>
      </c>
      <c r="R218" s="273"/>
      <c r="S218" s="273"/>
      <c r="T218" s="273"/>
      <c r="U218" s="273"/>
      <c r="V218" s="273"/>
      <c r="W218" s="273"/>
      <c r="X218" s="273"/>
      <c r="Y218" s="273"/>
      <c r="Z218" s="273"/>
      <c r="AA218" s="273"/>
      <c r="AB218" s="273"/>
      <c r="AC218" s="273"/>
    </row>
    <row r="219" ht="75.0" customHeight="1">
      <c r="A219" s="272" t="s">
        <v>2661</v>
      </c>
      <c r="B219" s="273"/>
      <c r="C219" s="274" t="s">
        <v>2662</v>
      </c>
      <c r="D219" s="274" t="s">
        <v>2662</v>
      </c>
      <c r="E219" s="273"/>
      <c r="F219" s="275"/>
      <c r="G219" s="273" t="s">
        <v>2663</v>
      </c>
      <c r="H219" s="273" t="str">
        <f t="shared" si="1"/>
        <v>FILM RED ~ Nami</v>
      </c>
      <c r="I219" s="275"/>
      <c r="J219" s="274" t="s">
        <v>2664</v>
      </c>
      <c r="K219" s="273"/>
      <c r="L219" s="273"/>
      <c r="M219" s="273"/>
      <c r="N219" s="273" t="str">
        <f>IFERROR(__xludf.DUMMYFUNCTION("""COMPUTED_VALUE"""),"New World ~ Eustass Kid")</f>
        <v>New World ~ Eustass Kid</v>
      </c>
      <c r="O219" s="273">
        <f>IFERROR(__xludf.DUMMYFUNCTION("""COMPUTED_VALUE"""),125.0)</f>
        <v>125</v>
      </c>
      <c r="P219" s="275" t="str">
        <f t="shared" si="2"/>
        <v/>
      </c>
      <c r="Q219" s="273" t="str">
        <f>IFERROR(__xludf.DUMMYFUNCTION("""COMPUTED_VALUE"""),"220 FILM RED - Nami")</f>
        <v>220 FILM RED - Nami</v>
      </c>
      <c r="R219" s="273"/>
      <c r="S219" s="273"/>
      <c r="T219" s="273"/>
      <c r="U219" s="273"/>
      <c r="V219" s="273"/>
      <c r="W219" s="273"/>
      <c r="X219" s="273"/>
      <c r="Y219" s="273"/>
      <c r="Z219" s="273"/>
      <c r="AA219" s="273"/>
      <c r="AB219" s="273"/>
      <c r="AC219" s="273"/>
    </row>
    <row r="220" ht="75.0" customHeight="1">
      <c r="A220" s="272" t="s">
        <v>2665</v>
      </c>
      <c r="B220" s="273"/>
      <c r="C220" s="274" t="s">
        <v>2666</v>
      </c>
      <c r="D220" s="274" t="s">
        <v>2666</v>
      </c>
      <c r="E220" s="273"/>
      <c r="F220" s="275"/>
      <c r="G220" s="273" t="s">
        <v>2667</v>
      </c>
      <c r="H220" s="273" t="str">
        <f t="shared" si="1"/>
        <v>Land of Wano ~ Onami</v>
      </c>
      <c r="I220" s="275"/>
      <c r="J220" s="274" t="s">
        <v>2668</v>
      </c>
      <c r="K220" s="273"/>
      <c r="L220" s="273"/>
      <c r="M220" s="273"/>
      <c r="N220" s="273" t="str">
        <f>IFERROR(__xludf.DUMMYFUNCTION("""COMPUTED_VALUE"""),"Kid Pirates / Fighter ~ Killer")</f>
        <v>Kid Pirates / Fighter ~ Killer</v>
      </c>
      <c r="O220" s="273">
        <f>IFERROR(__xludf.DUMMYFUNCTION("""COMPUTED_VALUE"""),124.0)</f>
        <v>124</v>
      </c>
      <c r="P220" s="275" t="str">
        <f t="shared" si="2"/>
        <v/>
      </c>
      <c r="Q220" s="273" t="str">
        <f>IFERROR(__xludf.DUMMYFUNCTION("""COMPUTED_VALUE"""),"127 Land of Wano - Onami")</f>
        <v>127 Land of Wano - Onami</v>
      </c>
      <c r="R220" s="273"/>
      <c r="S220" s="273"/>
      <c r="T220" s="273"/>
      <c r="U220" s="273"/>
      <c r="V220" s="273"/>
      <c r="W220" s="273"/>
      <c r="X220" s="273"/>
      <c r="Y220" s="273"/>
      <c r="Z220" s="273"/>
      <c r="AA220" s="273"/>
      <c r="AB220" s="273"/>
      <c r="AC220" s="273"/>
    </row>
    <row r="221" ht="75.0" customHeight="1">
      <c r="A221" s="272" t="s">
        <v>2669</v>
      </c>
      <c r="B221" s="273"/>
      <c r="C221" s="274" t="s">
        <v>2670</v>
      </c>
      <c r="D221" s="274" t="s">
        <v>2670</v>
      </c>
      <c r="E221" s="273"/>
      <c r="F221" s="275"/>
      <c r="G221" s="273" t="s">
        <v>2671</v>
      </c>
      <c r="H221" s="273" t="str">
        <f t="shared" si="1"/>
        <v>King of the Night ~ Cat Viper</v>
      </c>
      <c r="I221" s="275"/>
      <c r="J221" s="274" t="s">
        <v>2672</v>
      </c>
      <c r="K221" s="273"/>
      <c r="L221" s="273"/>
      <c r="M221" s="273"/>
      <c r="N221" s="273" t="str">
        <f>IFERROR(__xludf.DUMMYFUNCTION("""COMPUTED_VALUE"""),"On-Air Pirates / Captain ~ Scratchmen Apoo")</f>
        <v>On-Air Pirates / Captain ~ Scratchmen Apoo</v>
      </c>
      <c r="O221" s="273">
        <f>IFERROR(__xludf.DUMMYFUNCTION("""COMPUTED_VALUE"""),123.0)</f>
        <v>123</v>
      </c>
      <c r="P221" s="275" t="str">
        <f t="shared" si="2"/>
        <v/>
      </c>
      <c r="Q221" s="273" t="str">
        <f>IFERROR(__xludf.DUMMYFUNCTION("""COMPUTED_VALUE"""),"165 King of the Night - Cat Viper")</f>
        <v>165 King of the Night - Cat Viper</v>
      </c>
      <c r="R221" s="273"/>
      <c r="S221" s="273"/>
      <c r="T221" s="273"/>
      <c r="U221" s="273"/>
      <c r="V221" s="273"/>
      <c r="W221" s="273"/>
      <c r="X221" s="273"/>
      <c r="Y221" s="273"/>
      <c r="Z221" s="273"/>
      <c r="AA221" s="273"/>
      <c r="AB221" s="273"/>
      <c r="AC221" s="273"/>
    </row>
    <row r="222" ht="75.0" customHeight="1">
      <c r="A222" s="272" t="s">
        <v>2673</v>
      </c>
      <c r="B222" s="273"/>
      <c r="C222" s="274" t="s">
        <v>2674</v>
      </c>
      <c r="D222" s="274" t="s">
        <v>2674</v>
      </c>
      <c r="E222" s="273"/>
      <c r="F222" s="275"/>
      <c r="G222" s="273" t="s">
        <v>2675</v>
      </c>
      <c r="H222" s="273" t="str">
        <f t="shared" si="1"/>
        <v>Ryugu Kingdom / King ~ Neptune</v>
      </c>
      <c r="I222" s="275"/>
      <c r="J222" s="274" t="s">
        <v>2676</v>
      </c>
      <c r="K222" s="273"/>
      <c r="L222" s="273"/>
      <c r="M222" s="273"/>
      <c r="N222" s="273" t="str">
        <f>IFERROR(__xludf.DUMMYFUNCTION("""COMPUTED_VALUE"""),"Fallen Monk Pirates / Captain ""Mad Monk"" ~ Urouge")</f>
        <v>Fallen Monk Pirates / Captain "Mad Monk" ~ Urouge</v>
      </c>
      <c r="O222" s="273">
        <f>IFERROR(__xludf.DUMMYFUNCTION("""COMPUTED_VALUE"""),122.0)</f>
        <v>122</v>
      </c>
      <c r="P222" s="275" t="str">
        <f t="shared" si="2"/>
        <v/>
      </c>
      <c r="Q222" s="273" t="str">
        <f>IFERROR(__xludf.DUMMYFUNCTION("""COMPUTED_VALUE"""),"255 Ryugu Kingdom / King - Neptune")</f>
        <v>255 Ryugu Kingdom / King - Neptune</v>
      </c>
      <c r="R222" s="273"/>
      <c r="S222" s="273"/>
      <c r="T222" s="273"/>
      <c r="U222" s="273"/>
      <c r="V222" s="273"/>
      <c r="W222" s="273"/>
      <c r="X222" s="273"/>
      <c r="Y222" s="273"/>
      <c r="Z222" s="273"/>
      <c r="AA222" s="273"/>
      <c r="AB222" s="273"/>
      <c r="AC222" s="273"/>
    </row>
    <row r="223" ht="75.0" customHeight="1">
      <c r="A223" s="272" t="s">
        <v>2677</v>
      </c>
      <c r="B223" s="273"/>
      <c r="C223" s="274" t="s">
        <v>2678</v>
      </c>
      <c r="D223" s="274" t="s">
        <v>2678</v>
      </c>
      <c r="E223" s="273"/>
      <c r="F223" s="275"/>
      <c r="G223" s="273" t="s">
        <v>2679</v>
      </c>
      <c r="H223" s="273" t="str">
        <f t="shared" si="1"/>
        <v>Germa 66 ~ Vinsmoke Neji</v>
      </c>
      <c r="I223" s="275"/>
      <c r="J223" s="274" t="s">
        <v>2680</v>
      </c>
      <c r="K223" s="273"/>
      <c r="L223" s="273"/>
      <c r="M223" s="273"/>
      <c r="N223" s="273" t="str">
        <f>IFERROR(__xludf.DUMMYFUNCTION("""COMPUTED_VALUE"""),"Navy HQ / Fleet Admiral ~ Sengoku")</f>
        <v>Navy HQ / Fleet Admiral ~ Sengoku</v>
      </c>
      <c r="O223" s="273">
        <f>IFERROR(__xludf.DUMMYFUNCTION("""COMPUTED_VALUE"""),121.0)</f>
        <v>121</v>
      </c>
      <c r="P223" s="275" t="str">
        <f t="shared" si="2"/>
        <v/>
      </c>
      <c r="Q223" s="273" t="str">
        <f>IFERROR(__xludf.DUMMYFUNCTION("""COMPUTED_VALUE"""),"314 Germa 66 - Vinsmoke Neji")</f>
        <v>314 Germa 66 - Vinsmoke Neji</v>
      </c>
      <c r="R223" s="273"/>
      <c r="S223" s="273"/>
      <c r="T223" s="273"/>
      <c r="U223" s="273"/>
      <c r="V223" s="273"/>
      <c r="W223" s="273"/>
      <c r="X223" s="273"/>
      <c r="Y223" s="273"/>
      <c r="Z223" s="273"/>
      <c r="AA223" s="273"/>
      <c r="AB223" s="273"/>
      <c r="AC223" s="273"/>
    </row>
    <row r="224" ht="75.0" customHeight="1">
      <c r="A224" s="272" t="s">
        <v>2681</v>
      </c>
      <c r="B224" s="273"/>
      <c r="C224" s="274" t="s">
        <v>2682</v>
      </c>
      <c r="D224" s="274" t="s">
        <v>2682</v>
      </c>
      <c r="E224" s="273"/>
      <c r="F224" s="275"/>
      <c r="G224" s="273" t="s">
        <v>2683</v>
      </c>
      <c r="H224" s="273" t="str">
        <f t="shared" si="1"/>
        <v>Lvneel Kingdom / Exploration Ship Admiral ~ Mont Blanc Noland</v>
      </c>
      <c r="I224" s="275"/>
      <c r="J224" s="274" t="s">
        <v>2684</v>
      </c>
      <c r="K224" s="273"/>
      <c r="L224" s="273"/>
      <c r="M224" s="273"/>
      <c r="N224" s="273" t="str">
        <f>IFERROR(__xludf.DUMMYFUNCTION("""COMPUTED_VALUE"""),"The Pirate King`s Right Arm The Dark King ~ Silvers Rayleigh")</f>
        <v>The Pirate King`s Right Arm The Dark King ~ Silvers Rayleigh</v>
      </c>
      <c r="O224" s="273">
        <f>IFERROR(__xludf.DUMMYFUNCTION("""COMPUTED_VALUE"""),120.0)</f>
        <v>120</v>
      </c>
      <c r="P224" s="275" t="str">
        <f t="shared" si="2"/>
        <v/>
      </c>
      <c r="Q224" s="273" t="str">
        <f>IFERROR(__xludf.DUMMYFUNCTION("""COMPUTED_VALUE"""),"283 Lvneel Kingdom / Exploration Ship Admiral - Mont Blanc Noland")</f>
        <v>283 Lvneel Kingdom / Exploration Ship Admiral - Mont Blanc Noland</v>
      </c>
      <c r="R224" s="273"/>
      <c r="S224" s="273"/>
      <c r="T224" s="273"/>
      <c r="U224" s="273"/>
      <c r="V224" s="273"/>
      <c r="W224" s="273"/>
      <c r="X224" s="273"/>
      <c r="Y224" s="273"/>
      <c r="Z224" s="273"/>
      <c r="AA224" s="273"/>
      <c r="AB224" s="273"/>
      <c r="AC224" s="273"/>
    </row>
    <row r="225" ht="75.0" customHeight="1">
      <c r="A225" s="272" t="s">
        <v>2685</v>
      </c>
      <c r="B225" s="273"/>
      <c r="C225" s="274" t="s">
        <v>2686</v>
      </c>
      <c r="D225" s="274" t="s">
        <v>2686</v>
      </c>
      <c r="E225" s="273"/>
      <c r="F225" s="275"/>
      <c r="G225" s="273" t="s">
        <v>2687</v>
      </c>
      <c r="H225" s="273" t="str">
        <f t="shared" si="1"/>
        <v>Heir to the Shogun of Wano ~ Kozuki Oden</v>
      </c>
      <c r="I225" s="275"/>
      <c r="J225" s="274" t="s">
        <v>2688</v>
      </c>
      <c r="K225" s="273"/>
      <c r="L225" s="273"/>
      <c r="M225" s="273"/>
      <c r="N225" s="273" t="str">
        <f>IFERROR(__xludf.DUMMYFUNCTION("""COMPUTED_VALUE"""),"Gear Four / Snakeman ~ Monkey D. Luffy")</f>
        <v>Gear Four / Snakeman ~ Monkey D. Luffy</v>
      </c>
      <c r="O225" s="273">
        <f>IFERROR(__xludf.DUMMYFUNCTION("""COMPUTED_VALUE"""),119.0)</f>
        <v>119</v>
      </c>
      <c r="P225" s="275" t="str">
        <f t="shared" si="2"/>
        <v/>
      </c>
      <c r="Q225" s="273" t="str">
        <f>IFERROR(__xludf.DUMMYFUNCTION("""COMPUTED_VALUE"""),"277 Heir to the Shogun of Wano - Kozuki Oden")</f>
        <v>277 Heir to the Shogun of Wano - Kozuki Oden</v>
      </c>
      <c r="R225" s="273"/>
      <c r="S225" s="273"/>
      <c r="T225" s="273"/>
      <c r="U225" s="273"/>
      <c r="V225" s="273"/>
      <c r="W225" s="273"/>
      <c r="X225" s="273"/>
      <c r="Y225" s="273"/>
      <c r="Z225" s="273"/>
      <c r="AA225" s="273"/>
      <c r="AB225" s="273"/>
      <c r="AC225" s="273"/>
    </row>
    <row r="226" ht="75.0" customHeight="1">
      <c r="A226" s="272" t="s">
        <v>2689</v>
      </c>
      <c r="B226" s="273"/>
      <c r="C226" s="274" t="s">
        <v>2690</v>
      </c>
      <c r="D226" s="274" t="s">
        <v>2690</v>
      </c>
      <c r="E226" s="273"/>
      <c r="F226" s="275"/>
      <c r="G226" s="273" t="s">
        <v>2691</v>
      </c>
      <c r="H226" s="273" t="str">
        <f t="shared" si="1"/>
        <v>Daimyo of Kuri ~ Kozuki Oden</v>
      </c>
      <c r="I226" s="275"/>
      <c r="J226" s="274" t="s">
        <v>2692</v>
      </c>
      <c r="K226" s="273"/>
      <c r="L226" s="273"/>
      <c r="M226" s="273"/>
      <c r="N226" s="273" t="str">
        <f>IFERROR(__xludf.DUMMYFUNCTION("""COMPUTED_VALUE"""),"Revolutoonary Army ~ Emporio Ivankov")</f>
        <v>Revolutoonary Army ~ Emporio Ivankov</v>
      </c>
      <c r="O226" s="273">
        <f>IFERROR(__xludf.DUMMYFUNCTION("""COMPUTED_VALUE"""),118.0)</f>
        <v>118</v>
      </c>
      <c r="P226" s="275" t="str">
        <f t="shared" si="2"/>
        <v/>
      </c>
      <c r="Q226" s="273" t="str">
        <f>IFERROR(__xludf.DUMMYFUNCTION("""COMPUTED_VALUE"""),"150 Daimyo of Kuri - Kozuki Oden")</f>
        <v>150 Daimyo of Kuri - Kozuki Oden</v>
      </c>
      <c r="R226" s="273"/>
      <c r="S226" s="273"/>
      <c r="T226" s="273"/>
      <c r="U226" s="273"/>
      <c r="V226" s="273"/>
      <c r="W226" s="273"/>
      <c r="X226" s="273"/>
      <c r="Y226" s="273"/>
      <c r="Z226" s="273"/>
      <c r="AA226" s="273"/>
      <c r="AB226" s="273"/>
      <c r="AC226" s="273"/>
    </row>
    <row r="227" ht="75.0" customHeight="1">
      <c r="A227" s="272" t="s">
        <v>2693</v>
      </c>
      <c r="B227" s="273"/>
      <c r="C227" s="274" t="s">
        <v>2694</v>
      </c>
      <c r="D227" s="274" t="s">
        <v>2694</v>
      </c>
      <c r="E227" s="273"/>
      <c r="F227" s="275"/>
      <c r="G227" s="273" t="s">
        <v>2695</v>
      </c>
      <c r="H227" s="273" t="str">
        <f t="shared" si="1"/>
        <v>Land of Wano ~ Otama &amp; Komachiyo</v>
      </c>
      <c r="I227" s="275"/>
      <c r="J227" s="274" t="s">
        <v>2696</v>
      </c>
      <c r="K227" s="273"/>
      <c r="L227" s="273"/>
      <c r="M227" s="273"/>
      <c r="N227" s="273" t="str">
        <f>IFERROR(__xludf.DUMMYFUNCTION("""COMPUTED_VALUE"""),"Impel Down / Warden ~ Magellan")</f>
        <v>Impel Down / Warden ~ Magellan</v>
      </c>
      <c r="O227" s="273">
        <f>IFERROR(__xludf.DUMMYFUNCTION("""COMPUTED_VALUE"""),117.0)</f>
        <v>117</v>
      </c>
      <c r="P227" s="275" t="str">
        <f t="shared" si="2"/>
        <v/>
      </c>
      <c r="Q227" s="273" t="str">
        <f>IFERROR(__xludf.DUMMYFUNCTION("""COMPUTED_VALUE"""),"272 Land of Wano - Otama &amp; Komachiyo")</f>
        <v>272 Land of Wano - Otama &amp; Komachiyo</v>
      </c>
      <c r="R227" s="273"/>
      <c r="S227" s="273"/>
      <c r="T227" s="273"/>
      <c r="U227" s="273"/>
      <c r="V227" s="273"/>
      <c r="W227" s="273"/>
      <c r="X227" s="273"/>
      <c r="Y227" s="273"/>
      <c r="Z227" s="273"/>
      <c r="AA227" s="273"/>
      <c r="AB227" s="273"/>
      <c r="AC227" s="273"/>
    </row>
    <row r="228" ht="75.0" customHeight="1">
      <c r="A228" s="272" t="s">
        <v>2697</v>
      </c>
      <c r="B228" s="273"/>
      <c r="C228" s="274" t="s">
        <v>2698</v>
      </c>
      <c r="D228" s="274" t="s">
        <v>2698</v>
      </c>
      <c r="E228" s="273"/>
      <c r="F228" s="275"/>
      <c r="G228" s="273" t="s">
        <v>2699</v>
      </c>
      <c r="H228" s="273" t="str">
        <f t="shared" si="1"/>
        <v>Big Mom Pirates / Crewmate ~ Charoltte Oven</v>
      </c>
      <c r="I228" s="275"/>
      <c r="J228" s="274" t="s">
        <v>2700</v>
      </c>
      <c r="K228" s="273"/>
      <c r="L228" s="273"/>
      <c r="M228" s="273"/>
      <c r="N228" s="273" t="str">
        <f>IFERROR(__xludf.DUMMYFUNCTION("""COMPUTED_VALUE"""),"Gerand Line Navel Base 5 / Vice Admiral ~ Smoker")</f>
        <v>Gerand Line Navel Base 5 / Vice Admiral ~ Smoker</v>
      </c>
      <c r="O228" s="273">
        <f>IFERROR(__xludf.DUMMYFUNCTION("""COMPUTED_VALUE"""),116.0)</f>
        <v>116</v>
      </c>
      <c r="P228" s="275" t="str">
        <f t="shared" si="2"/>
        <v/>
      </c>
      <c r="Q228" s="273" t="str">
        <f>IFERROR(__xludf.DUMMYFUNCTION("""COMPUTED_VALUE"""),"242 Big Mom Pirates / Crewmate - Charoltte Oven")</f>
        <v>242 Big Mom Pirates / Crewmate - Charoltte Oven</v>
      </c>
      <c r="R228" s="273"/>
      <c r="S228" s="273"/>
      <c r="T228" s="273"/>
      <c r="U228" s="273"/>
      <c r="V228" s="273"/>
      <c r="W228" s="273"/>
      <c r="X228" s="273"/>
      <c r="Y228" s="273"/>
      <c r="Z228" s="273"/>
      <c r="AA228" s="273"/>
      <c r="AB228" s="273"/>
      <c r="AC228" s="273"/>
    </row>
    <row r="229" ht="75.0" customHeight="1">
      <c r="A229" s="272" t="s">
        <v>2701</v>
      </c>
      <c r="B229" s="273"/>
      <c r="C229" s="274" t="s">
        <v>2702</v>
      </c>
      <c r="D229" s="274" t="s">
        <v>2702</v>
      </c>
      <c r="E229" s="273"/>
      <c r="F229" s="275"/>
      <c r="G229" s="273" t="s">
        <v>2703</v>
      </c>
      <c r="H229" s="273" t="str">
        <f t="shared" si="1"/>
        <v>The Navy's Human Weapon ~ Pacifista</v>
      </c>
      <c r="I229" s="275"/>
      <c r="J229" s="274" t="s">
        <v>2704</v>
      </c>
      <c r="K229" s="273"/>
      <c r="L229" s="273"/>
      <c r="M229" s="273"/>
      <c r="N229" s="273" t="str">
        <f>IFERROR(__xludf.DUMMYFUNCTION("""COMPUTED_VALUE"""),"Grand Line Naval Base 5 / Captain ~ Tashigi")</f>
        <v>Grand Line Naval Base 5 / Captain ~ Tashigi</v>
      </c>
      <c r="O229" s="273">
        <f>IFERROR(__xludf.DUMMYFUNCTION("""COMPUTED_VALUE"""),115.0)</f>
        <v>115</v>
      </c>
      <c r="P229" s="275" t="str">
        <f t="shared" si="2"/>
        <v/>
      </c>
      <c r="Q229" s="273" t="str">
        <f>IFERROR(__xludf.DUMMYFUNCTION("""COMPUTED_VALUE"""),"286 The Navy's Human Weapon - Pacifista")</f>
        <v>286 The Navy's Human Weapon - Pacifista</v>
      </c>
      <c r="R229" s="273"/>
      <c r="S229" s="273"/>
      <c r="T229" s="273"/>
      <c r="U229" s="273"/>
      <c r="V229" s="273"/>
      <c r="W229" s="273"/>
      <c r="X229" s="273"/>
      <c r="Y229" s="273"/>
      <c r="Z229" s="273"/>
      <c r="AA229" s="273"/>
      <c r="AB229" s="273"/>
      <c r="AC229" s="273"/>
    </row>
    <row r="230" ht="75.0" customHeight="1">
      <c r="A230" s="272" t="s">
        <v>2705</v>
      </c>
      <c r="B230" s="273"/>
      <c r="C230" s="274" t="s">
        <v>2706</v>
      </c>
      <c r="D230" s="274" t="s">
        <v>2706</v>
      </c>
      <c r="E230" s="273"/>
      <c r="F230" s="275"/>
      <c r="G230" s="273" t="s">
        <v>2707</v>
      </c>
      <c r="H230" s="273" t="str">
        <f t="shared" si="1"/>
        <v>Animal Kingdom Pirates / Tobi Roppo ~ Page One</v>
      </c>
      <c r="I230" s="275"/>
      <c r="J230" s="274" t="s">
        <v>2708</v>
      </c>
      <c r="K230" s="273"/>
      <c r="L230" s="273"/>
      <c r="M230" s="273"/>
      <c r="N230" s="273" t="str">
        <f>IFERROR(__xludf.DUMMYFUNCTION("""COMPUTED_VALUE"""),"Navy HQ / Rear Admiral ~ Hina")</f>
        <v>Navy HQ / Rear Admiral ~ Hina</v>
      </c>
      <c r="O230" s="273">
        <f>IFERROR(__xludf.DUMMYFUNCTION("""COMPUTED_VALUE"""),114.0)</f>
        <v>114</v>
      </c>
      <c r="P230" s="275" t="str">
        <f t="shared" si="2"/>
        <v/>
      </c>
      <c r="Q230" s="273" t="str">
        <f>IFERROR(__xludf.DUMMYFUNCTION("""COMPUTED_VALUE"""),"208 Animal Kingdom Pirates / Tobi Roppo - Page One")</f>
        <v>208 Animal Kingdom Pirates / Tobi Roppo - Page One</v>
      </c>
      <c r="R230" s="273"/>
      <c r="S230" s="273"/>
      <c r="T230" s="273"/>
      <c r="U230" s="273"/>
      <c r="V230" s="273"/>
      <c r="W230" s="273"/>
      <c r="X230" s="273"/>
      <c r="Y230" s="273"/>
      <c r="Z230" s="273"/>
      <c r="AA230" s="273"/>
      <c r="AB230" s="273"/>
      <c r="AC230" s="273"/>
    </row>
    <row r="231" ht="75.0" customHeight="1">
      <c r="A231" s="272" t="s">
        <v>2709</v>
      </c>
      <c r="B231" s="273"/>
      <c r="C231" s="274" t="s">
        <v>2710</v>
      </c>
      <c r="D231" s="274" t="s">
        <v>2710</v>
      </c>
      <c r="E231" s="273"/>
      <c r="F231" s="275"/>
      <c r="G231" s="273" t="s">
        <v>2711</v>
      </c>
      <c r="H231" s="273" t="str">
        <f t="shared" si="1"/>
        <v>Leader of the Whale Forest Guardians ~ Pedro</v>
      </c>
      <c r="I231" s="275"/>
      <c r="J231" s="274" t="s">
        <v>2712</v>
      </c>
      <c r="K231" s="273"/>
      <c r="L231" s="273"/>
      <c r="M231" s="273"/>
      <c r="N231" s="273" t="str">
        <f>IFERROR(__xludf.DUMMYFUNCTION("""COMPUTED_VALUE"""),"STAMPEDE ~ Douglas Bullet")</f>
        <v>STAMPEDE ~ Douglas Bullet</v>
      </c>
      <c r="O231" s="273">
        <f>IFERROR(__xludf.DUMMYFUNCTION("""COMPUTED_VALUE"""),113.0)</f>
        <v>113</v>
      </c>
      <c r="P231" s="275" t="str">
        <f t="shared" si="2"/>
        <v/>
      </c>
      <c r="Q231" s="273" t="str">
        <f>IFERROR(__xludf.DUMMYFUNCTION("""COMPUTED_VALUE"""),"241 Leader of the Whale Forest Guardians - Pedro")</f>
        <v>241 Leader of the Whale Forest Guardians - Pedro</v>
      </c>
      <c r="R231" s="273"/>
      <c r="S231" s="273"/>
      <c r="T231" s="273"/>
      <c r="U231" s="273"/>
      <c r="V231" s="273"/>
      <c r="W231" s="273"/>
      <c r="X231" s="273"/>
      <c r="Y231" s="273"/>
      <c r="Z231" s="273"/>
      <c r="AA231" s="273"/>
      <c r="AB231" s="273"/>
      <c r="AC231" s="273"/>
    </row>
    <row r="232" ht="75.0" customHeight="1">
      <c r="A232" s="272" t="s">
        <v>2713</v>
      </c>
      <c r="B232" s="273"/>
      <c r="C232" s="274" t="s">
        <v>2714</v>
      </c>
      <c r="D232" s="274" t="s">
        <v>2714</v>
      </c>
      <c r="E232" s="273"/>
      <c r="F232" s="275"/>
      <c r="G232" s="273" t="s">
        <v>2715</v>
      </c>
      <c r="H232" s="273" t="str">
        <f t="shared" si="1"/>
        <v>Lieutenant Royal Guard of Alabasta ~ Pell</v>
      </c>
      <c r="I232" s="275"/>
      <c r="J232" s="274" t="s">
        <v>2716</v>
      </c>
      <c r="K232" s="273"/>
      <c r="L232" s="273"/>
      <c r="M232" s="273"/>
      <c r="N232" s="273" t="str">
        <f>IFERROR(__xludf.DUMMYFUNCTION("""COMPUTED_VALUE"""),"The King of the Snipers ~ Sniper King")</f>
        <v>The King of the Snipers ~ Sniper King</v>
      </c>
      <c r="O232" s="273">
        <f>IFERROR(__xludf.DUMMYFUNCTION("""COMPUTED_VALUE"""),112.0)</f>
        <v>112</v>
      </c>
      <c r="P232" s="275" t="str">
        <f t="shared" si="2"/>
        <v/>
      </c>
      <c r="Q232" s="273" t="str">
        <f>IFERROR(__xludf.DUMMYFUNCTION("""COMPUTED_VALUE"""),"174 Lieutenant Royal Guard of Alabasta - Pell")</f>
        <v>174 Lieutenant Royal Guard of Alabasta - Pell</v>
      </c>
      <c r="R232" s="273"/>
      <c r="S232" s="273"/>
      <c r="T232" s="273"/>
      <c r="U232" s="273"/>
      <c r="V232" s="273"/>
      <c r="W232" s="273"/>
      <c r="X232" s="273"/>
      <c r="Y232" s="273"/>
      <c r="Z232" s="273"/>
      <c r="AA232" s="273"/>
      <c r="AB232" s="273"/>
      <c r="AC232" s="273"/>
    </row>
    <row r="233" ht="75.0" customHeight="1">
      <c r="A233" s="272" t="s">
        <v>2717</v>
      </c>
      <c r="B233" s="273"/>
      <c r="C233" s="274" t="s">
        <v>2718</v>
      </c>
      <c r="D233" s="274" t="s">
        <v>2718</v>
      </c>
      <c r="E233" s="273"/>
      <c r="F233" s="275"/>
      <c r="G233" s="273" t="s">
        <v>2719</v>
      </c>
      <c r="H233" s="273" t="str">
        <f t="shared" si="1"/>
        <v>Ghost Princess ~ Perona</v>
      </c>
      <c r="I233" s="275"/>
      <c r="J233" s="274" t="s">
        <v>2720</v>
      </c>
      <c r="K233" s="273"/>
      <c r="L233" s="273"/>
      <c r="M233" s="273"/>
      <c r="N233" s="273" t="str">
        <f>IFERROR(__xludf.DUMMYFUNCTION("""COMPUTED_VALUE"""),"CP9 ~ Kaku")</f>
        <v>CP9 ~ Kaku</v>
      </c>
      <c r="O233" s="273">
        <f>IFERROR(__xludf.DUMMYFUNCTION("""COMPUTED_VALUE"""),111.0)</f>
        <v>111</v>
      </c>
      <c r="P233" s="275" t="str">
        <f t="shared" si="2"/>
        <v/>
      </c>
      <c r="Q233" s="273" t="str">
        <f>IFERROR(__xludf.DUMMYFUNCTION("""COMPUTED_VALUE"""),"140 Ghost Princess - Perona")</f>
        <v>140 Ghost Princess - Perona</v>
      </c>
      <c r="R233" s="273"/>
      <c r="S233" s="273"/>
      <c r="T233" s="273"/>
      <c r="U233" s="273"/>
      <c r="V233" s="273"/>
      <c r="W233" s="273"/>
      <c r="X233" s="273"/>
      <c r="Y233" s="273"/>
      <c r="Z233" s="273"/>
      <c r="AA233" s="273"/>
      <c r="AB233" s="273"/>
      <c r="AC233" s="273"/>
    </row>
    <row r="234" ht="75.0" customHeight="1">
      <c r="A234" s="272" t="s">
        <v>2721</v>
      </c>
      <c r="B234" s="273"/>
      <c r="C234" s="274" t="s">
        <v>2722</v>
      </c>
      <c r="D234" s="274" t="s">
        <v>2722</v>
      </c>
      <c r="E234" s="273"/>
      <c r="F234" s="275"/>
      <c r="G234" s="273" t="s">
        <v>2723</v>
      </c>
      <c r="H234" s="273" t="str">
        <f t="shared" si="1"/>
        <v>Thriller Park Pirates / Mysterious Four ~ Perona</v>
      </c>
      <c r="I234" s="275"/>
      <c r="J234" s="274" t="s">
        <v>2724</v>
      </c>
      <c r="K234" s="273"/>
      <c r="L234" s="273"/>
      <c r="M234" s="273"/>
      <c r="N234" s="273" t="str">
        <f>IFERROR(__xludf.DUMMYFUNCTION("""COMPUTED_VALUE"""),"CP9 ~ Rob Lucci")</f>
        <v>CP9 ~ Rob Lucci</v>
      </c>
      <c r="O234" s="273">
        <f>IFERROR(__xludf.DUMMYFUNCTION("""COMPUTED_VALUE"""),110.0)</f>
        <v>110</v>
      </c>
      <c r="P234" s="275" t="str">
        <f t="shared" si="2"/>
        <v/>
      </c>
      <c r="Q234" s="273" t="str">
        <f>IFERROR(__xludf.DUMMYFUNCTION("""COMPUTED_VALUE"""),"089 Thriller Park Pirates / Mysterious Four - Perona")</f>
        <v>089 Thriller Park Pirates / Mysterious Four - Perona</v>
      </c>
      <c r="R234" s="273"/>
      <c r="S234" s="273"/>
      <c r="T234" s="273"/>
      <c r="U234" s="273"/>
      <c r="V234" s="273"/>
      <c r="W234" s="273"/>
      <c r="X234" s="273"/>
      <c r="Y234" s="273"/>
      <c r="Z234" s="273"/>
      <c r="AA234" s="273"/>
      <c r="AB234" s="273"/>
      <c r="AC234" s="273"/>
    </row>
    <row r="235" ht="75.0" customHeight="1">
      <c r="A235" s="272" t="s">
        <v>2725</v>
      </c>
      <c r="B235" s="273"/>
      <c r="C235" s="274" t="s">
        <v>2726</v>
      </c>
      <c r="D235" s="274" t="s">
        <v>2726</v>
      </c>
      <c r="E235" s="273"/>
      <c r="F235" s="275"/>
      <c r="G235" s="273" t="s">
        <v>2727</v>
      </c>
      <c r="H235" s="273" t="str">
        <f t="shared" si="1"/>
        <v>Big Mom Pirates / Crewmate ~ Charlotte Perospero</v>
      </c>
      <c r="I235" s="275"/>
      <c r="J235" s="274" t="s">
        <v>2728</v>
      </c>
      <c r="K235" s="273"/>
      <c r="L235" s="273"/>
      <c r="M235" s="273"/>
      <c r="N235" s="273" t="str">
        <f>IFERROR(__xludf.DUMMYFUNCTION("""COMPUTED_VALUE"""),"Luffy`s Brother ~ Sabo")</f>
        <v>Luffy`s Brother ~ Sabo</v>
      </c>
      <c r="O235" s="273">
        <f>IFERROR(__xludf.DUMMYFUNCTION("""COMPUTED_VALUE"""),109.0)</f>
        <v>109</v>
      </c>
      <c r="P235" s="275" t="str">
        <f t="shared" si="2"/>
        <v/>
      </c>
      <c r="Q235" s="273" t="str">
        <f>IFERROR(__xludf.DUMMYFUNCTION("""COMPUTED_VALUE"""),"210 Big Mom Pirates / Crewmate - Charlotte Perospero")</f>
        <v>210 Big Mom Pirates / Crewmate - Charlotte Perospero</v>
      </c>
      <c r="R235" s="273"/>
      <c r="S235" s="273"/>
      <c r="T235" s="273"/>
      <c r="U235" s="273"/>
      <c r="V235" s="273"/>
      <c r="W235" s="273"/>
      <c r="X235" s="273"/>
      <c r="Y235" s="273"/>
      <c r="Z235" s="273"/>
      <c r="AA235" s="273"/>
      <c r="AB235" s="273"/>
      <c r="AC235" s="273"/>
    </row>
    <row r="236" ht="75.0" customHeight="1">
      <c r="A236" s="272" t="s">
        <v>2729</v>
      </c>
      <c r="B236" s="273"/>
      <c r="C236" s="274" t="s">
        <v>2730</v>
      </c>
      <c r="D236" s="274" t="s">
        <v>2730</v>
      </c>
      <c r="E236" s="273"/>
      <c r="F236" s="275"/>
      <c r="G236" s="273" t="s">
        <v>2731</v>
      </c>
      <c r="H236" s="273" t="str">
        <f t="shared" si="1"/>
        <v>First Act as a Married Couple ~ Charlotte Pudding</v>
      </c>
      <c r="I236" s="275"/>
      <c r="J236" s="274" t="s">
        <v>2732</v>
      </c>
      <c r="K236" s="273"/>
      <c r="L236" s="273"/>
      <c r="M236" s="273"/>
      <c r="N236" s="273" t="str">
        <f>IFERROR(__xludf.DUMMYFUNCTION("""COMPUTED_VALUE"""),"Navy HQ / Admiral Fujitora ~ [Issho]")</f>
        <v>Navy HQ / Admiral Fujitora ~ [Issho]</v>
      </c>
      <c r="O236" s="273">
        <f>IFERROR(__xludf.DUMMYFUNCTION("""COMPUTED_VALUE"""),108.0)</f>
        <v>108</v>
      </c>
      <c r="P236" s="275" t="str">
        <f t="shared" si="2"/>
        <v/>
      </c>
      <c r="Q236" s="273" t="str">
        <f>IFERROR(__xludf.DUMMYFUNCTION("""COMPUTED_VALUE"""),"238 First Act as a Married Couple - Charlotte Pudding")</f>
        <v>238 First Act as a Married Couple - Charlotte Pudding</v>
      </c>
      <c r="R236" s="273"/>
      <c r="S236" s="273"/>
      <c r="T236" s="273"/>
      <c r="U236" s="273"/>
      <c r="V236" s="273"/>
      <c r="W236" s="273"/>
      <c r="X236" s="273"/>
      <c r="Y236" s="273"/>
      <c r="Z236" s="273"/>
      <c r="AA236" s="273"/>
      <c r="AB236" s="273"/>
      <c r="AC236" s="273"/>
    </row>
    <row r="237" ht="75.0" customHeight="1">
      <c r="A237" s="272" t="s">
        <v>2733</v>
      </c>
      <c r="B237" s="273"/>
      <c r="C237" s="274" t="s">
        <v>2734</v>
      </c>
      <c r="D237" s="274" t="s">
        <v>2734</v>
      </c>
      <c r="E237" s="273"/>
      <c r="F237" s="275"/>
      <c r="G237" s="273" t="s">
        <v>2735</v>
      </c>
      <c r="H237" s="273" t="str">
        <f t="shared" si="1"/>
        <v>Big Mom Pirates / Crewmate ~ Charlotte Pudding</v>
      </c>
      <c r="I237" s="275"/>
      <c r="J237" s="274" t="s">
        <v>2736</v>
      </c>
      <c r="K237" s="273"/>
      <c r="L237" s="273"/>
      <c r="M237" s="273"/>
      <c r="N237" s="273" t="str">
        <f>IFERROR(__xludf.DUMMYFUNCTION("""COMPUTED_VALUE"""),"Beautiful Pirates / Captain ~ Cavendish")</f>
        <v>Beautiful Pirates / Captain ~ Cavendish</v>
      </c>
      <c r="O237" s="273">
        <f>IFERROR(__xludf.DUMMYFUNCTION("""COMPUTED_VALUE"""),107.0)</f>
        <v>107</v>
      </c>
      <c r="P237" s="275" t="str">
        <f t="shared" si="2"/>
        <v/>
      </c>
      <c r="Q237" s="273" t="str">
        <f>IFERROR(__xludf.DUMMYFUNCTION("""COMPUTED_VALUE"""),"189 Big Mom Pirates / Crewmate - Charlotte Pudding 1")</f>
        <v>189 Big Mom Pirates / Crewmate - Charlotte Pudding 1</v>
      </c>
      <c r="R237" s="273"/>
      <c r="S237" s="273"/>
      <c r="T237" s="273"/>
      <c r="U237" s="273"/>
      <c r="V237" s="273"/>
      <c r="W237" s="273"/>
      <c r="X237" s="273"/>
      <c r="Y237" s="273"/>
      <c r="Z237" s="273"/>
      <c r="AA237" s="273"/>
      <c r="AB237" s="273"/>
      <c r="AC237" s="273"/>
    </row>
    <row r="238" ht="75.0" customHeight="1">
      <c r="A238" s="272" t="s">
        <v>2737</v>
      </c>
      <c r="B238" s="273"/>
      <c r="C238" s="274" t="s">
        <v>2734</v>
      </c>
      <c r="D238" s="274" t="s">
        <v>2734</v>
      </c>
      <c r="E238" s="273"/>
      <c r="F238" s="275"/>
      <c r="G238" s="273" t="s">
        <v>2735</v>
      </c>
      <c r="H238" s="273" t="str">
        <f t="shared" si="1"/>
        <v>Big Mom Pirates / Crewmate ~ Charlotte Pudding</v>
      </c>
      <c r="I238" s="275"/>
      <c r="J238" s="274" t="s">
        <v>2738</v>
      </c>
      <c r="K238" s="273"/>
      <c r="L238" s="273"/>
      <c r="M238" s="273"/>
      <c r="N238" s="273" t="str">
        <f>IFERROR(__xludf.DUMMYFUNCTION("""COMPUTED_VALUE"""),"Barto Club / Captain ~ Bartolomeo")</f>
        <v>Barto Club / Captain ~ Bartolomeo</v>
      </c>
      <c r="O238" s="273">
        <f>IFERROR(__xludf.DUMMYFUNCTION("""COMPUTED_VALUE"""),106.0)</f>
        <v>106</v>
      </c>
      <c r="P238" s="275" t="str">
        <f t="shared" si="2"/>
        <v/>
      </c>
      <c r="Q238" s="273" t="str">
        <f>IFERROR(__xludf.DUMMYFUNCTION("""COMPUTED_VALUE"""),"189 Big Mom Pirates / Crewmate - Charlotte Pudding 2")</f>
        <v>189 Big Mom Pirates / Crewmate - Charlotte Pudding 2</v>
      </c>
      <c r="R238" s="273"/>
      <c r="S238" s="273"/>
      <c r="T238" s="273"/>
      <c r="U238" s="273"/>
      <c r="V238" s="273"/>
      <c r="W238" s="273"/>
      <c r="X238" s="273"/>
      <c r="Y238" s="273"/>
      <c r="Z238" s="273"/>
      <c r="AA238" s="273"/>
      <c r="AB238" s="273"/>
      <c r="AC238" s="273"/>
    </row>
    <row r="239" ht="75.0" customHeight="1">
      <c r="A239" s="272" t="s">
        <v>2739</v>
      </c>
      <c r="B239" s="273"/>
      <c r="C239" s="274" t="s">
        <v>2740</v>
      </c>
      <c r="D239" s="274" t="s">
        <v>2740</v>
      </c>
      <c r="E239" s="273"/>
      <c r="F239" s="275"/>
      <c r="G239" s="273" t="s">
        <v>2741</v>
      </c>
      <c r="H239" s="273" t="str">
        <f t="shared" si="1"/>
        <v>Cyborg ~ Queen</v>
      </c>
      <c r="I239" s="275"/>
      <c r="J239" s="274" t="s">
        <v>2742</v>
      </c>
      <c r="K239" s="273"/>
      <c r="L239" s="273"/>
      <c r="M239" s="273"/>
      <c r="N239" s="273" t="str">
        <f>IFERROR(__xludf.DUMMYFUNCTION("""COMPUTED_VALUE"""),"The Parmount War ~ Monkey D. Luffy")</f>
        <v>The Parmount War ~ Monkey D. Luffy</v>
      </c>
      <c r="O239" s="273">
        <f>IFERROR(__xludf.DUMMYFUNCTION("""COMPUTED_VALUE"""),105.0)</f>
        <v>105</v>
      </c>
      <c r="P239" s="275" t="str">
        <f t="shared" si="2"/>
        <v/>
      </c>
      <c r="Q239" s="273" t="str">
        <f>IFERROR(__xludf.DUMMYFUNCTION("""COMPUTED_VALUE"""),"264 Cyborg - Queen")</f>
        <v>264 Cyborg - Queen</v>
      </c>
      <c r="R239" s="273"/>
      <c r="S239" s="273"/>
      <c r="T239" s="273"/>
      <c r="U239" s="273"/>
      <c r="V239" s="273"/>
      <c r="W239" s="273"/>
      <c r="X239" s="273"/>
      <c r="Y239" s="273"/>
      <c r="Z239" s="273"/>
      <c r="AA239" s="273"/>
      <c r="AB239" s="273"/>
      <c r="AC239" s="273"/>
    </row>
    <row r="240" ht="75.0" customHeight="1">
      <c r="A240" s="272" t="s">
        <v>2743</v>
      </c>
      <c r="B240" s="273"/>
      <c r="C240" s="274" t="s">
        <v>2744</v>
      </c>
      <c r="D240" s="274" t="s">
        <v>2744</v>
      </c>
      <c r="E240" s="273"/>
      <c r="F240" s="275"/>
      <c r="G240" s="273" t="s">
        <v>2745</v>
      </c>
      <c r="H240" s="273" t="str">
        <f t="shared" si="1"/>
        <v>Animal Kingdom Pirates / Lead Performer ~ Queen</v>
      </c>
      <c r="I240" s="275"/>
      <c r="J240" s="274" t="s">
        <v>2746</v>
      </c>
      <c r="K240" s="273"/>
      <c r="L240" s="273"/>
      <c r="M240" s="273"/>
      <c r="N240" s="273" t="str">
        <f>IFERROR(__xludf.DUMMYFUNCTION("""COMPUTED_VALUE"""),"The Four Emperors ~ Shanks")</f>
        <v>The Four Emperors ~ Shanks</v>
      </c>
      <c r="O240" s="273">
        <f>IFERROR(__xludf.DUMMYFUNCTION("""COMPUTED_VALUE"""),104.0)</f>
        <v>104</v>
      </c>
      <c r="P240" s="275" t="str">
        <f t="shared" si="2"/>
        <v/>
      </c>
      <c r="Q240" s="273" t="str">
        <f>IFERROR(__xludf.DUMMYFUNCTION("""COMPUTED_VALUE"""),"196 Animal Kingdom Pirates / Lead Performer - Queen")</f>
        <v>196 Animal Kingdom Pirates / Lead Performer - Queen</v>
      </c>
      <c r="R240" s="273"/>
      <c r="S240" s="273"/>
      <c r="T240" s="273"/>
      <c r="U240" s="273"/>
      <c r="V240" s="273"/>
      <c r="W240" s="273"/>
      <c r="X240" s="273"/>
      <c r="Y240" s="273"/>
      <c r="Z240" s="273"/>
      <c r="AA240" s="273"/>
      <c r="AB240" s="273"/>
      <c r="AC240" s="273"/>
    </row>
    <row r="241" ht="75.0" customHeight="1">
      <c r="A241" s="272" t="s">
        <v>2747</v>
      </c>
      <c r="B241" s="273"/>
      <c r="C241" s="274" t="s">
        <v>2748</v>
      </c>
      <c r="D241" s="274" t="s">
        <v>2748</v>
      </c>
      <c r="E241" s="273"/>
      <c r="F241" s="275"/>
      <c r="G241" s="273" t="s">
        <v>2749</v>
      </c>
      <c r="H241" s="273" t="str">
        <f t="shared" si="1"/>
        <v>Kozuki Clan / Servant ~ Raizo</v>
      </c>
      <c r="I241" s="275"/>
      <c r="J241" s="274" t="s">
        <v>2750</v>
      </c>
      <c r="K241" s="273"/>
      <c r="L241" s="273"/>
      <c r="M241" s="273"/>
      <c r="N241" s="273" t="str">
        <f>IFERROR(__xludf.DUMMYFUNCTION("""COMPUTED_VALUE"""),"The Seven Warlords of the Sea ~ Marshall D. Teach")</f>
        <v>The Seven Warlords of the Sea ~ Marshall D. Teach</v>
      </c>
      <c r="O241" s="273">
        <f>IFERROR(__xludf.DUMMYFUNCTION("""COMPUTED_VALUE"""),103.0)</f>
        <v>103</v>
      </c>
      <c r="P241" s="275" t="str">
        <f t="shared" si="2"/>
        <v/>
      </c>
      <c r="Q241" s="273" t="str">
        <f>IFERROR(__xludf.DUMMYFUNCTION("""COMPUTED_VALUE"""),"228 Kozuki Clan / Servant - Raizo")</f>
        <v>228 Kozuki Clan / Servant - Raizo</v>
      </c>
      <c r="R241" s="273"/>
      <c r="S241" s="273"/>
      <c r="T241" s="273"/>
      <c r="U241" s="273"/>
      <c r="V241" s="273"/>
      <c r="W241" s="273"/>
      <c r="X241" s="273"/>
      <c r="Y241" s="273"/>
      <c r="Z241" s="273"/>
      <c r="AA241" s="273"/>
      <c r="AB241" s="273"/>
      <c r="AC241" s="273"/>
    </row>
    <row r="242" ht="75.0" customHeight="1">
      <c r="A242" s="272" t="s">
        <v>2751</v>
      </c>
      <c r="B242" s="273"/>
      <c r="C242" s="274" t="s">
        <v>2752</v>
      </c>
      <c r="D242" s="274" t="s">
        <v>2752</v>
      </c>
      <c r="E242" s="273"/>
      <c r="F242" s="275"/>
      <c r="G242" s="273" t="s">
        <v>2753</v>
      </c>
      <c r="H242" s="273" t="str">
        <f t="shared" si="1"/>
        <v>Ex-Roger Pirates / First Mate ~ Silvers Rayleigh</v>
      </c>
      <c r="I242" s="275"/>
      <c r="J242" s="274" t="s">
        <v>2754</v>
      </c>
      <c r="K242" s="273"/>
      <c r="L242" s="273"/>
      <c r="M242" s="273"/>
      <c r="N242" s="273" t="str">
        <f>IFERROR(__xludf.DUMMYFUNCTION("""COMPUTED_VALUE"""),"Navy HQ / Vice Admiral ~ Monkey D. Garb")</f>
        <v>Navy HQ / Vice Admiral ~ Monkey D. Garb</v>
      </c>
      <c r="O242" s="273">
        <f>IFERROR(__xludf.DUMMYFUNCTION("""COMPUTED_VALUE"""),102.0)</f>
        <v>102</v>
      </c>
      <c r="P242" s="275" t="str">
        <f t="shared" si="2"/>
        <v/>
      </c>
      <c r="Q242" s="273" t="str">
        <f>IFERROR(__xludf.DUMMYFUNCTION("""COMPUTED_VALUE"""),"280 Ex-Roger Pirates / First Mate - Silvers Rayleigh")</f>
        <v>280 Ex-Roger Pirates / First Mate - Silvers Rayleigh</v>
      </c>
      <c r="R242" s="273"/>
      <c r="S242" s="273"/>
      <c r="T242" s="273"/>
      <c r="U242" s="273"/>
      <c r="V242" s="273"/>
      <c r="W242" s="273"/>
      <c r="X242" s="273"/>
      <c r="Y242" s="273"/>
      <c r="Z242" s="273"/>
      <c r="AA242" s="273"/>
      <c r="AB242" s="273"/>
      <c r="AC242" s="273"/>
    </row>
    <row r="243" ht="75.0" customHeight="1">
      <c r="A243" s="272" t="s">
        <v>2755</v>
      </c>
      <c r="B243" s="273"/>
      <c r="C243" s="274" t="s">
        <v>2756</v>
      </c>
      <c r="D243" s="274" t="s">
        <v>2756</v>
      </c>
      <c r="E243" s="273"/>
      <c r="F243" s="275"/>
      <c r="G243" s="273" t="s">
        <v>2757</v>
      </c>
      <c r="H243" s="273" t="str">
        <f t="shared" si="1"/>
        <v>The Pirate King`s Right Arm The Dark King ~ Silvers Rayleigh</v>
      </c>
      <c r="I243" s="275"/>
      <c r="J243" s="274" t="s">
        <v>2758</v>
      </c>
      <c r="K243" s="273"/>
      <c r="L243" s="273"/>
      <c r="M243" s="273"/>
      <c r="N243" s="273" t="str">
        <f>IFERROR(__xludf.DUMMYFUNCTION("""COMPUTED_VALUE"""),"Whitebeard Pirates / 1st Division Commander ~ Marco")</f>
        <v>Whitebeard Pirates / 1st Division Commander ~ Marco</v>
      </c>
      <c r="O243" s="273">
        <f>IFERROR(__xludf.DUMMYFUNCTION("""COMPUTED_VALUE"""),101.0)</f>
        <v>101</v>
      </c>
      <c r="P243" s="275" t="str">
        <f t="shared" si="2"/>
        <v/>
      </c>
      <c r="Q243" s="273" t="str">
        <f>IFERROR(__xludf.DUMMYFUNCTION("""COMPUTED_VALUE"""),"120 The Pirate King`s Right Arm The Dark King - Silvers Rayleigh")</f>
        <v>120 The Pirate King`s Right Arm The Dark King - Silvers Rayleigh</v>
      </c>
      <c r="R243" s="273"/>
      <c r="S243" s="273"/>
      <c r="T243" s="273"/>
      <c r="U243" s="273"/>
      <c r="V243" s="273"/>
      <c r="W243" s="273"/>
      <c r="X243" s="273"/>
      <c r="Y243" s="273"/>
      <c r="Z243" s="273"/>
      <c r="AA243" s="273"/>
      <c r="AB243" s="273"/>
      <c r="AC243" s="273"/>
    </row>
    <row r="244" ht="75.0" customHeight="1">
      <c r="A244" s="272" t="s">
        <v>2759</v>
      </c>
      <c r="B244" s="273"/>
      <c r="C244" s="274" t="s">
        <v>2760</v>
      </c>
      <c r="D244" s="274" t="s">
        <v>2760</v>
      </c>
      <c r="E244" s="273"/>
      <c r="F244" s="275"/>
      <c r="G244" s="273" t="s">
        <v>2761</v>
      </c>
      <c r="H244" s="273" t="str">
        <f t="shared" si="1"/>
        <v>Roger Pirates / First Mate ~ Silvers Rayleigh</v>
      </c>
      <c r="I244" s="275"/>
      <c r="J244" s="274" t="s">
        <v>2762</v>
      </c>
      <c r="K244" s="273"/>
      <c r="L244" s="273"/>
      <c r="M244" s="273"/>
      <c r="N244" s="273" t="str">
        <f>IFERROR(__xludf.DUMMYFUNCTION("""COMPUTED_VALUE"""),"Son of the King of the Pirates ~ Portgaz D. Ace")</f>
        <v>Son of the King of the Pirates ~ Portgaz D. Ace</v>
      </c>
      <c r="O244" s="273">
        <f>IFERROR(__xludf.DUMMYFUNCTION("""COMPUTED_VALUE"""),100.0)</f>
        <v>100</v>
      </c>
      <c r="P244" s="275" t="str">
        <f t="shared" si="2"/>
        <v/>
      </c>
      <c r="Q244" s="273" t="str">
        <f>IFERROR(__xludf.DUMMYFUNCTION("""COMPUTED_VALUE"""),"191 Roger Pirates / First Mate - Silvers Rayleigh")</f>
        <v>191 Roger Pirates / First Mate - Silvers Rayleigh</v>
      </c>
      <c r="R244" s="273"/>
      <c r="S244" s="273"/>
      <c r="T244" s="273"/>
      <c r="U244" s="273"/>
      <c r="V244" s="273"/>
      <c r="W244" s="273"/>
      <c r="X244" s="273"/>
      <c r="Y244" s="273"/>
      <c r="Z244" s="273"/>
      <c r="AA244" s="273"/>
      <c r="AB244" s="273"/>
      <c r="AC244" s="273"/>
    </row>
    <row r="245" ht="75.0" customHeight="1">
      <c r="A245" s="272" t="s">
        <v>2763</v>
      </c>
      <c r="B245" s="273"/>
      <c r="C245" s="274" t="s">
        <v>2764</v>
      </c>
      <c r="D245" s="274" t="s">
        <v>2764</v>
      </c>
      <c r="E245" s="273"/>
      <c r="F245" s="275"/>
      <c r="G245" s="273" t="s">
        <v>2765</v>
      </c>
      <c r="H245" s="273" t="str">
        <f t="shared" si="1"/>
        <v>The Undefeated Woman ~ Rebecca</v>
      </c>
      <c r="I245" s="275"/>
      <c r="J245" s="274" t="s">
        <v>2766</v>
      </c>
      <c r="K245" s="273"/>
      <c r="L245" s="273"/>
      <c r="M245" s="273"/>
      <c r="N245" s="273" t="str">
        <f>IFERROR(__xludf.DUMMYFUNCTION("""COMPUTED_VALUE"""),"Animal Kingdom Pirates / Supreme Commander ~ Kaido")</f>
        <v>Animal Kingdom Pirates / Supreme Commander ~ Kaido</v>
      </c>
      <c r="O245" s="273">
        <f>IFERROR(__xludf.DUMMYFUNCTION("""COMPUTED_VALUE"""),99.0)</f>
        <v>99</v>
      </c>
      <c r="P245" s="275" t="str">
        <f t="shared" si="2"/>
        <v/>
      </c>
      <c r="Q245" s="273" t="str">
        <f>IFERROR(__xludf.DUMMYFUNCTION("""COMPUTED_VALUE"""),"132 The Undefeated Woman - Rebecca")</f>
        <v>132 The Undefeated Woman - Rebecca</v>
      </c>
      <c r="R245" s="273"/>
      <c r="S245" s="273"/>
      <c r="T245" s="273"/>
      <c r="U245" s="273"/>
      <c r="V245" s="273"/>
      <c r="W245" s="273"/>
      <c r="X245" s="273"/>
      <c r="Y245" s="273"/>
      <c r="Z245" s="273"/>
      <c r="AA245" s="273"/>
      <c r="AB245" s="273"/>
      <c r="AC245" s="273"/>
    </row>
    <row r="246" ht="75.0" customHeight="1">
      <c r="A246" s="272" t="s">
        <v>2767</v>
      </c>
      <c r="B246" s="273"/>
      <c r="C246" s="274" t="s">
        <v>2768</v>
      </c>
      <c r="D246" s="274" t="s">
        <v>2768</v>
      </c>
      <c r="E246" s="273"/>
      <c r="F246" s="275"/>
      <c r="G246" s="273" t="s">
        <v>2769</v>
      </c>
      <c r="H246" s="273" t="str">
        <f t="shared" si="1"/>
        <v>Germa 66 ~ Vinsmoke Reiju</v>
      </c>
      <c r="I246" s="275"/>
      <c r="J246" s="274" t="s">
        <v>2770</v>
      </c>
      <c r="K246" s="273"/>
      <c r="L246" s="273"/>
      <c r="M246" s="273"/>
      <c r="N246" s="273" t="str">
        <f>IFERROR(__xludf.DUMMYFUNCTION("""COMPUTED_VALUE"""),"Happy Holiday ~ Nico Robin")</f>
        <v>Happy Holiday ~ Nico Robin</v>
      </c>
      <c r="O246" s="273">
        <f>IFERROR(__xludf.DUMMYFUNCTION("""COMPUTED_VALUE"""),98.0)</f>
        <v>98</v>
      </c>
      <c r="P246" s="275" t="str">
        <f t="shared" si="2"/>
        <v/>
      </c>
      <c r="Q246" s="273" t="str">
        <f>IFERROR(__xludf.DUMMYFUNCTION("""COMPUTED_VALUE"""),"094 Germa 66 - Vinsmoke Reiju")</f>
        <v>094 Germa 66 - Vinsmoke Reiju</v>
      </c>
      <c r="R246" s="273"/>
      <c r="S246" s="273"/>
      <c r="T246" s="273"/>
      <c r="U246" s="273"/>
      <c r="V246" s="273"/>
      <c r="W246" s="273"/>
      <c r="X246" s="273"/>
      <c r="Y246" s="273"/>
      <c r="Z246" s="273"/>
      <c r="AA246" s="273"/>
      <c r="AB246" s="273"/>
      <c r="AC246" s="273"/>
    </row>
    <row r="247" ht="75.0" customHeight="1">
      <c r="A247" s="272" t="s">
        <v>2771</v>
      </c>
      <c r="B247" s="273"/>
      <c r="C247" s="274" t="s">
        <v>2772</v>
      </c>
      <c r="D247" s="274" t="s">
        <v>2772</v>
      </c>
      <c r="E247" s="273"/>
      <c r="F247" s="275"/>
      <c r="G247" s="273" t="s">
        <v>2773</v>
      </c>
      <c r="H247" s="273" t="str">
        <f t="shared" si="1"/>
        <v>2 Years Later / Archaeologist ~ Nico Robin</v>
      </c>
      <c r="I247" s="275"/>
      <c r="J247" s="274" t="s">
        <v>2774</v>
      </c>
      <c r="K247" s="273"/>
      <c r="L247" s="273"/>
      <c r="M247" s="273"/>
      <c r="N247" s="273" t="str">
        <f>IFERROR(__xludf.DUMMYFUNCTION("""COMPUTED_VALUE"""),"Happy Holiday ~ Franky")</f>
        <v>Happy Holiday ~ Franky</v>
      </c>
      <c r="O247" s="273">
        <f>IFERROR(__xludf.DUMMYFUNCTION("""COMPUTED_VALUE"""),97.0)</f>
        <v>97</v>
      </c>
      <c r="P247" s="275" t="str">
        <f t="shared" si="2"/>
        <v/>
      </c>
      <c r="Q247" s="273" t="str">
        <f>IFERROR(__xludf.DUMMYFUNCTION("""COMPUTED_VALUE"""),"070 2 Years Later / Archaeologist - Nico Robin")</f>
        <v>070 2 Years Later / Archaeologist - Nico Robin</v>
      </c>
      <c r="R247" s="273"/>
      <c r="S247" s="273"/>
      <c r="T247" s="273"/>
      <c r="U247" s="273"/>
      <c r="V247" s="273"/>
      <c r="W247" s="273"/>
      <c r="X247" s="273"/>
      <c r="Y247" s="273"/>
      <c r="Z247" s="273"/>
      <c r="AA247" s="273"/>
      <c r="AB247" s="273"/>
      <c r="AC247" s="273"/>
    </row>
    <row r="248" ht="75.0" customHeight="1">
      <c r="A248" s="272" t="s">
        <v>2775</v>
      </c>
      <c r="B248" s="273"/>
      <c r="C248" s="274" t="s">
        <v>2776</v>
      </c>
      <c r="D248" s="274" t="s">
        <v>2776</v>
      </c>
      <c r="E248" s="273"/>
      <c r="F248" s="275"/>
      <c r="G248" s="273" t="s">
        <v>2777</v>
      </c>
      <c r="H248" s="273" t="str">
        <f t="shared" si="1"/>
        <v>Raid on Onigashima ~ Nico Robin</v>
      </c>
      <c r="I248" s="275"/>
      <c r="J248" s="274" t="s">
        <v>2778</v>
      </c>
      <c r="K248" s="273"/>
      <c r="L248" s="273"/>
      <c r="M248" s="273"/>
      <c r="N248" s="273" t="str">
        <f>IFERROR(__xludf.DUMMYFUNCTION("""COMPUTED_VALUE"""),"Happy Holiday ~ Tony Tony Chopper")</f>
        <v>Happy Holiday ~ Tony Tony Chopper</v>
      </c>
      <c r="O248" s="273">
        <f>IFERROR(__xludf.DUMMYFUNCTION("""COMPUTED_VALUE"""),96.0)</f>
        <v>96</v>
      </c>
      <c r="P248" s="275" t="str">
        <f t="shared" si="2"/>
        <v/>
      </c>
      <c r="Q248" s="273" t="str">
        <f>IFERROR(__xludf.DUMMYFUNCTION("""COMPUTED_VALUE"""),"248 Raid on Onigashima - Nico Robin")</f>
        <v>248 Raid on Onigashima - Nico Robin</v>
      </c>
      <c r="R248" s="273"/>
      <c r="S248" s="273"/>
      <c r="T248" s="273"/>
      <c r="U248" s="273"/>
      <c r="V248" s="273"/>
      <c r="W248" s="273"/>
      <c r="X248" s="273"/>
      <c r="Y248" s="273"/>
      <c r="Z248" s="273"/>
      <c r="AA248" s="273"/>
      <c r="AB248" s="273"/>
      <c r="AC248" s="273"/>
    </row>
    <row r="249" ht="75.0" customHeight="1">
      <c r="A249" s="272" t="s">
        <v>2779</v>
      </c>
      <c r="B249" s="273"/>
      <c r="C249" s="274" t="s">
        <v>2780</v>
      </c>
      <c r="D249" s="274" t="s">
        <v>2780</v>
      </c>
      <c r="E249" s="273"/>
      <c r="F249" s="275"/>
      <c r="G249" s="273" t="s">
        <v>2781</v>
      </c>
      <c r="H249" s="273" t="str">
        <f t="shared" si="1"/>
        <v>Baroque Works / Vice President ~ Ms. All Sunday</v>
      </c>
      <c r="I249" s="275"/>
      <c r="J249" s="274" t="s">
        <v>2782</v>
      </c>
      <c r="K249" s="273"/>
      <c r="L249" s="273"/>
      <c r="M249" s="273"/>
      <c r="N249" s="273" t="str">
        <f>IFERROR(__xludf.DUMMYFUNCTION("""COMPUTED_VALUE"""),"The Seven Warlords of the Sea ~ Bartholomew Kuma")</f>
        <v>The Seven Warlords of the Sea ~ Bartholomew Kuma</v>
      </c>
      <c r="O249" s="273">
        <f>IFERROR(__xludf.DUMMYFUNCTION("""COMPUTED_VALUE"""),95.0)</f>
        <v>95</v>
      </c>
      <c r="P249" s="275" t="str">
        <f t="shared" si="2"/>
        <v/>
      </c>
      <c r="Q249" s="273" t="str">
        <f>IFERROR(__xludf.DUMMYFUNCTION("""COMPUTED_VALUE"""),"052 Baroque Works / Vice President - Ms. All Sunday")</f>
        <v>052 Baroque Works / Vice President - Ms. All Sunday</v>
      </c>
      <c r="R249" s="273"/>
      <c r="S249" s="273"/>
      <c r="T249" s="273"/>
      <c r="U249" s="273"/>
      <c r="V249" s="273"/>
      <c r="W249" s="273"/>
      <c r="X249" s="273"/>
      <c r="Y249" s="273"/>
      <c r="Z249" s="273"/>
      <c r="AA249" s="273"/>
      <c r="AB249" s="273"/>
      <c r="AC249" s="273"/>
    </row>
    <row r="250" ht="75.0" customHeight="1">
      <c r="A250" s="272" t="s">
        <v>2783</v>
      </c>
      <c r="B250" s="273"/>
      <c r="C250" s="274" t="s">
        <v>2784</v>
      </c>
      <c r="D250" s="274" t="s">
        <v>2784</v>
      </c>
      <c r="E250" s="273"/>
      <c r="F250" s="275"/>
      <c r="G250" s="273" t="s">
        <v>2785</v>
      </c>
      <c r="H250" s="273" t="str">
        <f t="shared" si="1"/>
        <v>Egghead ~ Nico Robin</v>
      </c>
      <c r="I250" s="275"/>
      <c r="J250" s="274" t="s">
        <v>2786</v>
      </c>
      <c r="K250" s="273"/>
      <c r="L250" s="273"/>
      <c r="M250" s="273"/>
      <c r="N250" s="273" t="str">
        <f>IFERROR(__xludf.DUMMYFUNCTION("""COMPUTED_VALUE"""),"Germa 66 ~ Vinsmoke Reiju")</f>
        <v>Germa 66 ~ Vinsmoke Reiju</v>
      </c>
      <c r="O250" s="273">
        <f>IFERROR(__xludf.DUMMYFUNCTION("""COMPUTED_VALUE"""),94.0)</f>
        <v>94</v>
      </c>
      <c r="P250" s="275" t="str">
        <f t="shared" si="2"/>
        <v/>
      </c>
      <c r="Q250" s="273" t="str">
        <f>IFERROR(__xludf.DUMMYFUNCTION("""COMPUTED_VALUE"""),"332 Egghead - Nico Robin")</f>
        <v>332 Egghead - Nico Robin</v>
      </c>
      <c r="R250" s="273"/>
      <c r="S250" s="273"/>
      <c r="T250" s="273"/>
      <c r="U250" s="273"/>
      <c r="V250" s="273"/>
      <c r="W250" s="273"/>
      <c r="X250" s="273"/>
      <c r="Y250" s="273"/>
      <c r="Z250" s="273"/>
      <c r="AA250" s="273"/>
      <c r="AB250" s="273"/>
      <c r="AC250" s="273"/>
    </row>
    <row r="251" ht="75.0" customHeight="1">
      <c r="A251" s="272" t="s">
        <v>2787</v>
      </c>
      <c r="B251" s="273"/>
      <c r="C251" s="274" t="s">
        <v>2788</v>
      </c>
      <c r="D251" s="274" t="s">
        <v>2788</v>
      </c>
      <c r="E251" s="273"/>
      <c r="F251" s="275"/>
      <c r="G251" s="273" t="s">
        <v>2789</v>
      </c>
      <c r="H251" s="273" t="str">
        <f t="shared" si="1"/>
        <v>Enies Lobby ~ Nico Robin</v>
      </c>
      <c r="I251" s="275"/>
      <c r="J251" s="274" t="s">
        <v>2790</v>
      </c>
      <c r="K251" s="273"/>
      <c r="L251" s="273"/>
      <c r="M251" s="273"/>
      <c r="N251" s="273" t="str">
        <f>IFERROR(__xludf.DUMMYFUNCTION("""COMPUTED_VALUE"""),"Firetank Pirates / Godfather ~ Capone Bege")</f>
        <v>Firetank Pirates / Godfather ~ Capone Bege</v>
      </c>
      <c r="O251" s="273">
        <f>IFERROR(__xludf.DUMMYFUNCTION("""COMPUTED_VALUE"""),93.0)</f>
        <v>93</v>
      </c>
      <c r="P251" s="275" t="str">
        <f t="shared" si="2"/>
        <v/>
      </c>
      <c r="Q251" s="273" t="str">
        <f>IFERROR(__xludf.DUMMYFUNCTION("""COMPUTED_VALUE"""),"167 Enies Lobby - Nico Robin")</f>
        <v>167 Enies Lobby - Nico Robin</v>
      </c>
      <c r="R251" s="273"/>
      <c r="S251" s="273"/>
      <c r="T251" s="273"/>
      <c r="U251" s="273"/>
      <c r="V251" s="273"/>
      <c r="W251" s="273"/>
      <c r="X251" s="273"/>
      <c r="Y251" s="273"/>
      <c r="Z251" s="273"/>
      <c r="AA251" s="273"/>
      <c r="AB251" s="273"/>
      <c r="AC251" s="273"/>
    </row>
    <row r="252" ht="75.0" customHeight="1">
      <c r="A252" s="272" t="s">
        <v>2791</v>
      </c>
      <c r="B252" s="273"/>
      <c r="C252" s="274" t="s">
        <v>2792</v>
      </c>
      <c r="D252" s="274" t="s">
        <v>2792</v>
      </c>
      <c r="E252" s="273"/>
      <c r="F252" s="275"/>
      <c r="G252" s="273" t="s">
        <v>2793</v>
      </c>
      <c r="H252" s="273" t="str">
        <f t="shared" si="1"/>
        <v>Happy Holiday ~ Nico Robin</v>
      </c>
      <c r="I252" s="275"/>
      <c r="J252" s="274" t="s">
        <v>2794</v>
      </c>
      <c r="K252" s="273"/>
      <c r="L252" s="273"/>
      <c r="M252" s="273"/>
      <c r="N252" s="273" t="str">
        <f>IFERROR(__xludf.DUMMYFUNCTION("""COMPUTED_VALUE"""),"Whole Cake Island ~ Sanji")</f>
        <v>Whole Cake Island ~ Sanji</v>
      </c>
      <c r="O252" s="273">
        <f>IFERROR(__xludf.DUMMYFUNCTION("""COMPUTED_VALUE"""),92.0)</f>
        <v>92</v>
      </c>
      <c r="P252" s="275" t="str">
        <f t="shared" si="2"/>
        <v/>
      </c>
      <c r="Q252" s="273" t="str">
        <f>IFERROR(__xludf.DUMMYFUNCTION("""COMPUTED_VALUE"""),"098 Happy Holiday - Nico Robin")</f>
        <v>098 Happy Holiday - Nico Robin</v>
      </c>
      <c r="R252" s="273"/>
      <c r="S252" s="273"/>
      <c r="T252" s="273"/>
      <c r="U252" s="273"/>
      <c r="V252" s="273"/>
      <c r="W252" s="273"/>
      <c r="X252" s="273"/>
      <c r="Y252" s="273"/>
      <c r="Z252" s="273"/>
      <c r="AA252" s="273"/>
      <c r="AB252" s="273"/>
      <c r="AC252" s="273"/>
    </row>
    <row r="253" ht="75.0" customHeight="1">
      <c r="A253" s="272" t="s">
        <v>2795</v>
      </c>
      <c r="B253" s="273"/>
      <c r="C253" s="274" t="s">
        <v>2796</v>
      </c>
      <c r="D253" s="274" t="s">
        <v>2796</v>
      </c>
      <c r="E253" s="273"/>
      <c r="F253" s="275"/>
      <c r="G253" s="273" t="s">
        <v>2797</v>
      </c>
      <c r="H253" s="273" t="str">
        <f t="shared" si="1"/>
        <v>Straw Hat Pirates / Archaeologist ~ Nico Robin</v>
      </c>
      <c r="I253" s="275"/>
      <c r="J253" s="274" t="s">
        <v>2798</v>
      </c>
      <c r="K253" s="273"/>
      <c r="L253" s="273"/>
      <c r="M253" s="273"/>
      <c r="N253" s="273" t="str">
        <f>IFERROR(__xludf.DUMMYFUNCTION("""COMPUTED_VALUE"""),"The Seven Warlords of the Sea ~ Jinbe")</f>
        <v>The Seven Warlords of the Sea ~ Jinbe</v>
      </c>
      <c r="O253" s="273">
        <f>IFERROR(__xludf.DUMMYFUNCTION("""COMPUTED_VALUE"""),91.0)</f>
        <v>91</v>
      </c>
      <c r="P253" s="275" t="str">
        <f t="shared" si="2"/>
        <v/>
      </c>
      <c r="Q253" s="273" t="str">
        <f>IFERROR(__xludf.DUMMYFUNCTION("""COMPUTED_VALUE"""),"007 Straw Hat Pirates / Archaeologist - Nico Robin")</f>
        <v>007 Straw Hat Pirates / Archaeologist - Nico Robin</v>
      </c>
      <c r="R253" s="273"/>
      <c r="S253" s="273"/>
      <c r="T253" s="273"/>
      <c r="U253" s="273"/>
      <c r="V253" s="273"/>
      <c r="W253" s="273"/>
      <c r="X253" s="273"/>
      <c r="Y253" s="273"/>
      <c r="Z253" s="273"/>
      <c r="AA253" s="273"/>
      <c r="AB253" s="273"/>
      <c r="AC253" s="273"/>
    </row>
    <row r="254" ht="75.0" customHeight="1">
      <c r="A254" s="272" t="s">
        <v>2799</v>
      </c>
      <c r="B254" s="273"/>
      <c r="C254" s="274" t="s">
        <v>2800</v>
      </c>
      <c r="D254" s="274" t="s">
        <v>2800</v>
      </c>
      <c r="E254" s="273"/>
      <c r="F254" s="275"/>
      <c r="G254" s="273" t="s">
        <v>2801</v>
      </c>
      <c r="H254" s="273" t="str">
        <f t="shared" si="1"/>
        <v>Land of Wano ~ Orobi</v>
      </c>
      <c r="I254" s="275"/>
      <c r="J254" s="274" t="s">
        <v>2802</v>
      </c>
      <c r="K254" s="273"/>
      <c r="L254" s="273"/>
      <c r="M254" s="273"/>
      <c r="N254" s="273" t="str">
        <f>IFERROR(__xludf.DUMMYFUNCTION("""COMPUTED_VALUE"""),"Imprisoned Bride ~ Nami")</f>
        <v>Imprisoned Bride ~ Nami</v>
      </c>
      <c r="O254" s="273">
        <f>IFERROR(__xludf.DUMMYFUNCTION("""COMPUTED_VALUE"""),90.0)</f>
        <v>90</v>
      </c>
      <c r="P254" s="275" t="str">
        <f t="shared" si="2"/>
        <v/>
      </c>
      <c r="Q254" s="273" t="str">
        <f>IFERROR(__xludf.DUMMYFUNCTION("""COMPUTED_VALUE"""),"176 Land of Wano - Orobi")</f>
        <v>176 Land of Wano - Orobi</v>
      </c>
      <c r="R254" s="273"/>
      <c r="S254" s="273"/>
      <c r="T254" s="273"/>
      <c r="U254" s="273"/>
      <c r="V254" s="273"/>
      <c r="W254" s="273"/>
      <c r="X254" s="273"/>
      <c r="Y254" s="273"/>
      <c r="Z254" s="273"/>
      <c r="AA254" s="273"/>
      <c r="AB254" s="273"/>
      <c r="AC254" s="273"/>
    </row>
    <row r="255" ht="75.0" customHeight="1">
      <c r="A255" s="272" t="s">
        <v>2803</v>
      </c>
      <c r="B255" s="273"/>
      <c r="C255" s="274" t="s">
        <v>2804</v>
      </c>
      <c r="D255" s="274" t="s">
        <v>2804</v>
      </c>
      <c r="E255" s="273"/>
      <c r="F255" s="275"/>
      <c r="G255" s="273" t="s">
        <v>2805</v>
      </c>
      <c r="H255" s="273" t="str">
        <f t="shared" si="1"/>
        <v>King of the Pirates ~ Gol D. Roger</v>
      </c>
      <c r="I255" s="275"/>
      <c r="J255" s="274" t="s">
        <v>2806</v>
      </c>
      <c r="K255" s="273"/>
      <c r="L255" s="273"/>
      <c r="M255" s="273"/>
      <c r="N255" s="273" t="str">
        <f>IFERROR(__xludf.DUMMYFUNCTION("""COMPUTED_VALUE"""),"Thriller Park Pirates / Mysterious Four ~ Perona")</f>
        <v>Thriller Park Pirates / Mysterious Four ~ Perona</v>
      </c>
      <c r="O255" s="273">
        <f>IFERROR(__xludf.DUMMYFUNCTION("""COMPUTED_VALUE"""),89.0)</f>
        <v>89</v>
      </c>
      <c r="P255" s="275" t="str">
        <f t="shared" si="2"/>
        <v/>
      </c>
      <c r="Q255" s="273" t="str">
        <f>IFERROR(__xludf.DUMMYFUNCTION("""COMPUTED_VALUE"""),"154 King of the Pirates - Gol D. Roger")</f>
        <v>154 King of the Pirates - Gol D. Roger</v>
      </c>
      <c r="R255" s="273"/>
      <c r="S255" s="273"/>
      <c r="T255" s="273"/>
      <c r="U255" s="273"/>
      <c r="V255" s="273"/>
      <c r="W255" s="273"/>
      <c r="X255" s="273"/>
      <c r="Y255" s="273"/>
      <c r="Z255" s="273"/>
      <c r="AA255" s="273"/>
      <c r="AB255" s="273"/>
      <c r="AC255" s="273"/>
    </row>
    <row r="256" ht="75.0" customHeight="1">
      <c r="A256" s="272" t="s">
        <v>2807</v>
      </c>
      <c r="B256" s="273"/>
      <c r="C256" s="274" t="s">
        <v>2808</v>
      </c>
      <c r="D256" s="274" t="s">
        <v>2808</v>
      </c>
      <c r="E256" s="273"/>
      <c r="F256" s="275"/>
      <c r="G256" s="273" t="s">
        <v>2809</v>
      </c>
      <c r="H256" s="273" t="str">
        <f t="shared" si="1"/>
        <v>Great Pirate ~ Gol D. Roger</v>
      </c>
      <c r="I256" s="275"/>
      <c r="J256" s="274" t="s">
        <v>2810</v>
      </c>
      <c r="K256" s="273"/>
      <c r="L256" s="273"/>
      <c r="M256" s="273"/>
      <c r="N256" s="273" t="str">
        <f>IFERROR(__xludf.DUMMYFUNCTION("""COMPUTED_VALUE"""),"Legendary Samurai Zombie ~ Ryuma")</f>
        <v>Legendary Samurai Zombie ~ Ryuma</v>
      </c>
      <c r="O256" s="273">
        <f>IFERROR(__xludf.DUMMYFUNCTION("""COMPUTED_VALUE"""),88.0)</f>
        <v>88</v>
      </c>
      <c r="P256" s="275" t="str">
        <f t="shared" si="2"/>
        <v/>
      </c>
      <c r="Q256" s="273" t="str">
        <f>IFERROR(__xludf.DUMMYFUNCTION("""COMPUTED_VALUE"""),"279 Great Pirate - Gol D. Roger")</f>
        <v>279 Great Pirate - Gol D. Roger</v>
      </c>
      <c r="R256" s="273"/>
      <c r="S256" s="273"/>
      <c r="T256" s="273"/>
      <c r="U256" s="273"/>
      <c r="V256" s="273"/>
      <c r="W256" s="273"/>
      <c r="X256" s="273"/>
      <c r="Y256" s="273"/>
      <c r="Z256" s="273"/>
      <c r="AA256" s="273"/>
      <c r="AB256" s="273"/>
      <c r="AC256" s="273"/>
    </row>
    <row r="257" ht="75.0" customHeight="1">
      <c r="A257" s="272" t="s">
        <v>2811</v>
      </c>
      <c r="B257" s="273"/>
      <c r="C257" s="274" t="s">
        <v>2812</v>
      </c>
      <c r="D257" s="274" t="s">
        <v>2812</v>
      </c>
      <c r="E257" s="273"/>
      <c r="F257" s="275"/>
      <c r="G257" s="273" t="s">
        <v>2813</v>
      </c>
      <c r="H257" s="273" t="str">
        <f t="shared" si="1"/>
        <v>Groves of Wrath Ryokugyu ~ [Aramaki]</v>
      </c>
      <c r="I257" s="275"/>
      <c r="J257" s="274" t="s">
        <v>2814</v>
      </c>
      <c r="K257" s="273"/>
      <c r="L257" s="273"/>
      <c r="M257" s="273"/>
      <c r="N257" s="273" t="str">
        <f>IFERROR(__xludf.DUMMYFUNCTION("""COMPUTED_VALUE"""),"Ray of Hope ~ Nightmare Luffy")</f>
        <v>Ray of Hope ~ Nightmare Luffy</v>
      </c>
      <c r="O257" s="273">
        <f>IFERROR(__xludf.DUMMYFUNCTION("""COMPUTED_VALUE"""),87.0)</f>
        <v>87</v>
      </c>
      <c r="P257" s="275" t="str">
        <f t="shared" si="2"/>
        <v/>
      </c>
      <c r="Q257" s="273" t="str">
        <f>IFERROR(__xludf.DUMMYFUNCTION("""COMPUTED_VALUE"""),"325 Groves of Wrath Ryokugyu - [Aramaki]")</f>
        <v>325 Groves of Wrath Ryokugyu - [Aramaki]</v>
      </c>
      <c r="R257" s="273"/>
      <c r="S257" s="273"/>
      <c r="T257" s="273"/>
      <c r="U257" s="273"/>
      <c r="V257" s="273"/>
      <c r="W257" s="273"/>
      <c r="X257" s="273"/>
      <c r="Y257" s="273"/>
      <c r="Z257" s="273"/>
      <c r="AA257" s="273"/>
      <c r="AB257" s="273"/>
      <c r="AC257" s="273"/>
    </row>
    <row r="258" ht="75.0" customHeight="1">
      <c r="A258" s="272" t="s">
        <v>2815</v>
      </c>
      <c r="B258" s="273"/>
      <c r="C258" s="274" t="s">
        <v>2816</v>
      </c>
      <c r="D258" s="274" t="s">
        <v>2816</v>
      </c>
      <c r="E258" s="273"/>
      <c r="F258" s="275"/>
      <c r="G258" s="273" t="s">
        <v>2817</v>
      </c>
      <c r="H258" s="273" t="str">
        <f t="shared" si="1"/>
        <v>Navy HQ / Admiral Ryokugyu ~ [Aramaki]</v>
      </c>
      <c r="I258" s="275"/>
      <c r="J258" s="274" t="s">
        <v>2818</v>
      </c>
      <c r="K258" s="273"/>
      <c r="L258" s="273"/>
      <c r="M258" s="273"/>
      <c r="N258" s="273" t="str">
        <f>IFERROR(__xludf.DUMMYFUNCTION("""COMPUTED_VALUE"""),"Big Mom Pirates / ""Sweet 3"" General ~ Charlotte Katakuri")</f>
        <v>Big Mom Pirates / "Sweet 3" General ~ Charlotte Katakuri</v>
      </c>
      <c r="O258" s="273">
        <f>IFERROR(__xludf.DUMMYFUNCTION("""COMPUTED_VALUE"""),86.0)</f>
        <v>86</v>
      </c>
      <c r="P258" s="275" t="str">
        <f t="shared" si="2"/>
        <v/>
      </c>
      <c r="Q258" s="273" t="str">
        <f>IFERROR(__xludf.DUMMYFUNCTION("""COMPUTED_VALUE"""),"273 Navy HQ / Admiral Ryokugyu - [Aramaki]")</f>
        <v>273 Navy HQ / Admiral Ryokugyu - [Aramaki]</v>
      </c>
      <c r="R258" s="273"/>
      <c r="S258" s="273"/>
      <c r="T258" s="273"/>
      <c r="U258" s="273"/>
      <c r="V258" s="273"/>
      <c r="W258" s="273"/>
      <c r="X258" s="273"/>
      <c r="Y258" s="273"/>
      <c r="Z258" s="273"/>
      <c r="AA258" s="273"/>
      <c r="AB258" s="273"/>
      <c r="AC258" s="273"/>
    </row>
    <row r="259" ht="75.0" customHeight="1">
      <c r="A259" s="272" t="s">
        <v>2819</v>
      </c>
      <c r="B259" s="273"/>
      <c r="C259" s="274" t="s">
        <v>2820</v>
      </c>
      <c r="D259" s="274" t="s">
        <v>2820</v>
      </c>
      <c r="E259" s="273"/>
      <c r="F259" s="275"/>
      <c r="G259" s="273" t="s">
        <v>2821</v>
      </c>
      <c r="H259" s="273" t="str">
        <f t="shared" si="1"/>
        <v>Legendary Samurai Zombie ~ Ryuma</v>
      </c>
      <c r="I259" s="275"/>
      <c r="J259" s="274" t="s">
        <v>2822</v>
      </c>
      <c r="K259" s="273"/>
      <c r="L259" s="273"/>
      <c r="M259" s="273"/>
      <c r="N259" s="273" t="str">
        <f>IFERROR(__xludf.DUMMYFUNCTION("""COMPUTED_VALUE"""),"Big Mom Pirates / Captain ~ Charlotte Linlin")</f>
        <v>Big Mom Pirates / Captain ~ Charlotte Linlin</v>
      </c>
      <c r="O259" s="273">
        <f>IFERROR(__xludf.DUMMYFUNCTION("""COMPUTED_VALUE"""),85.0)</f>
        <v>85</v>
      </c>
      <c r="P259" s="275" t="str">
        <f t="shared" si="2"/>
        <v/>
      </c>
      <c r="Q259" s="273" t="str">
        <f>IFERROR(__xludf.DUMMYFUNCTION("""COMPUTED_VALUE"""),"088 Legendary Samurai Zombie - Ryuma")</f>
        <v>088 Legendary Samurai Zombie - Ryuma</v>
      </c>
      <c r="R259" s="273"/>
      <c r="S259" s="273"/>
      <c r="T259" s="273"/>
      <c r="U259" s="273"/>
      <c r="V259" s="273"/>
      <c r="W259" s="273"/>
      <c r="X259" s="273"/>
      <c r="Y259" s="273"/>
      <c r="Z259" s="273"/>
      <c r="AA259" s="273"/>
      <c r="AB259" s="273"/>
      <c r="AC259" s="273"/>
    </row>
    <row r="260" ht="75.0" customHeight="1">
      <c r="A260" s="272" t="s">
        <v>2823</v>
      </c>
      <c r="B260" s="273"/>
      <c r="C260" s="274" t="s">
        <v>2824</v>
      </c>
      <c r="D260" s="274" t="s">
        <v>2824</v>
      </c>
      <c r="E260" s="273"/>
      <c r="F260" s="275"/>
      <c r="G260" s="273" t="s">
        <v>2825</v>
      </c>
      <c r="H260" s="273" t="str">
        <f t="shared" si="1"/>
        <v>Flame Emperor ~ Sabo</v>
      </c>
      <c r="I260" s="275"/>
      <c r="J260" s="274" t="s">
        <v>2826</v>
      </c>
      <c r="K260" s="273"/>
      <c r="L260" s="273"/>
      <c r="M260" s="273"/>
      <c r="N260" s="273" t="str">
        <f>IFERROR(__xludf.DUMMYFUNCTION("""COMPUTED_VALUE"""),"Land of Wano ~ Zorojuro")</f>
        <v>Land of Wano ~ Zorojuro</v>
      </c>
      <c r="O260" s="273">
        <f>IFERROR(__xludf.DUMMYFUNCTION("""COMPUTED_VALUE"""),84.0)</f>
        <v>84</v>
      </c>
      <c r="P260" s="275" t="str">
        <f t="shared" si="2"/>
        <v/>
      </c>
      <c r="Q260" s="273" t="str">
        <f>IFERROR(__xludf.DUMMYFUNCTION("""COMPUTED_VALUE"""),"312 Flame Emperor - Sabo")</f>
        <v>312 Flame Emperor - Sabo</v>
      </c>
      <c r="R260" s="273"/>
      <c r="S260" s="273"/>
      <c r="T260" s="273"/>
      <c r="U260" s="273"/>
      <c r="V260" s="273"/>
      <c r="W260" s="273"/>
      <c r="X260" s="273"/>
      <c r="Y260" s="273"/>
      <c r="Z260" s="273"/>
      <c r="AA260" s="273"/>
      <c r="AB260" s="273"/>
      <c r="AC260" s="273"/>
    </row>
    <row r="261" ht="75.0" customHeight="1">
      <c r="A261" s="272" t="s">
        <v>2827</v>
      </c>
      <c r="B261" s="273"/>
      <c r="C261" s="274" t="s">
        <v>2828</v>
      </c>
      <c r="D261" s="274" t="s">
        <v>2828</v>
      </c>
      <c r="E261" s="273"/>
      <c r="F261" s="275"/>
      <c r="G261" s="273" t="s">
        <v>2829</v>
      </c>
      <c r="H261" s="273" t="str">
        <f t="shared" si="1"/>
        <v>Luffy`s Brother ~ Sabo</v>
      </c>
      <c r="I261" s="275"/>
      <c r="J261" s="274" t="s">
        <v>2830</v>
      </c>
      <c r="K261" s="273"/>
      <c r="L261" s="273"/>
      <c r="M261" s="273"/>
      <c r="N261" s="273" t="str">
        <f>IFERROR(__xludf.DUMMYFUNCTION("""COMPUTED_VALUE"""),"Land of Wano ~ Basil Hawkins")</f>
        <v>Land of Wano ~ Basil Hawkins</v>
      </c>
      <c r="O261" s="273">
        <f>IFERROR(__xludf.DUMMYFUNCTION("""COMPUTED_VALUE"""),83.0)</f>
        <v>83</v>
      </c>
      <c r="P261" s="275" t="str">
        <f t="shared" si="2"/>
        <v/>
      </c>
      <c r="Q261" s="273" t="str">
        <f>IFERROR(__xludf.DUMMYFUNCTION("""COMPUTED_VALUE"""),"109 Luffy`s Brother - Sabo")</f>
        <v>109 Luffy`s Brother - Sabo</v>
      </c>
      <c r="R261" s="273"/>
      <c r="S261" s="273"/>
      <c r="T261" s="273"/>
      <c r="U261" s="273"/>
      <c r="V261" s="273"/>
      <c r="W261" s="273"/>
      <c r="X261" s="273"/>
      <c r="Y261" s="273"/>
      <c r="Z261" s="273"/>
      <c r="AA261" s="273"/>
      <c r="AB261" s="273"/>
      <c r="AC261" s="273"/>
    </row>
    <row r="262" ht="75.0" customHeight="1">
      <c r="A262" s="272" t="s">
        <v>2831</v>
      </c>
      <c r="B262" s="273"/>
      <c r="C262" s="274" t="s">
        <v>2832</v>
      </c>
      <c r="D262" s="274" t="s">
        <v>2832</v>
      </c>
      <c r="E262" s="273"/>
      <c r="F262" s="275"/>
      <c r="G262" s="273" t="s">
        <v>2833</v>
      </c>
      <c r="H262" s="273" t="str">
        <f t="shared" si="1"/>
        <v>Revolutoonary Army / Chief of Staff ~ Sabo</v>
      </c>
      <c r="I262" s="275"/>
      <c r="J262" s="274" t="s">
        <v>2834</v>
      </c>
      <c r="K262" s="273"/>
      <c r="L262" s="273"/>
      <c r="M262" s="273"/>
      <c r="N262" s="273" t="str">
        <f>IFERROR(__xludf.DUMMYFUNCTION("""COMPUTED_VALUE"""),"Land of Wano ~ Trafalgar Law")</f>
        <v>Land of Wano ~ Trafalgar Law</v>
      </c>
      <c r="O262" s="273">
        <f>IFERROR(__xludf.DUMMYFUNCTION("""COMPUTED_VALUE"""),82.0)</f>
        <v>82</v>
      </c>
      <c r="P262" s="275" t="str">
        <f t="shared" si="2"/>
        <v/>
      </c>
      <c r="Q262" s="273" t="str">
        <f>IFERROR(__xludf.DUMMYFUNCTION("""COMPUTED_VALUE"""),"064 Revolutoonary Army / Chief of Staff - Sabo")</f>
        <v>064 Revolutoonary Army / Chief of Staff - Sabo</v>
      </c>
      <c r="R262" s="273"/>
      <c r="S262" s="273"/>
      <c r="T262" s="273"/>
      <c r="U262" s="273"/>
      <c r="V262" s="273"/>
      <c r="W262" s="273"/>
      <c r="X262" s="273"/>
      <c r="Y262" s="273"/>
      <c r="Z262" s="273"/>
      <c r="AA262" s="273"/>
      <c r="AB262" s="273"/>
      <c r="AC262" s="273"/>
    </row>
    <row r="263" ht="75.0" customHeight="1">
      <c r="A263" s="272" t="s">
        <v>2835</v>
      </c>
      <c r="B263" s="273"/>
      <c r="C263" s="274" t="s">
        <v>2836</v>
      </c>
      <c r="D263" s="274" t="s">
        <v>2836</v>
      </c>
      <c r="E263" s="273"/>
      <c r="F263" s="275"/>
      <c r="G263" s="273" t="s">
        <v>2837</v>
      </c>
      <c r="H263" s="273" t="str">
        <f t="shared" si="1"/>
        <v>STAMPEDE ~ Sabo</v>
      </c>
      <c r="I263" s="275"/>
      <c r="J263" s="274" t="s">
        <v>2838</v>
      </c>
      <c r="K263" s="273"/>
      <c r="L263" s="273"/>
      <c r="M263" s="273"/>
      <c r="N263" s="273" t="str">
        <f>IFERROR(__xludf.DUMMYFUNCTION("""COMPUTED_VALUE"""),"The Seven Warlords of the Sea ~ Don Quixote Doflamingo")</f>
        <v>The Seven Warlords of the Sea ~ Don Quixote Doflamingo</v>
      </c>
      <c r="O263" s="273">
        <f>IFERROR(__xludf.DUMMYFUNCTION("""COMPUTED_VALUE"""),81.0)</f>
        <v>81</v>
      </c>
      <c r="P263" s="275" t="str">
        <f t="shared" si="2"/>
        <v/>
      </c>
      <c r="Q263" s="273" t="str">
        <f>IFERROR(__xludf.DUMMYFUNCTION("""COMPUTED_VALUE"""),"079 STAMPEDE - Sabo")</f>
        <v>079 STAMPEDE - Sabo</v>
      </c>
      <c r="R263" s="273"/>
      <c r="S263" s="273"/>
      <c r="T263" s="273"/>
      <c r="U263" s="273"/>
      <c r="V263" s="273"/>
      <c r="W263" s="273"/>
      <c r="X263" s="273"/>
      <c r="Y263" s="273"/>
      <c r="Z263" s="273"/>
      <c r="AA263" s="273"/>
      <c r="AB263" s="273"/>
      <c r="AC263" s="273"/>
    </row>
    <row r="264" ht="75.0" customHeight="1">
      <c r="A264" s="272" t="s">
        <v>2839</v>
      </c>
      <c r="B264" s="273"/>
      <c r="C264" s="274" t="s">
        <v>2840</v>
      </c>
      <c r="D264" s="274" t="s">
        <v>2840</v>
      </c>
      <c r="E264" s="273"/>
      <c r="F264" s="275"/>
      <c r="G264" s="273" t="s">
        <v>2841</v>
      </c>
      <c r="H264" s="273" t="str">
        <f t="shared" si="1"/>
        <v>Happosui Army / 13th Chief ~ Sai</v>
      </c>
      <c r="I264" s="275"/>
      <c r="J264" s="274" t="s">
        <v>2842</v>
      </c>
      <c r="K264" s="273"/>
      <c r="L264" s="273"/>
      <c r="M264" s="273"/>
      <c r="N264" s="273" t="str">
        <f>IFERROR(__xludf.DUMMYFUNCTION("""COMPUTED_VALUE"""),"Gear Four / Bounceman ~ Monkey D. Luffy")</f>
        <v>Gear Four / Bounceman ~ Monkey D. Luffy</v>
      </c>
      <c r="O264" s="273">
        <f>IFERROR(__xludf.DUMMYFUNCTION("""COMPUTED_VALUE"""),80.0)</f>
        <v>80</v>
      </c>
      <c r="P264" s="275" t="str">
        <f t="shared" si="2"/>
        <v/>
      </c>
      <c r="Q264" s="273" t="str">
        <f>IFERROR(__xludf.DUMMYFUNCTION("""COMPUTED_VALUE"""),"320 Happosui Army / 13th Chief - Sai")</f>
        <v>320 Happosui Army / 13th Chief - Sai</v>
      </c>
      <c r="R264" s="273"/>
      <c r="S264" s="273"/>
      <c r="T264" s="273"/>
      <c r="U264" s="273"/>
      <c r="V264" s="273"/>
      <c r="W264" s="273"/>
      <c r="X264" s="273"/>
      <c r="Y264" s="273"/>
      <c r="Z264" s="273"/>
      <c r="AA264" s="273"/>
      <c r="AB264" s="273"/>
      <c r="AC264" s="273"/>
    </row>
    <row r="265" ht="75.0" customHeight="1">
      <c r="A265" s="272" t="s">
        <v>2843</v>
      </c>
      <c r="B265" s="273"/>
      <c r="C265" s="274" t="s">
        <v>2844</v>
      </c>
      <c r="D265" s="274" t="s">
        <v>2844</v>
      </c>
      <c r="E265" s="273"/>
      <c r="F265" s="275"/>
      <c r="G265" s="273" t="s">
        <v>2845</v>
      </c>
      <c r="H265" s="273" t="str">
        <f t="shared" si="1"/>
        <v>2 Years Later / Cook ~ Sanji</v>
      </c>
      <c r="I265" s="275"/>
      <c r="J265" s="274" t="s">
        <v>2846</v>
      </c>
      <c r="K265" s="273"/>
      <c r="L265" s="273"/>
      <c r="M265" s="273"/>
      <c r="N265" s="273" t="str">
        <f>IFERROR(__xludf.DUMMYFUNCTION("""COMPUTED_VALUE"""),"STAMPEDE ~ Sabo")</f>
        <v>STAMPEDE ~ Sabo</v>
      </c>
      <c r="O265" s="273">
        <f>IFERROR(__xludf.DUMMYFUNCTION("""COMPUTED_VALUE"""),79.0)</f>
        <v>79</v>
      </c>
      <c r="P265" s="275" t="str">
        <f t="shared" si="2"/>
        <v/>
      </c>
      <c r="Q265" s="273" t="str">
        <f>IFERROR(__xludf.DUMMYFUNCTION("""COMPUTED_VALUE"""),"065 2 Years Later / Cook - Sanji")</f>
        <v>065 2 Years Later / Cook - Sanji</v>
      </c>
      <c r="R265" s="273"/>
      <c r="S265" s="273"/>
      <c r="T265" s="273"/>
      <c r="U265" s="273"/>
      <c r="V265" s="273"/>
      <c r="W265" s="273"/>
      <c r="X265" s="273"/>
      <c r="Y265" s="273"/>
      <c r="Z265" s="273"/>
      <c r="AA265" s="273"/>
      <c r="AB265" s="273"/>
      <c r="AC265" s="273"/>
    </row>
    <row r="266" ht="75.0" customHeight="1">
      <c r="A266" s="272" t="s">
        <v>2847</v>
      </c>
      <c r="B266" s="273"/>
      <c r="C266" s="274" t="s">
        <v>2848</v>
      </c>
      <c r="D266" s="274" t="s">
        <v>2848</v>
      </c>
      <c r="E266" s="273"/>
      <c r="F266" s="275"/>
      <c r="G266" s="273" t="s">
        <v>2849</v>
      </c>
      <c r="H266" s="273" t="str">
        <f t="shared" si="1"/>
        <v>Veau Vengeance ~ Sanji</v>
      </c>
      <c r="I266" s="275"/>
      <c r="J266" s="274" t="s">
        <v>2850</v>
      </c>
      <c r="K266" s="273"/>
      <c r="L266" s="273"/>
      <c r="M266" s="273"/>
      <c r="N266" s="273" t="str">
        <f>IFERROR(__xludf.DUMMYFUNCTION("""COMPUTED_VALUE"""),"STAMPEDE ~ Monkey D. Luffy")</f>
        <v>STAMPEDE ~ Monkey D. Luffy</v>
      </c>
      <c r="O266" s="273">
        <f>IFERROR(__xludf.DUMMYFUNCTION("""COMPUTED_VALUE"""),78.0)</f>
        <v>78</v>
      </c>
      <c r="P266" s="275" t="str">
        <f t="shared" si="2"/>
        <v/>
      </c>
      <c r="Q266" s="273" t="str">
        <f>IFERROR(__xludf.DUMMYFUNCTION("""COMPUTED_VALUE"""),"033 Veau Vengeance - Sanji")</f>
        <v>033 Veau Vengeance - Sanji</v>
      </c>
      <c r="R266" s="273"/>
      <c r="S266" s="273"/>
      <c r="T266" s="273"/>
      <c r="U266" s="273"/>
      <c r="V266" s="273"/>
      <c r="W266" s="273"/>
      <c r="X266" s="273"/>
      <c r="Y266" s="273"/>
      <c r="Z266" s="273"/>
      <c r="AA266" s="273"/>
      <c r="AB266" s="273"/>
      <c r="AC266" s="273"/>
    </row>
    <row r="267" ht="75.0" customHeight="1">
      <c r="A267" s="272" t="s">
        <v>2851</v>
      </c>
      <c r="B267" s="273"/>
      <c r="C267" s="274" t="s">
        <v>2852</v>
      </c>
      <c r="D267" s="274" t="s">
        <v>2852</v>
      </c>
      <c r="E267" s="273"/>
      <c r="F267" s="275"/>
      <c r="G267" s="273" t="s">
        <v>2853</v>
      </c>
      <c r="H267" s="273" t="str">
        <f t="shared" si="1"/>
        <v>Raid on Onigashima ~ Sanji</v>
      </c>
      <c r="I267" s="275"/>
      <c r="J267" s="274" t="s">
        <v>2854</v>
      </c>
      <c r="K267" s="273"/>
      <c r="L267" s="273"/>
      <c r="M267" s="273"/>
      <c r="N267" s="273" t="str">
        <f>IFERROR(__xludf.DUMMYFUNCTION("""COMPUTED_VALUE"""),"STAMPEDE ~ Smoker")</f>
        <v>STAMPEDE ~ Smoker</v>
      </c>
      <c r="O267" s="273">
        <f>IFERROR(__xludf.DUMMYFUNCTION("""COMPUTED_VALUE"""),77.0)</f>
        <v>77</v>
      </c>
      <c r="P267" s="275" t="str">
        <f t="shared" si="2"/>
        <v/>
      </c>
      <c r="Q267" s="273" t="str">
        <f>IFERROR(__xludf.DUMMYFUNCTION("""COMPUTED_VALUE"""),"261 Raid on Onigashima - Sanji")</f>
        <v>261 Raid on Onigashima - Sanji</v>
      </c>
      <c r="R267" s="273"/>
      <c r="S267" s="273"/>
      <c r="T267" s="273"/>
      <c r="U267" s="273"/>
      <c r="V267" s="273"/>
      <c r="W267" s="273"/>
      <c r="X267" s="273"/>
      <c r="Y267" s="273"/>
      <c r="Z267" s="273"/>
      <c r="AA267" s="273"/>
      <c r="AB267" s="273"/>
      <c r="AC267" s="273"/>
    </row>
    <row r="268" ht="75.0" customHeight="1">
      <c r="A268" s="272" t="s">
        <v>2855</v>
      </c>
      <c r="B268" s="273"/>
      <c r="C268" s="274" t="s">
        <v>2856</v>
      </c>
      <c r="D268" s="274" t="s">
        <v>2856</v>
      </c>
      <c r="E268" s="273"/>
      <c r="F268" s="275"/>
      <c r="G268" s="273" t="s">
        <v>2857</v>
      </c>
      <c r="H268" s="273" t="str">
        <f t="shared" si="1"/>
        <v>Whole Cake Island ~ Sanji</v>
      </c>
      <c r="I268" s="275"/>
      <c r="J268" s="274" t="s">
        <v>2858</v>
      </c>
      <c r="K268" s="273"/>
      <c r="L268" s="273"/>
      <c r="M268" s="273"/>
      <c r="N268" s="273" t="str">
        <f>IFERROR(__xludf.DUMMYFUNCTION("""COMPUTED_VALUE"""),"Navy Infiltrator ~ Portgaz D. Ace")</f>
        <v>Navy Infiltrator ~ Portgaz D. Ace</v>
      </c>
      <c r="O268" s="273">
        <f>IFERROR(__xludf.DUMMYFUNCTION("""COMPUTED_VALUE"""),76.0)</f>
        <v>76</v>
      </c>
      <c r="P268" s="275" t="str">
        <f t="shared" si="2"/>
        <v/>
      </c>
      <c r="Q268" s="273" t="str">
        <f>IFERROR(__xludf.DUMMYFUNCTION("""COMPUTED_VALUE"""),"092 Whole Cake Island - Sanji")</f>
        <v>092 Whole Cake Island - Sanji</v>
      </c>
      <c r="R268" s="273"/>
      <c r="S268" s="273"/>
      <c r="T268" s="273"/>
      <c r="U268" s="273"/>
      <c r="V268" s="273"/>
      <c r="W268" s="273"/>
      <c r="X268" s="273"/>
      <c r="Y268" s="273"/>
      <c r="Z268" s="273"/>
      <c r="AA268" s="273"/>
      <c r="AB268" s="273"/>
      <c r="AC268" s="273"/>
    </row>
    <row r="269" ht="75.0" customHeight="1">
      <c r="A269" s="272" t="s">
        <v>2859</v>
      </c>
      <c r="B269" s="273"/>
      <c r="C269" s="274" t="s">
        <v>2860</v>
      </c>
      <c r="D269" s="274" t="s">
        <v>2860</v>
      </c>
      <c r="E269" s="273"/>
      <c r="F269" s="275"/>
      <c r="G269" s="273" t="s">
        <v>2861</v>
      </c>
      <c r="H269" s="273" t="str">
        <f t="shared" si="1"/>
        <v>Davy Back Fight ~ Sanji</v>
      </c>
      <c r="I269" s="275"/>
      <c r="J269" s="274" t="s">
        <v>2862</v>
      </c>
      <c r="K269" s="273"/>
      <c r="L269" s="273"/>
      <c r="M269" s="273"/>
      <c r="N269" s="273" t="str">
        <f>IFERROR(__xludf.DUMMYFUNCTION("""COMPUTED_VALUE"""),"Impel Down / Prisoner ~ Crocodile")</f>
        <v>Impel Down / Prisoner ~ Crocodile</v>
      </c>
      <c r="O269" s="273">
        <f>IFERROR(__xludf.DUMMYFUNCTION("""COMPUTED_VALUE"""),75.0)</f>
        <v>75</v>
      </c>
      <c r="P269" s="275" t="str">
        <f t="shared" si="2"/>
        <v/>
      </c>
      <c r="Q269" s="273" t="str">
        <f>IFERROR(__xludf.DUMMYFUNCTION("""COMPUTED_VALUE"""),"323 Davy Back Fight - Sanji 1")</f>
        <v>323 Davy Back Fight - Sanji 1</v>
      </c>
      <c r="R269" s="273"/>
      <c r="S269" s="273"/>
      <c r="T269" s="273"/>
      <c r="U269" s="273"/>
      <c r="V269" s="273"/>
      <c r="W269" s="273"/>
      <c r="X269" s="273"/>
      <c r="Y269" s="273"/>
      <c r="Z269" s="273"/>
      <c r="AA269" s="273"/>
      <c r="AB269" s="273"/>
      <c r="AC269" s="273"/>
    </row>
    <row r="270" ht="75.0" customHeight="1">
      <c r="A270" s="272" t="s">
        <v>2863</v>
      </c>
      <c r="B270" s="273"/>
      <c r="C270" s="274" t="s">
        <v>2860</v>
      </c>
      <c r="D270" s="274" t="s">
        <v>2860</v>
      </c>
      <c r="E270" s="273"/>
      <c r="F270" s="275"/>
      <c r="G270" s="273" t="s">
        <v>2861</v>
      </c>
      <c r="H270" s="273" t="str">
        <f t="shared" si="1"/>
        <v>Davy Back Fight ~ Sanji</v>
      </c>
      <c r="I270" s="275"/>
      <c r="J270" s="274" t="s">
        <v>2864</v>
      </c>
      <c r="K270" s="273"/>
      <c r="L270" s="273"/>
      <c r="M270" s="273"/>
      <c r="N270" s="273" t="str">
        <f>IFERROR(__xludf.DUMMYFUNCTION("""COMPUTED_VALUE"""),"Bikini ~ Boa Hancock")</f>
        <v>Bikini ~ Boa Hancock</v>
      </c>
      <c r="O270" s="273">
        <f>IFERROR(__xludf.DUMMYFUNCTION("""COMPUTED_VALUE"""),74.0)</f>
        <v>74</v>
      </c>
      <c r="P270" s="275" t="str">
        <f t="shared" si="2"/>
        <v/>
      </c>
      <c r="Q270" s="273" t="str">
        <f>IFERROR(__xludf.DUMMYFUNCTION("""COMPUTED_VALUE"""),"323 Davy Back Fight - Sanji 2")</f>
        <v>323 Davy Back Fight - Sanji 2</v>
      </c>
      <c r="R270" s="273"/>
      <c r="S270" s="273"/>
      <c r="T270" s="273"/>
      <c r="U270" s="273"/>
      <c r="V270" s="273"/>
      <c r="W270" s="273"/>
      <c r="X270" s="273"/>
      <c r="Y270" s="273"/>
      <c r="Z270" s="273"/>
      <c r="AA270" s="273"/>
      <c r="AB270" s="273"/>
      <c r="AC270" s="273"/>
    </row>
    <row r="271" ht="75.0" customHeight="1">
      <c r="A271" s="272" t="s">
        <v>2865</v>
      </c>
      <c r="B271" s="273"/>
      <c r="C271" s="274" t="s">
        <v>2866</v>
      </c>
      <c r="D271" s="274" t="s">
        <v>2866</v>
      </c>
      <c r="E271" s="273"/>
      <c r="F271" s="275"/>
      <c r="G271" s="273" t="s">
        <v>2867</v>
      </c>
      <c r="H271" s="273" t="str">
        <f t="shared" si="1"/>
        <v>Egghead ~ Sanji</v>
      </c>
      <c r="I271" s="275"/>
      <c r="J271" s="274" t="s">
        <v>2868</v>
      </c>
      <c r="K271" s="273"/>
      <c r="L271" s="273"/>
      <c r="M271" s="273"/>
      <c r="N271" s="273" t="str">
        <f>IFERROR(__xludf.DUMMYFUNCTION("""COMPUTED_VALUE"""),"Bikini ~ Nami")</f>
        <v>Bikini ~ Nami</v>
      </c>
      <c r="O271" s="273">
        <f>IFERROR(__xludf.DUMMYFUNCTION("""COMPUTED_VALUE"""),73.0)</f>
        <v>73</v>
      </c>
      <c r="P271" s="275" t="str">
        <f t="shared" si="2"/>
        <v/>
      </c>
      <c r="Q271" s="273" t="str">
        <f>IFERROR(__xludf.DUMMYFUNCTION("""COMPUTED_VALUE"""),"305 Egghead - Sanji")</f>
        <v>305 Egghead - Sanji</v>
      </c>
      <c r="R271" s="273"/>
      <c r="S271" s="273"/>
      <c r="T271" s="273"/>
      <c r="U271" s="273"/>
      <c r="V271" s="273"/>
      <c r="W271" s="273"/>
      <c r="X271" s="273"/>
      <c r="Y271" s="273"/>
      <c r="Z271" s="273"/>
      <c r="AA271" s="273"/>
      <c r="AB271" s="273"/>
      <c r="AC271" s="273"/>
    </row>
    <row r="272" ht="75.0" customHeight="1">
      <c r="A272" s="272" t="s">
        <v>2869</v>
      </c>
      <c r="B272" s="273"/>
      <c r="C272" s="274" t="s">
        <v>2870</v>
      </c>
      <c r="D272" s="274" t="s">
        <v>2870</v>
      </c>
      <c r="E272" s="273"/>
      <c r="F272" s="275"/>
      <c r="G272" s="273" t="s">
        <v>2871</v>
      </c>
      <c r="H272" s="273" t="str">
        <f t="shared" si="1"/>
        <v>Stealth Black ~ Soba Mask</v>
      </c>
      <c r="I272" s="275"/>
      <c r="J272" s="274" t="s">
        <v>2872</v>
      </c>
      <c r="K272" s="273"/>
      <c r="L272" s="273"/>
      <c r="M272" s="273"/>
      <c r="N272" s="273" t="str">
        <f>IFERROR(__xludf.DUMMYFUNCTION("""COMPUTED_VALUE"""),"2 Years Later / Ship Carpenter ~ Franky")</f>
        <v>2 Years Later / Ship Carpenter ~ Franky</v>
      </c>
      <c r="O272" s="273">
        <f>IFERROR(__xludf.DUMMYFUNCTION("""COMPUTED_VALUE"""),72.0)</f>
        <v>72</v>
      </c>
      <c r="P272" s="275" t="str">
        <f t="shared" si="2"/>
        <v/>
      </c>
      <c r="Q272" s="273" t="str">
        <f>IFERROR(__xludf.DUMMYFUNCTION("""COMPUTED_VALUE"""),"200 Stealth Black - Soba Mask")</f>
        <v>200 Stealth Black - Soba Mask</v>
      </c>
      <c r="R272" s="273"/>
      <c r="S272" s="273"/>
      <c r="T272" s="273"/>
      <c r="U272" s="273"/>
      <c r="V272" s="273"/>
      <c r="W272" s="273"/>
      <c r="X272" s="273"/>
      <c r="Y272" s="273"/>
      <c r="Z272" s="273"/>
      <c r="AA272" s="273"/>
      <c r="AB272" s="273"/>
      <c r="AC272" s="273"/>
    </row>
    <row r="273" ht="75.0" customHeight="1">
      <c r="A273" s="272" t="s">
        <v>2873</v>
      </c>
      <c r="B273" s="273"/>
      <c r="C273" s="274" t="s">
        <v>2874</v>
      </c>
      <c r="D273" s="274" t="s">
        <v>2874</v>
      </c>
      <c r="E273" s="273"/>
      <c r="F273" s="275"/>
      <c r="G273" s="273" t="s">
        <v>2875</v>
      </c>
      <c r="H273" s="273" t="str">
        <f t="shared" si="1"/>
        <v>Straw Hat Pirates / Cook ~ Sanji</v>
      </c>
      <c r="I273" s="275"/>
      <c r="J273" s="274" t="s">
        <v>2876</v>
      </c>
      <c r="K273" s="273"/>
      <c r="L273" s="273"/>
      <c r="M273" s="273"/>
      <c r="N273" s="273" t="str">
        <f>IFERROR(__xludf.DUMMYFUNCTION("""COMPUTED_VALUE"""),"2 Years Later / Musician ~ Brook")</f>
        <v>2 Years Later / Musician ~ Brook</v>
      </c>
      <c r="O273" s="273">
        <f>IFERROR(__xludf.DUMMYFUNCTION("""COMPUTED_VALUE"""),71.0)</f>
        <v>71</v>
      </c>
      <c r="P273" s="275" t="str">
        <f t="shared" si="2"/>
        <v/>
      </c>
      <c r="Q273" s="273" t="str">
        <f>IFERROR(__xludf.DUMMYFUNCTION("""COMPUTED_VALUE"""),"005 Straw Hat Pirates / Cook - Sanji")</f>
        <v>005 Straw Hat Pirates / Cook - Sanji</v>
      </c>
      <c r="R273" s="273"/>
      <c r="S273" s="273"/>
      <c r="T273" s="273"/>
      <c r="U273" s="273"/>
      <c r="V273" s="273"/>
      <c r="W273" s="273"/>
      <c r="X273" s="273"/>
      <c r="Y273" s="273"/>
      <c r="Z273" s="273"/>
      <c r="AA273" s="273"/>
      <c r="AB273" s="273"/>
      <c r="AC273" s="273"/>
    </row>
    <row r="274" ht="75.0" customHeight="1">
      <c r="A274" s="272" t="s">
        <v>2877</v>
      </c>
      <c r="B274" s="273"/>
      <c r="C274" s="274" t="s">
        <v>2878</v>
      </c>
      <c r="D274" s="274" t="s">
        <v>2878</v>
      </c>
      <c r="E274" s="273"/>
      <c r="F274" s="275"/>
      <c r="G274" s="273" t="s">
        <v>2879</v>
      </c>
      <c r="H274" s="273" t="str">
        <f t="shared" si="1"/>
        <v>Royal Wedding ~ Sanji</v>
      </c>
      <c r="I274" s="275"/>
      <c r="J274" s="274" t="s">
        <v>2880</v>
      </c>
      <c r="K274" s="273"/>
      <c r="L274" s="273"/>
      <c r="M274" s="273"/>
      <c r="N274" s="273" t="str">
        <f>IFERROR(__xludf.DUMMYFUNCTION("""COMPUTED_VALUE"""),"2 Years Later / Archaeologist ~ Nico Robin")</f>
        <v>2 Years Later / Archaeologist ~ Nico Robin</v>
      </c>
      <c r="O274" s="273">
        <f>IFERROR(__xludf.DUMMYFUNCTION("""COMPUTED_VALUE"""),70.0)</f>
        <v>70</v>
      </c>
      <c r="P274" s="275" t="str">
        <f t="shared" si="2"/>
        <v/>
      </c>
      <c r="Q274" s="273" t="str">
        <f>IFERROR(__xludf.DUMMYFUNCTION("""COMPUTED_VALUE"""),"148 Royal Wedding - Sanji")</f>
        <v>148 Royal Wedding - Sanji</v>
      </c>
      <c r="R274" s="273"/>
      <c r="S274" s="273"/>
      <c r="T274" s="273"/>
      <c r="U274" s="273"/>
      <c r="V274" s="273"/>
      <c r="W274" s="273"/>
      <c r="X274" s="273"/>
      <c r="Y274" s="273"/>
      <c r="Z274" s="273"/>
      <c r="AA274" s="273"/>
      <c r="AB274" s="273"/>
      <c r="AC274" s="273"/>
    </row>
    <row r="275" ht="75.0" customHeight="1">
      <c r="A275" s="272" t="s">
        <v>2881</v>
      </c>
      <c r="B275" s="273"/>
      <c r="C275" s="274" t="s">
        <v>2882</v>
      </c>
      <c r="D275" s="274" t="s">
        <v>2882</v>
      </c>
      <c r="E275" s="273"/>
      <c r="F275" s="275"/>
      <c r="G275" s="273" t="s">
        <v>2883</v>
      </c>
      <c r="H275" s="273" t="str">
        <f t="shared" si="1"/>
        <v>Animal Kingdom Pirates / Tobi Roppo ~ Sasaki</v>
      </c>
      <c r="I275" s="275"/>
      <c r="J275" s="274" t="s">
        <v>2884</v>
      </c>
      <c r="K275" s="273"/>
      <c r="L275" s="273"/>
      <c r="M275" s="273"/>
      <c r="N275" s="273" t="str">
        <f>IFERROR(__xludf.DUMMYFUNCTION("""COMPUTED_VALUE"""),"2 Years Later / Doctor ~ Tony Tony Chopper")</f>
        <v>2 Years Later / Doctor ~ Tony Tony Chopper</v>
      </c>
      <c r="O275" s="273">
        <f>IFERROR(__xludf.DUMMYFUNCTION("""COMPUTED_VALUE"""),69.0)</f>
        <v>69</v>
      </c>
      <c r="P275" s="275" t="str">
        <f t="shared" si="2"/>
        <v/>
      </c>
      <c r="Q275" s="273" t="str">
        <f>IFERROR(__xludf.DUMMYFUNCTION("""COMPUTED_VALUE"""),"262 Animal Kingdom Pirates / Tobi Roppo - Sasaki")</f>
        <v>262 Animal Kingdom Pirates / Tobi Roppo - Sasaki</v>
      </c>
      <c r="R275" s="273"/>
      <c r="S275" s="273"/>
      <c r="T275" s="273"/>
      <c r="U275" s="273"/>
      <c r="V275" s="273"/>
      <c r="W275" s="273"/>
      <c r="X275" s="273"/>
      <c r="Y275" s="273"/>
      <c r="Z275" s="273"/>
      <c r="AA275" s="273"/>
      <c r="AB275" s="273"/>
      <c r="AC275" s="273"/>
    </row>
    <row r="276" ht="75.0" customHeight="1">
      <c r="A276" s="272" t="s">
        <v>2885</v>
      </c>
      <c r="B276" s="273"/>
      <c r="C276" s="274" t="s">
        <v>2886</v>
      </c>
      <c r="D276" s="274" t="s">
        <v>2886</v>
      </c>
      <c r="E276" s="273"/>
      <c r="F276" s="275"/>
      <c r="G276" s="273" t="s">
        <v>2887</v>
      </c>
      <c r="H276" s="273" t="str">
        <f t="shared" si="1"/>
        <v>The Five Elders ~ St. Jaygarcia Saturn</v>
      </c>
      <c r="I276" s="275"/>
      <c r="J276" s="274" t="s">
        <v>2888</v>
      </c>
      <c r="K276" s="273"/>
      <c r="L276" s="273"/>
      <c r="M276" s="273"/>
      <c r="N276" s="273" t="str">
        <f>IFERROR(__xludf.DUMMYFUNCTION("""COMPUTED_VALUE"""),"Navy HQ / Admiral Kizaru ~ [Borsalino]")</f>
        <v>Navy HQ / Admiral Kizaru ~ [Borsalino]</v>
      </c>
      <c r="O276" s="273">
        <f>IFERROR(__xludf.DUMMYFUNCTION("""COMPUTED_VALUE"""),68.0)</f>
        <v>68</v>
      </c>
      <c r="P276" s="275" t="str">
        <f t="shared" si="2"/>
        <v/>
      </c>
      <c r="Q276" s="273" t="str">
        <f>IFERROR(__xludf.DUMMYFUNCTION("""COMPUTED_VALUE"""),"333 The Five Elders - St. Jaygarcia Saturn")</f>
        <v>333 The Five Elders - St. Jaygarcia Saturn</v>
      </c>
      <c r="R276" s="273"/>
      <c r="S276" s="273"/>
      <c r="T276" s="273"/>
      <c r="U276" s="273"/>
      <c r="V276" s="273"/>
      <c r="W276" s="273"/>
      <c r="X276" s="273"/>
      <c r="Y276" s="273"/>
      <c r="Z276" s="273"/>
      <c r="AA276" s="273"/>
      <c r="AB276" s="273"/>
      <c r="AC276" s="273"/>
    </row>
    <row r="277" ht="75.0" customHeight="1">
      <c r="A277" s="272" t="s">
        <v>2889</v>
      </c>
      <c r="B277" s="273"/>
      <c r="C277" s="274" t="s">
        <v>2890</v>
      </c>
      <c r="D277" s="274" t="s">
        <v>2890</v>
      </c>
      <c r="E277" s="273"/>
      <c r="F277" s="275"/>
      <c r="G277" s="273" t="s">
        <v>2891</v>
      </c>
      <c r="H277" s="273" t="str">
        <f t="shared" si="1"/>
        <v>Seraphim ~ S-Bear</v>
      </c>
      <c r="I277" s="275"/>
      <c r="J277" s="274" t="s">
        <v>2892</v>
      </c>
      <c r="K277" s="273"/>
      <c r="L277" s="273"/>
      <c r="M277" s="273"/>
      <c r="N277" s="273" t="str">
        <f>IFERROR(__xludf.DUMMYFUNCTION("""COMPUTED_VALUE"""),"Bonney Pirates / Captain ~ Jewelry Bonney")</f>
        <v>Bonney Pirates / Captain ~ Jewelry Bonney</v>
      </c>
      <c r="O277" s="273">
        <f>IFERROR(__xludf.DUMMYFUNCTION("""COMPUTED_VALUE"""),67.0)</f>
        <v>67</v>
      </c>
      <c r="P277" s="275" t="str">
        <f t="shared" si="2"/>
        <v/>
      </c>
      <c r="Q277" s="273" t="str">
        <f>IFERROR(__xludf.DUMMYFUNCTION("""COMPUTED_VALUE"""),"301 Seraphim - S-Bear")</f>
        <v>301 Seraphim - S-Bear</v>
      </c>
      <c r="R277" s="273"/>
      <c r="S277" s="273"/>
      <c r="T277" s="273"/>
      <c r="U277" s="273"/>
      <c r="V277" s="273"/>
      <c r="W277" s="273"/>
      <c r="X277" s="273"/>
      <c r="Y277" s="273"/>
      <c r="Z277" s="273"/>
      <c r="AA277" s="273"/>
      <c r="AB277" s="273"/>
      <c r="AC277" s="273"/>
    </row>
    <row r="278" ht="75.0" customHeight="1">
      <c r="A278" s="272" t="s">
        <v>2893</v>
      </c>
      <c r="B278" s="273"/>
      <c r="C278" s="274" t="s">
        <v>2894</v>
      </c>
      <c r="D278" s="274" t="s">
        <v>2894</v>
      </c>
      <c r="E278" s="273"/>
      <c r="F278" s="275"/>
      <c r="G278" s="273" t="s">
        <v>2895</v>
      </c>
      <c r="H278" s="273" t="str">
        <f t="shared" si="1"/>
        <v>Navy HQ / Fleet Admiral ~ Sengoku</v>
      </c>
      <c r="I278" s="275"/>
      <c r="J278" s="274" t="s">
        <v>2896</v>
      </c>
      <c r="K278" s="273"/>
      <c r="L278" s="273"/>
      <c r="M278" s="273"/>
      <c r="N278" s="273" t="str">
        <f>IFERROR(__xludf.DUMMYFUNCTION("""COMPUTED_VALUE"""),"2 Years Later / Sharp Shooter ~ Usopp")</f>
        <v>2 Years Later / Sharp Shooter ~ Usopp</v>
      </c>
      <c r="O278" s="273">
        <f>IFERROR(__xludf.DUMMYFUNCTION("""COMPUTED_VALUE"""),66.0)</f>
        <v>66</v>
      </c>
      <c r="P278" s="275" t="str">
        <f t="shared" si="2"/>
        <v/>
      </c>
      <c r="Q278" s="273" t="str">
        <f>IFERROR(__xludf.DUMMYFUNCTION("""COMPUTED_VALUE"""),"121 Navy HQ / Fleet Admiral - Sengoku")</f>
        <v>121 Navy HQ / Fleet Admiral - Sengoku</v>
      </c>
      <c r="R278" s="273"/>
      <c r="S278" s="273"/>
      <c r="T278" s="273"/>
      <c r="U278" s="273"/>
      <c r="V278" s="273"/>
      <c r="W278" s="273"/>
      <c r="X278" s="273"/>
      <c r="Y278" s="273"/>
      <c r="Z278" s="273"/>
      <c r="AA278" s="273"/>
      <c r="AB278" s="273"/>
      <c r="AC278" s="273"/>
    </row>
    <row r="279" ht="75.0" customHeight="1">
      <c r="A279" s="272" t="s">
        <v>2897</v>
      </c>
      <c r="B279" s="273"/>
      <c r="C279" s="274" t="s">
        <v>2898</v>
      </c>
      <c r="D279" s="274" t="s">
        <v>2898</v>
      </c>
      <c r="E279" s="273"/>
      <c r="F279" s="275"/>
      <c r="G279" s="273" t="s">
        <v>2899</v>
      </c>
      <c r="H279" s="273" t="str">
        <f t="shared" si="1"/>
        <v>Don Quixote Pirates / Officer ~ Señor Pink</v>
      </c>
      <c r="I279" s="275"/>
      <c r="J279" s="274" t="s">
        <v>2900</v>
      </c>
      <c r="K279" s="273"/>
      <c r="L279" s="273"/>
      <c r="M279" s="273"/>
      <c r="N279" s="273" t="str">
        <f>IFERROR(__xludf.DUMMYFUNCTION("""COMPUTED_VALUE"""),"2 Years Later / Cook ~ Sanji")</f>
        <v>2 Years Later / Cook ~ Sanji</v>
      </c>
      <c r="O279" s="273">
        <f>IFERROR(__xludf.DUMMYFUNCTION("""COMPUTED_VALUE"""),65.0)</f>
        <v>65</v>
      </c>
      <c r="P279" s="275" t="str">
        <f t="shared" si="2"/>
        <v/>
      </c>
      <c r="Q279" s="273" t="str">
        <f>IFERROR(__xludf.DUMMYFUNCTION("""COMPUTED_VALUE"""),"182 Don Quixote Pirates / Officer - Señor Pink")</f>
        <v>182 Don Quixote Pirates / Officer - Señor Pink</v>
      </c>
      <c r="R279" s="273"/>
      <c r="S279" s="273"/>
      <c r="T279" s="273"/>
      <c r="U279" s="273"/>
      <c r="V279" s="273"/>
      <c r="W279" s="273"/>
      <c r="X279" s="273"/>
      <c r="Y279" s="273"/>
      <c r="Z279" s="273"/>
      <c r="AA279" s="273"/>
      <c r="AB279" s="273"/>
      <c r="AC279" s="273"/>
    </row>
    <row r="280" ht="75.0" customHeight="1">
      <c r="A280" s="272" t="s">
        <v>2901</v>
      </c>
      <c r="B280" s="273"/>
      <c r="C280" s="274" t="s">
        <v>2902</v>
      </c>
      <c r="D280" s="274" t="s">
        <v>2902</v>
      </c>
      <c r="E280" s="273"/>
      <c r="F280" s="275"/>
      <c r="G280" s="273" t="s">
        <v>2903</v>
      </c>
      <c r="H280" s="273" t="str">
        <f t="shared" si="1"/>
        <v>The Most Defensive Man in the World ~ Sentomaru</v>
      </c>
      <c r="I280" s="275"/>
      <c r="J280" s="274" t="s">
        <v>2904</v>
      </c>
      <c r="K280" s="273"/>
      <c r="L280" s="273"/>
      <c r="M280" s="273"/>
      <c r="N280" s="273" t="str">
        <f>IFERROR(__xludf.DUMMYFUNCTION("""COMPUTED_VALUE"""),"Revolutoonary Army / Chief of Staff ~ Sabo")</f>
        <v>Revolutoonary Army / Chief of Staff ~ Sabo</v>
      </c>
      <c r="O280" s="273">
        <f>IFERROR(__xludf.DUMMYFUNCTION("""COMPUTED_VALUE"""),64.0)</f>
        <v>64</v>
      </c>
      <c r="P280" s="275" t="str">
        <f t="shared" si="2"/>
        <v/>
      </c>
      <c r="Q280" s="273" t="str">
        <f>IFERROR(__xludf.DUMMYFUNCTION("""COMPUTED_VALUE"""),"285 The Most Defensive Man in the World - Sentomaru")</f>
        <v>285 The Most Defensive Man in the World - Sentomaru</v>
      </c>
      <c r="R280" s="273"/>
      <c r="S280" s="273"/>
      <c r="T280" s="273"/>
      <c r="U280" s="273"/>
      <c r="V280" s="273"/>
      <c r="W280" s="273"/>
      <c r="X280" s="273"/>
      <c r="Y280" s="273"/>
      <c r="Z280" s="273"/>
      <c r="AA280" s="273"/>
      <c r="AB280" s="273"/>
      <c r="AC280" s="273"/>
    </row>
    <row r="281" ht="75.0" customHeight="1">
      <c r="A281" s="272" t="s">
        <v>2905</v>
      </c>
      <c r="B281" s="273"/>
      <c r="C281" s="274" t="s">
        <v>2906</v>
      </c>
      <c r="D281" s="274" t="s">
        <v>2906</v>
      </c>
      <c r="E281" s="273"/>
      <c r="F281" s="275"/>
      <c r="G281" s="273" t="s">
        <v>2907</v>
      </c>
      <c r="H281" s="273" t="str">
        <f t="shared" si="1"/>
        <v>Navy HQ / Science Team Captain ~ Sentomaru</v>
      </c>
      <c r="I281" s="275"/>
      <c r="J281" s="274" t="s">
        <v>2908</v>
      </c>
      <c r="K281" s="273"/>
      <c r="L281" s="273"/>
      <c r="M281" s="273"/>
      <c r="N281" s="273" t="str">
        <f>IFERROR(__xludf.DUMMYFUNCTION("""COMPUTED_VALUE"""),"2 Years Later / Navigator ~ Nami")</f>
        <v>2 Years Later / Navigator ~ Nami</v>
      </c>
      <c r="O281" s="273">
        <f>IFERROR(__xludf.DUMMYFUNCTION("""COMPUTED_VALUE"""),63.0)</f>
        <v>63</v>
      </c>
      <c r="P281" s="275" t="str">
        <f t="shared" si="2"/>
        <v/>
      </c>
      <c r="Q281" s="273" t="str">
        <f>IFERROR(__xludf.DUMMYFUNCTION("""COMPUTED_VALUE"""),"180 Navy HQ / Science Team Captain - Sentomaru")</f>
        <v>180 Navy HQ / Science Team Captain - Sentomaru</v>
      </c>
      <c r="R281" s="273"/>
      <c r="S281" s="273"/>
      <c r="T281" s="273"/>
      <c r="U281" s="273"/>
      <c r="V281" s="273"/>
      <c r="W281" s="273"/>
      <c r="X281" s="273"/>
      <c r="Y281" s="273"/>
      <c r="Z281" s="273"/>
      <c r="AA281" s="273"/>
      <c r="AB281" s="273"/>
      <c r="AC281" s="273"/>
    </row>
    <row r="282" ht="75.0" customHeight="1">
      <c r="A282" s="272" t="s">
        <v>2909</v>
      </c>
      <c r="B282" s="273"/>
      <c r="C282" s="274" t="s">
        <v>2910</v>
      </c>
      <c r="D282" s="274" t="s">
        <v>2910</v>
      </c>
      <c r="E282" s="273"/>
      <c r="F282" s="275"/>
      <c r="G282" s="273" t="s">
        <v>2911</v>
      </c>
      <c r="H282" s="273" t="str">
        <f t="shared" si="1"/>
        <v>The Four Emperors ~ Shanks</v>
      </c>
      <c r="I282" s="275"/>
      <c r="J282" s="274" t="s">
        <v>2912</v>
      </c>
      <c r="K282" s="273"/>
      <c r="L282" s="273"/>
      <c r="M282" s="273"/>
      <c r="N282" s="273" t="str">
        <f>IFERROR(__xludf.DUMMYFUNCTION("""COMPUTED_VALUE"""),"2 Years Later / Combatant ~ Roronoa Zoro")</f>
        <v>2 Years Later / Combatant ~ Roronoa Zoro</v>
      </c>
      <c r="O282" s="273">
        <f>IFERROR(__xludf.DUMMYFUNCTION("""COMPUTED_VALUE"""),62.0)</f>
        <v>62</v>
      </c>
      <c r="P282" s="275" t="str">
        <f t="shared" si="2"/>
        <v/>
      </c>
      <c r="Q282" s="273" t="str">
        <f>IFERROR(__xludf.DUMMYFUNCTION("""COMPUTED_VALUE"""),"104 The Four Emperors - Shanks")</f>
        <v>104 The Four Emperors - Shanks</v>
      </c>
      <c r="R282" s="273"/>
      <c r="S282" s="273"/>
      <c r="T282" s="273"/>
      <c r="U282" s="273"/>
      <c r="V282" s="273"/>
      <c r="W282" s="273"/>
      <c r="X282" s="273"/>
      <c r="Y282" s="273"/>
      <c r="Z282" s="273"/>
      <c r="AA282" s="273"/>
      <c r="AB282" s="273"/>
      <c r="AC282" s="273"/>
    </row>
    <row r="283" ht="75.0" customHeight="1">
      <c r="A283" s="272" t="s">
        <v>2913</v>
      </c>
      <c r="B283" s="273"/>
      <c r="C283" s="274" t="s">
        <v>2914</v>
      </c>
      <c r="D283" s="274" t="s">
        <v>2914</v>
      </c>
      <c r="E283" s="273"/>
      <c r="F283" s="275"/>
      <c r="G283" s="273" t="s">
        <v>2915</v>
      </c>
      <c r="H283" s="273" t="str">
        <f t="shared" si="1"/>
        <v>Divine Departure ~ Shanks</v>
      </c>
      <c r="I283" s="275"/>
      <c r="J283" s="274" t="s">
        <v>2916</v>
      </c>
      <c r="K283" s="273"/>
      <c r="L283" s="273"/>
      <c r="M283" s="273"/>
      <c r="N283" s="273" t="str">
        <f>IFERROR(__xludf.DUMMYFUNCTION("""COMPUTED_VALUE"""),"Alabasta / Princess ~ Nefeltari Vivi")</f>
        <v>Alabasta / Princess ~ Nefeltari Vivi</v>
      </c>
      <c r="O283" s="273">
        <f>IFERROR(__xludf.DUMMYFUNCTION("""COMPUTED_VALUE"""),61.0)</f>
        <v>61</v>
      </c>
      <c r="P283" s="275" t="str">
        <f t="shared" si="2"/>
        <v/>
      </c>
      <c r="Q283" s="273" t="str">
        <f>IFERROR(__xludf.DUMMYFUNCTION("""COMPUTED_VALUE"""),"296 Divine Departure - Shanks")</f>
        <v>296 Divine Departure - Shanks</v>
      </c>
      <c r="R283" s="273"/>
      <c r="S283" s="273"/>
      <c r="T283" s="273"/>
      <c r="U283" s="273"/>
      <c r="V283" s="273"/>
      <c r="W283" s="273"/>
      <c r="X283" s="273"/>
      <c r="Y283" s="273"/>
      <c r="Z283" s="273"/>
      <c r="AA283" s="273"/>
      <c r="AB283" s="273"/>
      <c r="AC283" s="273"/>
    </row>
    <row r="284" ht="75.0" customHeight="1">
      <c r="A284" s="272" t="s">
        <v>2917</v>
      </c>
      <c r="B284" s="273"/>
      <c r="C284" s="274" t="s">
        <v>2918</v>
      </c>
      <c r="D284" s="274" t="s">
        <v>2918</v>
      </c>
      <c r="E284" s="273"/>
      <c r="F284" s="275"/>
      <c r="G284" s="273" t="s">
        <v>2919</v>
      </c>
      <c r="H284" s="273" t="str">
        <f t="shared" si="1"/>
        <v>Red-Haired Pirates / Captain ~ Shanks</v>
      </c>
      <c r="I284" s="275"/>
      <c r="J284" s="274" t="s">
        <v>2920</v>
      </c>
      <c r="K284" s="273"/>
      <c r="L284" s="273"/>
      <c r="M284" s="273"/>
      <c r="N284" s="273" t="str">
        <f>IFERROR(__xludf.DUMMYFUNCTION("""COMPUTED_VALUE"""),"2 Years Later / Captain ~ Monkey D. Luffy")</f>
        <v>2 Years Later / Captain ~ Monkey D. Luffy</v>
      </c>
      <c r="O284" s="273">
        <f>IFERROR(__xludf.DUMMYFUNCTION("""COMPUTED_VALUE"""),60.0)</f>
        <v>60</v>
      </c>
      <c r="P284" s="275" t="str">
        <f t="shared" si="2"/>
        <v/>
      </c>
      <c r="Q284" s="273" t="str">
        <f>IFERROR(__xludf.DUMMYFUNCTION("""COMPUTED_VALUE"""),"035 Red-Haired Pirates / Captain - Shanks")</f>
        <v>035 Red-Haired Pirates / Captain - Shanks</v>
      </c>
      <c r="R284" s="273"/>
      <c r="S284" s="273"/>
      <c r="T284" s="273"/>
      <c r="U284" s="273"/>
      <c r="V284" s="273"/>
      <c r="W284" s="273"/>
      <c r="X284" s="273"/>
      <c r="Y284" s="273"/>
      <c r="Z284" s="273"/>
      <c r="AA284" s="273"/>
      <c r="AB284" s="273"/>
      <c r="AC284" s="273"/>
    </row>
    <row r="285" ht="75.0" customHeight="1">
      <c r="A285" s="272" t="s">
        <v>2921</v>
      </c>
      <c r="B285" s="273"/>
      <c r="C285" s="274" t="s">
        <v>2922</v>
      </c>
      <c r="D285" s="274" t="s">
        <v>2922</v>
      </c>
      <c r="E285" s="273"/>
      <c r="F285" s="275"/>
      <c r="G285" s="273" t="s">
        <v>2923</v>
      </c>
      <c r="H285" s="273" t="str">
        <f t="shared" si="1"/>
        <v>FILM RED ~ Shanks</v>
      </c>
      <c r="I285" s="275"/>
      <c r="J285" s="274" t="s">
        <v>2924</v>
      </c>
      <c r="K285" s="273"/>
      <c r="L285" s="273"/>
      <c r="M285" s="273"/>
      <c r="N285" s="273" t="str">
        <f>IFERROR(__xludf.DUMMYFUNCTION("""COMPUTED_VALUE"""),"Heart Pirates / Captain ~ Trafalger Law")</f>
        <v>Heart Pirates / Captain ~ Trafalger Law</v>
      </c>
      <c r="O285" s="273">
        <f>IFERROR(__xludf.DUMMYFUNCTION("""COMPUTED_VALUE"""),59.0)</f>
        <v>59</v>
      </c>
      <c r="P285" s="275" t="str">
        <f t="shared" si="2"/>
        <v/>
      </c>
      <c r="Q285" s="273" t="str">
        <f>IFERROR(__xludf.DUMMYFUNCTION("""COMPUTED_VALUE"""),"218 FILM RED - Shanks")</f>
        <v>218 FILM RED - Shanks</v>
      </c>
      <c r="R285" s="273"/>
      <c r="S285" s="273"/>
      <c r="T285" s="273"/>
      <c r="U285" s="273"/>
      <c r="V285" s="273"/>
      <c r="W285" s="273"/>
      <c r="X285" s="273"/>
      <c r="Y285" s="273"/>
      <c r="Z285" s="273"/>
      <c r="AA285" s="273"/>
      <c r="AB285" s="273"/>
      <c r="AC285" s="273"/>
    </row>
    <row r="286" ht="75.0" customHeight="1">
      <c r="A286" s="272" t="s">
        <v>2925</v>
      </c>
      <c r="B286" s="273"/>
      <c r="C286" s="274" t="s">
        <v>2926</v>
      </c>
      <c r="D286" s="274" t="s">
        <v>2926</v>
      </c>
      <c r="E286" s="273"/>
      <c r="F286" s="275"/>
      <c r="G286" s="273" t="s">
        <v>2927</v>
      </c>
      <c r="H286" s="273" t="str">
        <f t="shared" si="1"/>
        <v>Seraphim ~ S-Hawk</v>
      </c>
      <c r="I286" s="275"/>
      <c r="J286" s="274" t="s">
        <v>2928</v>
      </c>
      <c r="K286" s="273"/>
      <c r="L286" s="273"/>
      <c r="M286" s="273"/>
      <c r="N286" s="273" t="str">
        <f>IFERROR(__xludf.DUMMYFUNCTION("""COMPUTED_VALUE"""),"Kid Pirates / Captain ~ Eustass Kid")</f>
        <v>Kid Pirates / Captain ~ Eustass Kid</v>
      </c>
      <c r="O286" s="273">
        <f>IFERROR(__xludf.DUMMYFUNCTION("""COMPUTED_VALUE"""),58.0)</f>
        <v>58</v>
      </c>
      <c r="P286" s="275" t="str">
        <f t="shared" si="2"/>
        <v/>
      </c>
      <c r="Q286" s="273" t="str">
        <f>IFERROR(__xludf.DUMMYFUNCTION("""COMPUTED_VALUE"""),"290 Seraphim - S-Hawk")</f>
        <v>290 Seraphim - S-Hawk</v>
      </c>
      <c r="R286" s="273"/>
      <c r="S286" s="273"/>
      <c r="T286" s="273"/>
      <c r="U286" s="273"/>
      <c r="V286" s="273"/>
      <c r="W286" s="273"/>
      <c r="X286" s="273"/>
      <c r="Y286" s="273"/>
      <c r="Z286" s="273"/>
      <c r="AA286" s="273"/>
      <c r="AB286" s="273"/>
      <c r="AC286" s="273"/>
    </row>
    <row r="287" ht="75.0" customHeight="1">
      <c r="A287" s="272" t="s">
        <v>2929</v>
      </c>
      <c r="B287" s="273"/>
      <c r="C287" s="274" t="s">
        <v>2930</v>
      </c>
      <c r="D287" s="274" t="s">
        <v>2930</v>
      </c>
      <c r="E287" s="273"/>
      <c r="F287" s="275"/>
      <c r="G287" s="273" t="s">
        <v>2931</v>
      </c>
      <c r="H287" s="273" t="str">
        <f t="shared" si="1"/>
        <v>FILM STRONG WORLD ~ Shiki</v>
      </c>
      <c r="I287" s="275"/>
      <c r="J287" s="274" t="s">
        <v>2932</v>
      </c>
      <c r="K287" s="273"/>
      <c r="L287" s="273"/>
      <c r="M287" s="273"/>
      <c r="N287" s="273" t="str">
        <f>IFERROR(__xludf.DUMMYFUNCTION("""COMPUTED_VALUE"""),"Bellamy Pirates / Captain ~ Bellamy")</f>
        <v>Bellamy Pirates / Captain ~ Bellamy</v>
      </c>
      <c r="O287" s="273">
        <f>IFERROR(__xludf.DUMMYFUNCTION("""COMPUTED_VALUE"""),57.0)</f>
        <v>57</v>
      </c>
      <c r="P287" s="275" t="str">
        <f t="shared" si="2"/>
        <v/>
      </c>
      <c r="Q287" s="273" t="str">
        <f>IFERROR(__xludf.DUMMYFUNCTION("""COMPUTED_VALUE"""),"213 FILM STRONG WORLD - Shiki")</f>
        <v>213 FILM STRONG WORLD - Shiki</v>
      </c>
      <c r="R287" s="273"/>
      <c r="S287" s="273"/>
      <c r="T287" s="273"/>
      <c r="U287" s="273"/>
      <c r="V287" s="273"/>
      <c r="W287" s="273"/>
      <c r="X287" s="273"/>
      <c r="Y287" s="273"/>
      <c r="Z287" s="273"/>
      <c r="AA287" s="273"/>
      <c r="AB287" s="273"/>
      <c r="AC287" s="273"/>
    </row>
    <row r="288" ht="75.0" customHeight="1">
      <c r="A288" s="272" t="s">
        <v>2933</v>
      </c>
      <c r="B288" s="273"/>
      <c r="C288" s="274" t="s">
        <v>2934</v>
      </c>
      <c r="D288" s="274" t="s">
        <v>2934</v>
      </c>
      <c r="E288" s="273"/>
      <c r="F288" s="275"/>
      <c r="G288" s="273" t="s">
        <v>2935</v>
      </c>
      <c r="H288" s="273" t="str">
        <f t="shared" si="1"/>
        <v>Veteran Kunoichi ~ Shinobu</v>
      </c>
      <c r="I288" s="275"/>
      <c r="J288" s="274" t="s">
        <v>2936</v>
      </c>
      <c r="K288" s="273"/>
      <c r="L288" s="273"/>
      <c r="M288" s="273"/>
      <c r="N288" s="273" t="str">
        <f>IFERROR(__xludf.DUMMYFUNCTION("""COMPUTED_VALUE"""),"Arm Point ~ Tony Tony Chopper")</f>
        <v>Arm Point ~ Tony Tony Chopper</v>
      </c>
      <c r="O288" s="273">
        <f>IFERROR(__xludf.DUMMYFUNCTION("""COMPUTED_VALUE"""),56.0)</f>
        <v>56</v>
      </c>
      <c r="P288" s="275" t="str">
        <f t="shared" si="2"/>
        <v/>
      </c>
      <c r="Q288" s="273" t="str">
        <f>IFERROR(__xludf.DUMMYFUNCTION("""COMPUTED_VALUE"""),"227 Veteran Kunoichi - Shinobu")</f>
        <v>227 Veteran Kunoichi - Shinobu</v>
      </c>
      <c r="R288" s="273"/>
      <c r="S288" s="273"/>
      <c r="T288" s="273"/>
      <c r="U288" s="273"/>
      <c r="V288" s="273"/>
      <c r="W288" s="273"/>
      <c r="X288" s="273"/>
      <c r="Y288" s="273"/>
      <c r="Z288" s="273"/>
      <c r="AA288" s="273"/>
      <c r="AB288" s="273"/>
      <c r="AC288" s="273"/>
    </row>
    <row r="289" ht="75.0" customHeight="1">
      <c r="A289" s="272" t="s">
        <v>2937</v>
      </c>
      <c r="B289" s="273"/>
      <c r="C289" s="274" t="s">
        <v>2938</v>
      </c>
      <c r="D289" s="274" t="s">
        <v>2938</v>
      </c>
      <c r="E289" s="273"/>
      <c r="F289" s="275"/>
      <c r="G289" s="273" t="s">
        <v>2939</v>
      </c>
      <c r="H289" s="273" t="str">
        <f t="shared" si="1"/>
        <v>Clear-Clear Fruit ~ Shiryu</v>
      </c>
      <c r="I289" s="275"/>
      <c r="J289" s="274" t="s">
        <v>2940</v>
      </c>
      <c r="K289" s="273"/>
      <c r="L289" s="273"/>
      <c r="M289" s="273"/>
      <c r="N289" s="273" t="str">
        <f>IFERROR(__xludf.DUMMYFUNCTION("""COMPUTED_VALUE"""),"108 Pound Phoenix ~ Roronoa Zoro")</f>
        <v>108 Pound Phoenix ~ Roronoa Zoro</v>
      </c>
      <c r="O289" s="273">
        <f>IFERROR(__xludf.DUMMYFUNCTION("""COMPUTED_VALUE"""),55.0)</f>
        <v>55</v>
      </c>
      <c r="P289" s="275" t="str">
        <f t="shared" si="2"/>
        <v/>
      </c>
      <c r="Q289" s="273" t="str">
        <f>IFERROR(__xludf.DUMMYFUNCTION("""COMPUTED_VALUE"""),"317 Clear-Clear Fruit - Shiryu")</f>
        <v>317 Clear-Clear Fruit - Shiryu</v>
      </c>
      <c r="R289" s="273"/>
      <c r="S289" s="273"/>
      <c r="T289" s="273"/>
      <c r="U289" s="273"/>
      <c r="V289" s="273"/>
      <c r="W289" s="273"/>
      <c r="X289" s="273"/>
      <c r="Y289" s="273"/>
      <c r="Z289" s="273"/>
      <c r="AA289" s="273"/>
      <c r="AB289" s="273"/>
      <c r="AC289" s="273"/>
    </row>
    <row r="290" ht="75.0" customHeight="1">
      <c r="A290" s="272" t="s">
        <v>2941</v>
      </c>
      <c r="B290" s="273"/>
      <c r="C290" s="274" t="s">
        <v>2942</v>
      </c>
      <c r="D290" s="274" t="s">
        <v>2942</v>
      </c>
      <c r="E290" s="273"/>
      <c r="F290" s="275"/>
      <c r="G290" s="273" t="s">
        <v>2943</v>
      </c>
      <c r="H290" s="273" t="str">
        <f t="shared" si="1"/>
        <v>Blackbeard Pirates / Former Head Jailer of Impel Down ~ Shiryu</v>
      </c>
      <c r="I290" s="275"/>
      <c r="J290" s="274" t="s">
        <v>2944</v>
      </c>
      <c r="K290" s="273"/>
      <c r="L290" s="273"/>
      <c r="M290" s="273"/>
      <c r="N290" s="273" t="str">
        <f>IFERROR(__xludf.DUMMYFUNCTION("""COMPUTED_VALUE"""),"The Seven Warlords of the Sea ~ Gecko Moria")</f>
        <v>The Seven Warlords of the Sea ~ Gecko Moria</v>
      </c>
      <c r="O290" s="273">
        <f>IFERROR(__xludf.DUMMYFUNCTION("""COMPUTED_VALUE"""),54.0)</f>
        <v>54</v>
      </c>
      <c r="P290" s="275" t="str">
        <f t="shared" si="2"/>
        <v/>
      </c>
      <c r="Q290" s="273" t="str">
        <f>IFERROR(__xludf.DUMMYFUNCTION("""COMPUTED_VALUE"""),"204 Blackbeard Pirates / Former Head Jailer of Impel Down - Shiryu")</f>
        <v>204 Blackbeard Pirates / Former Head Jailer of Impel Down - Shiryu</v>
      </c>
      <c r="R290" s="273"/>
      <c r="S290" s="273"/>
      <c r="T290" s="273"/>
      <c r="U290" s="273"/>
      <c r="V290" s="273"/>
      <c r="W290" s="273"/>
      <c r="X290" s="273"/>
      <c r="Y290" s="273"/>
      <c r="Z290" s="273"/>
      <c r="AA290" s="273"/>
      <c r="AB290" s="273"/>
      <c r="AC290" s="273"/>
    </row>
    <row r="291" ht="75.0" customHeight="1">
      <c r="A291" s="272" t="s">
        <v>2945</v>
      </c>
      <c r="B291" s="273"/>
      <c r="C291" s="274" t="s">
        <v>2946</v>
      </c>
      <c r="D291" s="274" t="s">
        <v>2946</v>
      </c>
      <c r="E291" s="273"/>
      <c r="F291" s="275"/>
      <c r="G291" s="273" t="s">
        <v>2947</v>
      </c>
      <c r="H291" s="273" t="str">
        <f t="shared" si="1"/>
        <v>Impel Down / Prisoner ~ Crocodile</v>
      </c>
      <c r="I291" s="275"/>
      <c r="J291" s="274" t="s">
        <v>2948</v>
      </c>
      <c r="K291" s="273"/>
      <c r="L291" s="273"/>
      <c r="M291" s="273"/>
      <c r="N291" s="273" t="str">
        <f>IFERROR(__xludf.DUMMYFUNCTION("""COMPUTED_VALUE"""),"The Seven Warlords of the Sea ~ Hancock")</f>
        <v>The Seven Warlords of the Sea ~ Hancock</v>
      </c>
      <c r="O291" s="273">
        <f>IFERROR(__xludf.DUMMYFUNCTION("""COMPUTED_VALUE"""),53.0)</f>
        <v>53</v>
      </c>
      <c r="P291" s="275" t="str">
        <f t="shared" si="2"/>
        <v/>
      </c>
      <c r="Q291" s="273" t="str">
        <f>IFERROR(__xludf.DUMMYFUNCTION("""COMPUTED_VALUE"""),"075 Impel Down / Prisoner - Crocodile")</f>
        <v>075 Impel Down / Prisoner - Crocodile</v>
      </c>
      <c r="R291" s="273"/>
      <c r="S291" s="273"/>
      <c r="T291" s="273"/>
      <c r="U291" s="273"/>
      <c r="V291" s="273"/>
      <c r="W291" s="273"/>
      <c r="X291" s="273"/>
      <c r="Y291" s="273"/>
      <c r="Z291" s="273"/>
      <c r="AA291" s="273"/>
      <c r="AB291" s="273"/>
      <c r="AC291" s="273"/>
    </row>
    <row r="292" ht="75.0" customHeight="1">
      <c r="A292" s="272" t="s">
        <v>2949</v>
      </c>
      <c r="B292" s="273"/>
      <c r="C292" s="274" t="s">
        <v>2950</v>
      </c>
      <c r="D292" s="274" t="s">
        <v>2950</v>
      </c>
      <c r="E292" s="273"/>
      <c r="F292" s="275"/>
      <c r="G292" s="273" t="s">
        <v>2951</v>
      </c>
      <c r="H292" s="273" t="str">
        <f t="shared" si="1"/>
        <v>The Seven Warlords of the Sea ~ Crocodile</v>
      </c>
      <c r="I292" s="275"/>
      <c r="J292" s="274" t="s">
        <v>2952</v>
      </c>
      <c r="K292" s="273"/>
      <c r="L292" s="273"/>
      <c r="M292" s="273"/>
      <c r="N292" s="273" t="str">
        <f>IFERROR(__xludf.DUMMYFUNCTION("""COMPUTED_VALUE"""),"Baroque Works / Vice President ~ Ms. All Sunday")</f>
        <v>Baroque Works / Vice President ~ Ms. All Sunday</v>
      </c>
      <c r="O292" s="273">
        <f>IFERROR(__xludf.DUMMYFUNCTION("""COMPUTED_VALUE"""),52.0)</f>
        <v>52</v>
      </c>
      <c r="P292" s="275" t="str">
        <f t="shared" si="2"/>
        <v/>
      </c>
      <c r="Q292" s="273" t="str">
        <f>IFERROR(__xludf.DUMMYFUNCTION("""COMPUTED_VALUE"""),"045 The Seven Warlords of the Sea - Crocodile")</f>
        <v>045 The Seven Warlords of the Sea - Crocodile</v>
      </c>
      <c r="R292" s="273"/>
      <c r="S292" s="273"/>
      <c r="T292" s="273"/>
      <c r="U292" s="273"/>
      <c r="V292" s="273"/>
      <c r="W292" s="273"/>
      <c r="X292" s="273"/>
      <c r="Y292" s="273"/>
      <c r="Z292" s="273"/>
      <c r="AA292" s="273"/>
      <c r="AB292" s="273"/>
      <c r="AC292" s="273"/>
    </row>
    <row r="293" ht="75.0" customHeight="1">
      <c r="A293" s="272" t="s">
        <v>2953</v>
      </c>
      <c r="B293" s="273"/>
      <c r="C293" s="274" t="s">
        <v>2954</v>
      </c>
      <c r="D293" s="274" t="s">
        <v>2954</v>
      </c>
      <c r="E293" s="273"/>
      <c r="F293" s="275"/>
      <c r="G293" s="273" t="s">
        <v>2955</v>
      </c>
      <c r="H293" s="273" t="str">
        <f t="shared" si="1"/>
        <v>The Parmount War ~ Crocodile</v>
      </c>
      <c r="I293" s="275"/>
      <c r="J293" s="274" t="s">
        <v>2956</v>
      </c>
      <c r="K293" s="273"/>
      <c r="L293" s="273"/>
      <c r="M293" s="273"/>
      <c r="N293" s="273" t="str">
        <f>IFERROR(__xludf.DUMMYFUNCTION("""COMPUTED_VALUE"""),"Baroque Works / Officer Agent ~ Bon Clay, aka Mr. 2")</f>
        <v>Baroque Works / Officer Agent ~ Bon Clay, aka Mr. 2</v>
      </c>
      <c r="O293" s="273">
        <f>IFERROR(__xludf.DUMMYFUNCTION("""COMPUTED_VALUE"""),51.0)</f>
        <v>51</v>
      </c>
      <c r="P293" s="275" t="str">
        <f t="shared" si="2"/>
        <v/>
      </c>
      <c r="Q293" s="273" t="str">
        <f>IFERROR(__xludf.DUMMYFUNCTION("""COMPUTED_VALUE"""),"141 The Parmount War - Crocodile")</f>
        <v>141 The Parmount War - Crocodile</v>
      </c>
      <c r="R293" s="273"/>
      <c r="S293" s="273"/>
      <c r="T293" s="273"/>
      <c r="U293" s="273"/>
      <c r="V293" s="273"/>
      <c r="W293" s="273"/>
      <c r="X293" s="273"/>
      <c r="Y293" s="273"/>
      <c r="Z293" s="273"/>
      <c r="AA293" s="273"/>
      <c r="AB293" s="273"/>
      <c r="AC293" s="273"/>
    </row>
    <row r="294" ht="75.0" customHeight="1">
      <c r="A294" s="272" t="s">
        <v>2957</v>
      </c>
      <c r="B294" s="273"/>
      <c r="C294" s="274" t="s">
        <v>2958</v>
      </c>
      <c r="D294" s="274" t="s">
        <v>2958</v>
      </c>
      <c r="E294" s="273"/>
      <c r="F294" s="275"/>
      <c r="G294" s="273" t="s">
        <v>2959</v>
      </c>
      <c r="H294" s="273" t="str">
        <f t="shared" si="1"/>
        <v>Gerand Line Navel Base 5 / Vice Admiral ~ Smoker</v>
      </c>
      <c r="I294" s="275"/>
      <c r="J294" s="274" t="s">
        <v>2960</v>
      </c>
      <c r="K294" s="273"/>
      <c r="L294" s="273"/>
      <c r="M294" s="273"/>
      <c r="N294" s="273" t="str">
        <f>IFERROR(__xludf.DUMMYFUNCTION("""COMPUTED_VALUE"""),"Navy HQ / Admiral Aokiji ~ [Kuzan]")</f>
        <v>Navy HQ / Admiral Aokiji ~ [Kuzan]</v>
      </c>
      <c r="O294" s="273">
        <f>IFERROR(__xludf.DUMMYFUNCTION("""COMPUTED_VALUE"""),50.0)</f>
        <v>50</v>
      </c>
      <c r="P294" s="275" t="str">
        <f t="shared" si="2"/>
        <v/>
      </c>
      <c r="Q294" s="273" t="str">
        <f>IFERROR(__xludf.DUMMYFUNCTION("""COMPUTED_VALUE"""),"116 Gerand Line Navel Base 5 / Vice Admiral - Smoker 1")</f>
        <v>116 Gerand Line Navel Base 5 / Vice Admiral - Smoker 1</v>
      </c>
      <c r="R294" s="273"/>
      <c r="S294" s="273"/>
      <c r="T294" s="273"/>
      <c r="U294" s="273"/>
      <c r="V294" s="273"/>
      <c r="W294" s="273"/>
      <c r="X294" s="273"/>
      <c r="Y294" s="273"/>
      <c r="Z294" s="273"/>
      <c r="AA294" s="273"/>
      <c r="AB294" s="273"/>
      <c r="AC294" s="273"/>
    </row>
    <row r="295" ht="75.0" customHeight="1">
      <c r="A295" s="272" t="s">
        <v>2961</v>
      </c>
      <c r="B295" s="273"/>
      <c r="C295" s="274" t="s">
        <v>2958</v>
      </c>
      <c r="D295" s="274" t="s">
        <v>2958</v>
      </c>
      <c r="E295" s="273"/>
      <c r="F295" s="275"/>
      <c r="G295" s="273" t="s">
        <v>2959</v>
      </c>
      <c r="H295" s="273" t="str">
        <f t="shared" si="1"/>
        <v>Gerand Line Navel Base 5 / Vice Admiral ~ Smoker</v>
      </c>
      <c r="I295" s="275"/>
      <c r="J295" s="274" t="s">
        <v>2962</v>
      </c>
      <c r="K295" s="273"/>
      <c r="L295" s="273"/>
      <c r="M295" s="273"/>
      <c r="N295" s="273" t="str">
        <f>IFERROR(__xludf.DUMMYFUNCTION("""COMPUTED_VALUE"""),"Navy HQ / Admiral Akainu ~ [Sakazuki]")</f>
        <v>Navy HQ / Admiral Akainu ~ [Sakazuki]</v>
      </c>
      <c r="O295" s="273">
        <f>IFERROR(__xludf.DUMMYFUNCTION("""COMPUTED_VALUE"""),49.0)</f>
        <v>49</v>
      </c>
      <c r="P295" s="275" t="str">
        <f t="shared" si="2"/>
        <v/>
      </c>
      <c r="Q295" s="273" t="str">
        <f>IFERROR(__xludf.DUMMYFUNCTION("""COMPUTED_VALUE"""),"116 Gerand Line Navel Base 5 / Vice Admiral - Smoker 2")</f>
        <v>116 Gerand Line Navel Base 5 / Vice Admiral - Smoker 2</v>
      </c>
      <c r="R295" s="273"/>
      <c r="S295" s="273"/>
      <c r="T295" s="273"/>
      <c r="U295" s="273"/>
      <c r="V295" s="273"/>
      <c r="W295" s="273"/>
      <c r="X295" s="273"/>
      <c r="Y295" s="273"/>
      <c r="Z295" s="273"/>
      <c r="AA295" s="273"/>
      <c r="AB295" s="273"/>
      <c r="AC295" s="273"/>
    </row>
    <row r="296" ht="75.0" customHeight="1">
      <c r="A296" s="272" t="s">
        <v>2963</v>
      </c>
      <c r="B296" s="273"/>
      <c r="C296" s="274" t="s">
        <v>2964</v>
      </c>
      <c r="D296" s="274" t="s">
        <v>2964</v>
      </c>
      <c r="E296" s="273"/>
      <c r="F296" s="275"/>
      <c r="G296" s="273" t="s">
        <v>2965</v>
      </c>
      <c r="H296" s="273" t="str">
        <f t="shared" si="1"/>
        <v>Navy HQ / Captain ~ Smoker</v>
      </c>
      <c r="I296" s="275"/>
      <c r="J296" s="274" t="s">
        <v>2966</v>
      </c>
      <c r="K296" s="273"/>
      <c r="L296" s="273"/>
      <c r="M296" s="273"/>
      <c r="N296" s="273" t="str">
        <f>IFERROR(__xludf.DUMMYFUNCTION("""COMPUTED_VALUE"""),"Whitebeard Pirates / 2nd Division Commander ~ Portgaz D. Ace")</f>
        <v>Whitebeard Pirates / 2nd Division Commander ~ Portgaz D. Ace</v>
      </c>
      <c r="O296" s="273">
        <f>IFERROR(__xludf.DUMMYFUNCTION("""COMPUTED_VALUE"""),48.0)</f>
        <v>48</v>
      </c>
      <c r="P296" s="275" t="str">
        <f t="shared" si="2"/>
        <v/>
      </c>
      <c r="Q296" s="273" t="str">
        <f>IFERROR(__xludf.DUMMYFUNCTION("""COMPUTED_VALUE"""),"041 Navy HQ / Captain - Smoker")</f>
        <v>041 Navy HQ / Captain - Smoker</v>
      </c>
      <c r="R296" s="273"/>
      <c r="S296" s="273"/>
      <c r="T296" s="273"/>
      <c r="U296" s="273"/>
      <c r="V296" s="273"/>
      <c r="W296" s="273"/>
      <c r="X296" s="273"/>
      <c r="Y296" s="273"/>
      <c r="Z296" s="273"/>
      <c r="AA296" s="273"/>
      <c r="AB296" s="273"/>
      <c r="AC296" s="273"/>
    </row>
    <row r="297" ht="75.0" customHeight="1">
      <c r="A297" s="272" t="s">
        <v>2967</v>
      </c>
      <c r="B297" s="273"/>
      <c r="C297" s="274" t="s">
        <v>2968</v>
      </c>
      <c r="D297" s="274" t="s">
        <v>2968</v>
      </c>
      <c r="E297" s="273"/>
      <c r="F297" s="275"/>
      <c r="G297" s="273" t="s">
        <v>2969</v>
      </c>
      <c r="H297" s="273" t="str">
        <f t="shared" si="1"/>
        <v>STAMPEDE ~ Smoker</v>
      </c>
      <c r="I297" s="275"/>
      <c r="J297" s="274" t="s">
        <v>2970</v>
      </c>
      <c r="K297" s="273"/>
      <c r="L297" s="273"/>
      <c r="M297" s="273"/>
      <c r="N297" s="273" t="str">
        <f>IFERROR(__xludf.DUMMYFUNCTION("""COMPUTED_VALUE"""),"Whitebeard Pirates / Captain Whitebeard ~ Edward Newgate")</f>
        <v>Whitebeard Pirates / Captain Whitebeard ~ Edward Newgate</v>
      </c>
      <c r="O297" s="273">
        <f>IFERROR(__xludf.DUMMYFUNCTION("""COMPUTED_VALUE"""),47.0)</f>
        <v>47</v>
      </c>
      <c r="P297" s="275" t="str">
        <f t="shared" si="2"/>
        <v/>
      </c>
      <c r="Q297" s="273" t="str">
        <f>IFERROR(__xludf.DUMMYFUNCTION("""COMPUTED_VALUE"""),"077 STAMPEDE - Smoker")</f>
        <v>077 STAMPEDE - Smoker</v>
      </c>
      <c r="R297" s="273"/>
      <c r="S297" s="273"/>
      <c r="T297" s="273"/>
      <c r="U297" s="273"/>
      <c r="V297" s="273"/>
      <c r="W297" s="273"/>
      <c r="X297" s="273"/>
      <c r="Y297" s="273"/>
      <c r="Z297" s="273"/>
      <c r="AA297" s="273"/>
      <c r="AB297" s="273"/>
      <c r="AC297" s="273"/>
    </row>
    <row r="298" ht="75.0" customHeight="1">
      <c r="A298" s="272" t="s">
        <v>2971</v>
      </c>
      <c r="B298" s="273"/>
      <c r="C298" s="274" t="s">
        <v>2972</v>
      </c>
      <c r="D298" s="274" t="s">
        <v>2972</v>
      </c>
      <c r="E298" s="273"/>
      <c r="F298" s="275"/>
      <c r="G298" s="273" t="s">
        <v>2973</v>
      </c>
      <c r="H298" s="273" t="str">
        <f t="shared" si="1"/>
        <v>Seraphim ~ S-Shark</v>
      </c>
      <c r="I298" s="275"/>
      <c r="J298" s="274" t="s">
        <v>2974</v>
      </c>
      <c r="K298" s="273"/>
      <c r="L298" s="273"/>
      <c r="M298" s="273"/>
      <c r="N298" s="273" t="str">
        <f>IFERROR(__xludf.DUMMYFUNCTION("""COMPUTED_VALUE"""),"Kami ~ Eneru")</f>
        <v>Kami ~ Eneru</v>
      </c>
      <c r="O298" s="273">
        <f>IFERROR(__xludf.DUMMYFUNCTION("""COMPUTED_VALUE"""),46.0)</f>
        <v>46</v>
      </c>
      <c r="P298" s="275" t="str">
        <f t="shared" si="2"/>
        <v/>
      </c>
      <c r="Q298" s="273" t="str">
        <f>IFERROR(__xludf.DUMMYFUNCTION("""COMPUTED_VALUE"""),"304 Seraphim - S-Shark")</f>
        <v>304 Seraphim - S-Shark</v>
      </c>
      <c r="R298" s="273"/>
      <c r="S298" s="273"/>
      <c r="T298" s="273"/>
      <c r="U298" s="273"/>
      <c r="V298" s="273"/>
      <c r="W298" s="273"/>
      <c r="X298" s="273"/>
      <c r="Y298" s="273"/>
      <c r="Z298" s="273"/>
      <c r="AA298" s="273"/>
      <c r="AB298" s="273"/>
      <c r="AC298" s="273"/>
    </row>
    <row r="299" ht="75.0" customHeight="1">
      <c r="A299" s="272" t="s">
        <v>2975</v>
      </c>
      <c r="B299" s="273"/>
      <c r="C299" s="274" t="s">
        <v>2976</v>
      </c>
      <c r="D299" s="274" t="s">
        <v>2976</v>
      </c>
      <c r="E299" s="273"/>
      <c r="F299" s="275"/>
      <c r="G299" s="273" t="s">
        <v>2977</v>
      </c>
      <c r="H299" s="273" t="str">
        <f t="shared" si="1"/>
        <v>Seraphim ~ S-Snake</v>
      </c>
      <c r="I299" s="275"/>
      <c r="J299" s="274" t="s">
        <v>2978</v>
      </c>
      <c r="K299" s="273"/>
      <c r="L299" s="273"/>
      <c r="M299" s="273"/>
      <c r="N299" s="273" t="str">
        <f>IFERROR(__xludf.DUMMYFUNCTION("""COMPUTED_VALUE"""),"The Seven Warlords of the Sea ~ Crocodile")</f>
        <v>The Seven Warlords of the Sea ~ Crocodile</v>
      </c>
      <c r="O299" s="273">
        <f>IFERROR(__xludf.DUMMYFUNCTION("""COMPUTED_VALUE"""),45.0)</f>
        <v>45</v>
      </c>
      <c r="P299" s="275" t="str">
        <f t="shared" si="2"/>
        <v/>
      </c>
      <c r="Q299" s="273" t="str">
        <f>IFERROR(__xludf.DUMMYFUNCTION("""COMPUTED_VALUE"""),"288 Seraphim - S-Snake")</f>
        <v>288 Seraphim - S-Snake</v>
      </c>
      <c r="R299" s="273"/>
      <c r="S299" s="273"/>
      <c r="T299" s="273"/>
      <c r="U299" s="273"/>
      <c r="V299" s="273"/>
      <c r="W299" s="273"/>
      <c r="X299" s="273"/>
      <c r="Y299" s="273"/>
      <c r="Z299" s="273"/>
      <c r="AA299" s="273"/>
      <c r="AB299" s="273"/>
      <c r="AC299" s="273"/>
    </row>
    <row r="300" ht="75.0" customHeight="1">
      <c r="A300" s="272" t="s">
        <v>2979</v>
      </c>
      <c r="B300" s="273"/>
      <c r="C300" s="274" t="s">
        <v>2980</v>
      </c>
      <c r="D300" s="274" t="s">
        <v>2980</v>
      </c>
      <c r="E300" s="273"/>
      <c r="F300" s="275"/>
      <c r="G300" s="273" t="s">
        <v>2981</v>
      </c>
      <c r="H300" s="273" t="str">
        <f t="shared" si="1"/>
        <v>Vegapunk's Spy ~ Stussy</v>
      </c>
      <c r="I300" s="275"/>
      <c r="J300" s="274" t="s">
        <v>2982</v>
      </c>
      <c r="K300" s="273"/>
      <c r="L300" s="273"/>
      <c r="M300" s="273"/>
      <c r="N300" s="273" t="str">
        <f>IFERROR(__xludf.DUMMYFUNCTION("""COMPUTED_VALUE"""),"Peacock Slasher ~ Nefeltari Vivi")</f>
        <v>Peacock Slasher ~ Nefeltari Vivi</v>
      </c>
      <c r="O300" s="273">
        <f>IFERROR(__xludf.DUMMYFUNCTION("""COMPUTED_VALUE"""),44.0)</f>
        <v>44</v>
      </c>
      <c r="P300" s="275" t="str">
        <f t="shared" si="2"/>
        <v/>
      </c>
      <c r="Q300" s="273" t="str">
        <f>IFERROR(__xludf.DUMMYFUNCTION("""COMPUTED_VALUE"""),"295 Vegapunk's Spy - Stussy")</f>
        <v>295 Vegapunk's Spy - Stussy</v>
      </c>
      <c r="R300" s="273"/>
      <c r="S300" s="273"/>
      <c r="T300" s="273"/>
      <c r="U300" s="273"/>
      <c r="V300" s="273"/>
      <c r="W300" s="273"/>
      <c r="X300" s="273"/>
      <c r="Y300" s="273"/>
      <c r="Z300" s="273"/>
      <c r="AA300" s="273"/>
      <c r="AB300" s="273"/>
      <c r="AC300" s="273"/>
    </row>
    <row r="301" ht="75.0" customHeight="1">
      <c r="A301" s="272" t="s">
        <v>2983</v>
      </c>
      <c r="B301" s="273"/>
      <c r="C301" s="274" t="s">
        <v>2984</v>
      </c>
      <c r="D301" s="274" t="s">
        <v>2984</v>
      </c>
      <c r="E301" s="273"/>
      <c r="F301" s="275"/>
      <c r="G301" s="273" t="s">
        <v>2985</v>
      </c>
      <c r="H301" s="273" t="str">
        <f t="shared" si="1"/>
        <v>Don Quixote Pirates / Special Officer ~ Sugar</v>
      </c>
      <c r="I301" s="275"/>
      <c r="J301" s="274" t="s">
        <v>2986</v>
      </c>
      <c r="K301" s="273"/>
      <c r="L301" s="273"/>
      <c r="M301" s="273"/>
      <c r="N301" s="273" t="str">
        <f>IFERROR(__xludf.DUMMYFUNCTION("""COMPUTED_VALUE"""),"Gum-Gum Storm ~ Monkey D. Luffy")</f>
        <v>Gum-Gum Storm ~ Monkey D. Luffy</v>
      </c>
      <c r="O301" s="273">
        <f>IFERROR(__xludf.DUMMYFUNCTION("""COMPUTED_VALUE"""),43.0)</f>
        <v>43</v>
      </c>
      <c r="P301" s="275" t="str">
        <f t="shared" si="2"/>
        <v/>
      </c>
      <c r="Q301" s="273" t="str">
        <f>IFERROR(__xludf.DUMMYFUNCTION("""COMPUTED_VALUE"""),"184 Don Quixote Pirates / Special Officer - Sugar")</f>
        <v>184 Don Quixote Pirates / Special Officer - Sugar</v>
      </c>
      <c r="R301" s="273"/>
      <c r="S301" s="273"/>
      <c r="T301" s="273"/>
      <c r="U301" s="273"/>
      <c r="V301" s="273"/>
      <c r="W301" s="273"/>
      <c r="X301" s="273"/>
      <c r="Y301" s="273"/>
      <c r="Z301" s="273"/>
      <c r="AA301" s="273"/>
      <c r="AB301" s="273"/>
      <c r="AC301" s="273"/>
    </row>
    <row r="302" ht="75.0" customHeight="1">
      <c r="A302" s="272" t="s">
        <v>2987</v>
      </c>
      <c r="B302" s="273"/>
      <c r="C302" s="274" t="s">
        <v>2988</v>
      </c>
      <c r="D302" s="274" t="s">
        <v>2988</v>
      </c>
      <c r="E302" s="273"/>
      <c r="F302" s="275"/>
      <c r="G302" s="273" t="s">
        <v>2989</v>
      </c>
      <c r="H302" s="273" t="str">
        <f t="shared" si="1"/>
        <v>Grand Line Naval Base 5 / Captain ~ Tashigi</v>
      </c>
      <c r="I302" s="275"/>
      <c r="J302" s="274" t="s">
        <v>2990</v>
      </c>
      <c r="K302" s="273"/>
      <c r="L302" s="273"/>
      <c r="M302" s="273"/>
      <c r="N302" s="273" t="str">
        <f>IFERROR(__xludf.DUMMYFUNCTION("""COMPUTED_VALUE"""),"Drum Kingdom / Former Ruler ~ Wapol")</f>
        <v>Drum Kingdom / Former Ruler ~ Wapol</v>
      </c>
      <c r="O302" s="273">
        <f>IFERROR(__xludf.DUMMYFUNCTION("""COMPUTED_VALUE"""),42.0)</f>
        <v>42</v>
      </c>
      <c r="P302" s="275" t="str">
        <f t="shared" si="2"/>
        <v/>
      </c>
      <c r="Q302" s="273" t="str">
        <f>IFERROR(__xludf.DUMMYFUNCTION("""COMPUTED_VALUE"""),"115 Grand Line Naval Base 5 / Captain - Tashigi")</f>
        <v>115 Grand Line Naval Base 5 / Captain - Tashigi</v>
      </c>
      <c r="R302" s="273"/>
      <c r="S302" s="273"/>
      <c r="T302" s="273"/>
      <c r="U302" s="273"/>
      <c r="V302" s="273"/>
      <c r="W302" s="273"/>
      <c r="X302" s="273"/>
      <c r="Y302" s="273"/>
      <c r="Z302" s="273"/>
      <c r="AA302" s="273"/>
      <c r="AB302" s="273"/>
      <c r="AC302" s="273"/>
    </row>
    <row r="303" ht="75.0" customHeight="1">
      <c r="A303" s="272" t="s">
        <v>2991</v>
      </c>
      <c r="B303" s="273"/>
      <c r="C303" s="274" t="s">
        <v>2992</v>
      </c>
      <c r="D303" s="274" t="s">
        <v>2992</v>
      </c>
      <c r="E303" s="273"/>
      <c r="F303" s="275"/>
      <c r="G303" s="273" t="s">
        <v>2993</v>
      </c>
      <c r="H303" s="273" t="str">
        <f t="shared" si="1"/>
        <v>Navy HQ / Master Chief Petty Officer ~ Tashigi</v>
      </c>
      <c r="I303" s="275"/>
      <c r="J303" s="274" t="s">
        <v>2994</v>
      </c>
      <c r="K303" s="273"/>
      <c r="L303" s="273"/>
      <c r="M303" s="273"/>
      <c r="N303" s="273" t="str">
        <f>IFERROR(__xludf.DUMMYFUNCTION("""COMPUTED_VALUE"""),"Navy HQ / Captain ~ Smoker")</f>
        <v>Navy HQ / Captain ~ Smoker</v>
      </c>
      <c r="O303" s="273">
        <f>IFERROR(__xludf.DUMMYFUNCTION("""COMPUTED_VALUE"""),41.0)</f>
        <v>41</v>
      </c>
      <c r="P303" s="275" t="str">
        <f t="shared" si="2"/>
        <v/>
      </c>
      <c r="Q303" s="273" t="str">
        <f>IFERROR(__xludf.DUMMYFUNCTION("""COMPUTED_VALUE"""),"028 Navy HQ / Master Chief Petty Officer - Tashigi")</f>
        <v>028 Navy HQ / Master Chief Petty Officer - Tashigi</v>
      </c>
      <c r="R303" s="273"/>
      <c r="S303" s="273"/>
      <c r="T303" s="273"/>
      <c r="U303" s="273"/>
      <c r="V303" s="273"/>
      <c r="W303" s="273"/>
      <c r="X303" s="273"/>
      <c r="Y303" s="273"/>
      <c r="Z303" s="273"/>
      <c r="AA303" s="273"/>
      <c r="AB303" s="273"/>
      <c r="AC303" s="273"/>
    </row>
    <row r="304" ht="75.0" customHeight="1">
      <c r="A304" s="272" t="s">
        <v>2995</v>
      </c>
      <c r="B304" s="273"/>
      <c r="C304" s="274" t="s">
        <v>2996</v>
      </c>
      <c r="D304" s="274" t="s">
        <v>2996</v>
      </c>
      <c r="E304" s="273"/>
      <c r="F304" s="275"/>
      <c r="G304" s="273" t="s">
        <v>2997</v>
      </c>
      <c r="H304" s="273" t="str">
        <f t="shared" si="1"/>
        <v>Punk Hazard ~ Smoker (Chambres)</v>
      </c>
      <c r="I304" s="275"/>
      <c r="J304" s="274" t="s">
        <v>2998</v>
      </c>
      <c r="K304" s="273"/>
      <c r="L304" s="273"/>
      <c r="M304" s="273"/>
      <c r="N304" s="273" t="str">
        <f>IFERROR(__xludf.DUMMYFUNCTION("""COMPUTED_VALUE"""),"30 Million Berry Bounty ~ Monkey D. Luffy")</f>
        <v>30 Million Berry Bounty ~ Monkey D. Luffy</v>
      </c>
      <c r="O304" s="273">
        <f>IFERROR(__xludf.DUMMYFUNCTION("""COMPUTED_VALUE"""),40.0)</f>
        <v>40</v>
      </c>
      <c r="P304" s="275" t="str">
        <f t="shared" si="2"/>
        <v/>
      </c>
      <c r="Q304" s="273" t="str">
        <f>IFERROR(__xludf.DUMMYFUNCTION("""COMPUTED_VALUE"""),"143 Punk Hazard - Smoker (Chambres)")</f>
        <v>143 Punk Hazard - Smoker (Chambres)</v>
      </c>
      <c r="R304" s="273"/>
      <c r="S304" s="273"/>
      <c r="T304" s="273"/>
      <c r="U304" s="273"/>
      <c r="V304" s="273"/>
      <c r="W304" s="273"/>
      <c r="X304" s="273"/>
      <c r="Y304" s="273"/>
      <c r="Z304" s="273"/>
      <c r="AA304" s="273"/>
      <c r="AB304" s="273"/>
      <c r="AC304" s="273"/>
    </row>
    <row r="305" ht="75.0" customHeight="1">
      <c r="A305" s="272" t="s">
        <v>2999</v>
      </c>
      <c r="B305" s="273"/>
      <c r="C305" s="274" t="s">
        <v>3000</v>
      </c>
      <c r="D305" s="274" t="s">
        <v>3000</v>
      </c>
      <c r="E305" s="273"/>
      <c r="F305" s="275"/>
      <c r="G305" s="273" t="s">
        <v>3001</v>
      </c>
      <c r="H305" s="273" t="str">
        <f t="shared" si="1"/>
        <v>The Four Emperors ~ Marshall D. Teach</v>
      </c>
      <c r="I305" s="275"/>
      <c r="J305" s="274" t="s">
        <v>3002</v>
      </c>
      <c r="K305" s="273"/>
      <c r="L305" s="273"/>
      <c r="M305" s="273"/>
      <c r="N305" s="273" t="str">
        <f>IFERROR(__xludf.DUMMYFUNCTION("""COMPUTED_VALUE"""),"Arlong Pirates / Captain ~ Arlong")</f>
        <v>Arlong Pirates / Captain ~ Arlong</v>
      </c>
      <c r="O305" s="273">
        <f>IFERROR(__xludf.DUMMYFUNCTION("""COMPUTED_VALUE"""),39.0)</f>
        <v>39</v>
      </c>
      <c r="P305" s="275" t="str">
        <f t="shared" si="2"/>
        <v/>
      </c>
      <c r="Q305" s="273" t="str">
        <f>IFERROR(__xludf.DUMMYFUNCTION("""COMPUTED_VALUE"""),"341 The Four Emperors - Marshall D. Teach")</f>
        <v>341 The Four Emperors - Marshall D. Teach</v>
      </c>
      <c r="R305" s="273"/>
      <c r="S305" s="273"/>
      <c r="T305" s="273"/>
      <c r="U305" s="273"/>
      <c r="V305" s="273"/>
      <c r="W305" s="273"/>
      <c r="X305" s="273"/>
      <c r="Y305" s="273"/>
      <c r="Z305" s="273"/>
      <c r="AA305" s="273"/>
      <c r="AB305" s="273"/>
      <c r="AC305" s="273"/>
    </row>
    <row r="306" ht="75.0" customHeight="1">
      <c r="A306" s="272" t="s">
        <v>3003</v>
      </c>
      <c r="B306" s="273"/>
      <c r="C306" s="274" t="s">
        <v>3004</v>
      </c>
      <c r="D306" s="274" t="s">
        <v>3004</v>
      </c>
      <c r="E306" s="273"/>
      <c r="F306" s="275"/>
      <c r="G306" s="273" t="s">
        <v>3005</v>
      </c>
      <c r="H306" s="273" t="str">
        <f t="shared" si="1"/>
        <v>The Seven Warlords of the Sea ~ Marshall D. Teach</v>
      </c>
      <c r="I306" s="275"/>
      <c r="J306" s="274" t="s">
        <v>3006</v>
      </c>
      <c r="K306" s="273"/>
      <c r="L306" s="273"/>
      <c r="M306" s="273"/>
      <c r="N306" s="273" t="str">
        <f>IFERROR(__xludf.DUMMYFUNCTION("""COMPUTED_VALUE"""),"The Seven Warlords of the Sea ~ Dracule Mihawk")</f>
        <v>The Seven Warlords of the Sea ~ Dracule Mihawk</v>
      </c>
      <c r="O306" s="273">
        <f>IFERROR(__xludf.DUMMYFUNCTION("""COMPUTED_VALUE"""),38.0)</f>
        <v>38</v>
      </c>
      <c r="P306" s="275" t="str">
        <f t="shared" si="2"/>
        <v/>
      </c>
      <c r="Q306" s="273" t="str">
        <f>IFERROR(__xludf.DUMMYFUNCTION("""COMPUTED_VALUE"""),"103 The Seven Warlords of the Sea - Marshall D. Teach")</f>
        <v>103 The Seven Warlords of the Sea - Marshall D. Teach</v>
      </c>
      <c r="R306" s="273"/>
      <c r="S306" s="273"/>
      <c r="T306" s="273"/>
      <c r="U306" s="273"/>
      <c r="V306" s="273"/>
      <c r="W306" s="273"/>
      <c r="X306" s="273"/>
      <c r="Y306" s="273"/>
      <c r="Z306" s="273"/>
      <c r="AA306" s="273"/>
      <c r="AB306" s="273"/>
      <c r="AC306" s="273"/>
    </row>
    <row r="307" ht="75.0" customHeight="1">
      <c r="A307" s="272" t="s">
        <v>3007</v>
      </c>
      <c r="B307" s="273"/>
      <c r="C307" s="274" t="s">
        <v>3008</v>
      </c>
      <c r="D307" s="274" t="s">
        <v>3008</v>
      </c>
      <c r="E307" s="273"/>
      <c r="F307" s="275"/>
      <c r="G307" s="273" t="s">
        <v>3009</v>
      </c>
      <c r="H307" s="273" t="str">
        <f t="shared" si="1"/>
        <v>FILM GOLD ~ Gild Tesoro</v>
      </c>
      <c r="I307" s="275"/>
      <c r="J307" s="274" t="s">
        <v>3010</v>
      </c>
      <c r="K307" s="273"/>
      <c r="L307" s="273"/>
      <c r="M307" s="273"/>
      <c r="N307" s="273" t="str">
        <f>IFERROR(__xludf.DUMMYFUNCTION("""COMPUTED_VALUE"""),"Girl from Syrub Village ~ Kaya")</f>
        <v>Girl from Syrub Village ~ Kaya</v>
      </c>
      <c r="O307" s="273">
        <f>IFERROR(__xludf.DUMMYFUNCTION("""COMPUTED_VALUE"""),37.0)</f>
        <v>37</v>
      </c>
      <c r="P307" s="275" t="str">
        <f t="shared" si="2"/>
        <v/>
      </c>
      <c r="Q307" s="273" t="str">
        <f>IFERROR(__xludf.DUMMYFUNCTION("""COMPUTED_VALUE"""),"214 FILM GOLD - Gild Tesoro")</f>
        <v>214 FILM GOLD - Gild Tesoro</v>
      </c>
      <c r="R307" s="273"/>
      <c r="S307" s="273"/>
      <c r="T307" s="273"/>
      <c r="U307" s="273"/>
      <c r="V307" s="273"/>
      <c r="W307" s="273"/>
      <c r="X307" s="273"/>
      <c r="Y307" s="273"/>
      <c r="Z307" s="273"/>
      <c r="AA307" s="273"/>
      <c r="AB307" s="273"/>
      <c r="AC307" s="273"/>
    </row>
    <row r="308" ht="75.0" customHeight="1">
      <c r="A308" s="272" t="s">
        <v>3011</v>
      </c>
      <c r="B308" s="273"/>
      <c r="C308" s="274" t="s">
        <v>3012</v>
      </c>
      <c r="D308" s="274" t="s">
        <v>3012</v>
      </c>
      <c r="E308" s="273"/>
      <c r="F308" s="275"/>
      <c r="G308" s="273" t="s">
        <v>3013</v>
      </c>
      <c r="H308" s="273" t="str">
        <f t="shared" si="1"/>
        <v>Don Quixote Pirates / Supreme Officer ~ Trebol</v>
      </c>
      <c r="I308" s="275"/>
      <c r="J308" s="274" t="s">
        <v>3014</v>
      </c>
      <c r="K308" s="273"/>
      <c r="L308" s="273"/>
      <c r="M308" s="273"/>
      <c r="N308" s="273" t="str">
        <f>IFERROR(__xludf.DUMMYFUNCTION("""COMPUTED_VALUE"""),"Red-Haired Pirates / Sharp Shooter ~ Yasopp")</f>
        <v>Red-Haired Pirates / Sharp Shooter ~ Yasopp</v>
      </c>
      <c r="O308" s="273">
        <f>IFERROR(__xludf.DUMMYFUNCTION("""COMPUTED_VALUE"""),36.0)</f>
        <v>36</v>
      </c>
      <c r="P308" s="275" t="str">
        <f t="shared" si="2"/>
        <v/>
      </c>
      <c r="Q308" s="273" t="str">
        <f>IFERROR(__xludf.DUMMYFUNCTION("""COMPUTED_VALUE"""),"226 Don Quixote Pirates / Supreme Officer - Trebol")</f>
        <v>226 Don Quixote Pirates / Supreme Officer - Trebol</v>
      </c>
      <c r="R308" s="273"/>
      <c r="S308" s="273"/>
      <c r="T308" s="273"/>
      <c r="U308" s="273"/>
      <c r="V308" s="273"/>
      <c r="W308" s="273"/>
      <c r="X308" s="273"/>
      <c r="Y308" s="273"/>
      <c r="Z308" s="273"/>
      <c r="AA308" s="273"/>
      <c r="AB308" s="273"/>
      <c r="AC308" s="273"/>
    </row>
    <row r="309" ht="75.0" customHeight="1">
      <c r="A309" s="272" t="s">
        <v>3015</v>
      </c>
      <c r="B309" s="273"/>
      <c r="C309" s="274" t="s">
        <v>3016</v>
      </c>
      <c r="D309" s="274" t="s">
        <v>3016</v>
      </c>
      <c r="E309" s="273"/>
      <c r="F309" s="275"/>
      <c r="G309" s="273" t="s">
        <v>3017</v>
      </c>
      <c r="H309" s="273" t="str">
        <f t="shared" si="1"/>
        <v>Animal Kingdom Pirates / Tobi Roppo ~ Ulti</v>
      </c>
      <c r="I309" s="275"/>
      <c r="J309" s="274" t="s">
        <v>3018</v>
      </c>
      <c r="K309" s="273"/>
      <c r="L309" s="273"/>
      <c r="M309" s="273"/>
      <c r="N309" s="273" t="str">
        <f>IFERROR(__xludf.DUMMYFUNCTION("""COMPUTED_VALUE"""),"Red-Haired Pirates / Captain ~ Shanks")</f>
        <v>Red-Haired Pirates / Captain ~ Shanks</v>
      </c>
      <c r="O309" s="273">
        <f>IFERROR(__xludf.DUMMYFUNCTION("""COMPUTED_VALUE"""),35.0)</f>
        <v>35</v>
      </c>
      <c r="P309" s="275" t="str">
        <f t="shared" si="2"/>
        <v/>
      </c>
      <c r="Q309" s="273" t="str">
        <f>IFERROR(__xludf.DUMMYFUNCTION("""COMPUTED_VALUE"""),"209 Animal Kingdom Pirates / Tobi Roppo - Ulti")</f>
        <v>209 Animal Kingdom Pirates / Tobi Roppo - Ulti</v>
      </c>
      <c r="R309" s="273"/>
      <c r="S309" s="273"/>
      <c r="T309" s="273"/>
      <c r="U309" s="273"/>
      <c r="V309" s="273"/>
      <c r="W309" s="273"/>
      <c r="X309" s="273"/>
      <c r="Y309" s="273"/>
      <c r="Z309" s="273"/>
      <c r="AA309" s="273"/>
      <c r="AB309" s="273"/>
      <c r="AC309" s="273"/>
    </row>
    <row r="310" ht="75.0" customHeight="1">
      <c r="A310" s="272" t="s">
        <v>3019</v>
      </c>
      <c r="B310" s="273"/>
      <c r="C310" s="274" t="s">
        <v>3020</v>
      </c>
      <c r="D310" s="274" t="s">
        <v>3020</v>
      </c>
      <c r="E310" s="273"/>
      <c r="F310" s="275"/>
      <c r="G310" s="273" t="s">
        <v>3021</v>
      </c>
      <c r="H310" s="273" t="str">
        <f t="shared" si="1"/>
        <v>Fallen Monk Pirates / Captain "Mad Monk" ~ Urouge</v>
      </c>
      <c r="I310" s="275"/>
      <c r="J310" s="274" t="s">
        <v>3022</v>
      </c>
      <c r="K310" s="273"/>
      <c r="L310" s="273"/>
      <c r="M310" s="273"/>
      <c r="N310" s="273" t="str">
        <f>IFERROR(__xludf.DUMMYFUNCTION("""COMPUTED_VALUE"""),"Obe-Sword Style Iai Lion Song ~ Roronoa Zoro")</f>
        <v>Obe-Sword Style Iai Lion Song ~ Roronoa Zoro</v>
      </c>
      <c r="O310" s="273">
        <f>IFERROR(__xludf.DUMMYFUNCTION("""COMPUTED_VALUE"""),34.0)</f>
        <v>34</v>
      </c>
      <c r="P310" s="275" t="str">
        <f t="shared" si="2"/>
        <v/>
      </c>
      <c r="Q310" s="273" t="str">
        <f>IFERROR(__xludf.DUMMYFUNCTION("""COMPUTED_VALUE"""),"122 Fallen Monk Pirates / Captain ""Mad Monk"" - Urouge")</f>
        <v>122 Fallen Monk Pirates / Captain "Mad Monk" - Urouge</v>
      </c>
      <c r="R310" s="273"/>
      <c r="S310" s="273"/>
      <c r="T310" s="273"/>
      <c r="U310" s="273"/>
      <c r="V310" s="273"/>
      <c r="W310" s="273"/>
      <c r="X310" s="273"/>
      <c r="Y310" s="273"/>
      <c r="Z310" s="273"/>
      <c r="AA310" s="273"/>
      <c r="AB310" s="273"/>
      <c r="AC310" s="273"/>
    </row>
    <row r="311" ht="75.0" customHeight="1">
      <c r="A311" s="272" t="s">
        <v>3023</v>
      </c>
      <c r="B311" s="273"/>
      <c r="C311" s="274" t="s">
        <v>3024</v>
      </c>
      <c r="D311" s="274" t="s">
        <v>3024</v>
      </c>
      <c r="E311" s="273"/>
      <c r="F311" s="275"/>
      <c r="G311" s="273" t="s">
        <v>3025</v>
      </c>
      <c r="H311" s="273" t="str">
        <f t="shared" si="1"/>
        <v>2 Years Later / Sharp Shooter ~ Usopp</v>
      </c>
      <c r="I311" s="275"/>
      <c r="J311" s="274" t="s">
        <v>3026</v>
      </c>
      <c r="K311" s="273"/>
      <c r="L311" s="273"/>
      <c r="M311" s="273"/>
      <c r="N311" s="273" t="str">
        <f>IFERROR(__xludf.DUMMYFUNCTION("""COMPUTED_VALUE"""),"Veau Vengeance ~ Sanji")</f>
        <v>Veau Vengeance ~ Sanji</v>
      </c>
      <c r="O311" s="273">
        <f>IFERROR(__xludf.DUMMYFUNCTION("""COMPUTED_VALUE"""),33.0)</f>
        <v>33</v>
      </c>
      <c r="P311" s="275" t="str">
        <f t="shared" si="2"/>
        <v/>
      </c>
      <c r="Q311" s="273" t="str">
        <f>IFERROR(__xludf.DUMMYFUNCTION("""COMPUTED_VALUE"""),"066 2 Years Later / Sharp Shooter - Usopp")</f>
        <v>066 2 Years Later / Sharp Shooter - Usopp</v>
      </c>
      <c r="R311" s="273"/>
      <c r="S311" s="273"/>
      <c r="T311" s="273"/>
      <c r="U311" s="273"/>
      <c r="V311" s="273"/>
      <c r="W311" s="273"/>
      <c r="X311" s="273"/>
      <c r="Y311" s="273"/>
      <c r="Z311" s="273"/>
      <c r="AA311" s="273"/>
      <c r="AB311" s="273"/>
      <c r="AC311" s="273"/>
    </row>
    <row r="312" ht="75.0" customHeight="1">
      <c r="A312" s="272" t="s">
        <v>3027</v>
      </c>
      <c r="B312" s="273"/>
      <c r="C312" s="274" t="s">
        <v>3028</v>
      </c>
      <c r="D312" s="274" t="s">
        <v>3028</v>
      </c>
      <c r="E312" s="273"/>
      <c r="F312" s="275"/>
      <c r="G312" s="273" t="s">
        <v>3029</v>
      </c>
      <c r="H312" s="273" t="str">
        <f t="shared" si="1"/>
        <v>5t Hammer ~ Usopp</v>
      </c>
      <c r="I312" s="275"/>
      <c r="J312" s="274" t="s">
        <v>3030</v>
      </c>
      <c r="K312" s="273"/>
      <c r="L312" s="273"/>
      <c r="M312" s="273"/>
      <c r="N312" s="273" t="str">
        <f>IFERROR(__xludf.DUMMYFUNCTION("""COMPUTED_VALUE"""),"5t Hammer ~ Usopp")</f>
        <v>5t Hammer ~ Usopp</v>
      </c>
      <c r="O312" s="273">
        <f>IFERROR(__xludf.DUMMYFUNCTION("""COMPUTED_VALUE"""),32.0)</f>
        <v>32</v>
      </c>
      <c r="P312" s="275" t="str">
        <f t="shared" si="2"/>
        <v/>
      </c>
      <c r="Q312" s="273" t="str">
        <f>IFERROR(__xludf.DUMMYFUNCTION("""COMPUTED_VALUE"""),"032 5t Hammer - Usopp")</f>
        <v>032 5t Hammer - Usopp</v>
      </c>
      <c r="R312" s="273"/>
      <c r="S312" s="273"/>
      <c r="T312" s="273"/>
      <c r="U312" s="273"/>
      <c r="V312" s="273"/>
      <c r="W312" s="273"/>
      <c r="X312" s="273"/>
      <c r="Y312" s="273"/>
      <c r="Z312" s="273"/>
      <c r="AA312" s="273"/>
      <c r="AB312" s="273"/>
      <c r="AC312" s="273"/>
    </row>
    <row r="313" ht="75.0" customHeight="1">
      <c r="A313" s="272" t="s">
        <v>3031</v>
      </c>
      <c r="B313" s="273"/>
      <c r="C313" s="274" t="s">
        <v>3032</v>
      </c>
      <c r="D313" s="274" t="s">
        <v>3032</v>
      </c>
      <c r="E313" s="273"/>
      <c r="F313" s="275"/>
      <c r="G313" s="273" t="s">
        <v>3033</v>
      </c>
      <c r="H313" s="273" t="str">
        <f t="shared" si="1"/>
        <v>Raid on Onigashima ~ Usopp</v>
      </c>
      <c r="I313" s="275"/>
      <c r="J313" s="274" t="s">
        <v>3034</v>
      </c>
      <c r="K313" s="273"/>
      <c r="L313" s="273"/>
      <c r="M313" s="273"/>
      <c r="N313" s="273" t="str">
        <f>IFERROR(__xludf.DUMMYFUNCTION("""COMPUTED_VALUE"""),"Climate Baton ~ Nami")</f>
        <v>Climate Baton ~ Nami</v>
      </c>
      <c r="O313" s="273">
        <f>IFERROR(__xludf.DUMMYFUNCTION("""COMPUTED_VALUE"""),31.0)</f>
        <v>31</v>
      </c>
      <c r="P313" s="275" t="str">
        <f t="shared" si="2"/>
        <v/>
      </c>
      <c r="Q313" s="273" t="str">
        <f>IFERROR(__xludf.DUMMYFUNCTION("""COMPUTED_VALUE"""),"252 Raid on Onigashima - Usopp")</f>
        <v>252 Raid on Onigashima - Usopp</v>
      </c>
      <c r="R313" s="273"/>
      <c r="S313" s="273"/>
      <c r="T313" s="273"/>
      <c r="U313" s="273"/>
      <c r="V313" s="273"/>
      <c r="W313" s="273"/>
      <c r="X313" s="273"/>
      <c r="Y313" s="273"/>
      <c r="Z313" s="273"/>
      <c r="AA313" s="273"/>
      <c r="AB313" s="273"/>
      <c r="AC313" s="273"/>
    </row>
    <row r="314" ht="75.0" customHeight="1">
      <c r="A314" s="272" t="s">
        <v>3035</v>
      </c>
      <c r="B314" s="273"/>
      <c r="C314" s="274" t="s">
        <v>3036</v>
      </c>
      <c r="D314" s="274" t="s">
        <v>3036</v>
      </c>
      <c r="E314" s="273"/>
      <c r="F314" s="275"/>
      <c r="G314" s="273" t="s">
        <v>3037</v>
      </c>
      <c r="H314" s="273" t="str">
        <f t="shared" si="1"/>
        <v>Savior ~ God Usopp</v>
      </c>
      <c r="I314" s="275"/>
      <c r="J314" s="274" t="s">
        <v>3038</v>
      </c>
      <c r="K314" s="273"/>
      <c r="L314" s="273"/>
      <c r="M314" s="273"/>
      <c r="N314" s="273" t="str">
        <f>IFERROR(__xludf.DUMMYFUNCTION("""COMPUTED_VALUE"""),"Baroque Works / Frontier Agents ~ Ms. Wednesday")</f>
        <v>Baroque Works / Frontier Agents ~ Ms. Wednesday</v>
      </c>
      <c r="O314" s="273">
        <f>IFERROR(__xludf.DUMMYFUNCTION("""COMPUTED_VALUE"""),30.0)</f>
        <v>30</v>
      </c>
      <c r="P314" s="275" t="str">
        <f t="shared" si="2"/>
        <v/>
      </c>
      <c r="Q314" s="273" t="str">
        <f>IFERROR(__xludf.DUMMYFUNCTION("""COMPUTED_VALUE"""),"161 Savior - God Usopp")</f>
        <v>161 Savior - God Usopp</v>
      </c>
      <c r="R314" s="273"/>
      <c r="S314" s="273"/>
      <c r="T314" s="273"/>
      <c r="U314" s="273"/>
      <c r="V314" s="273"/>
      <c r="W314" s="273"/>
      <c r="X314" s="273"/>
      <c r="Y314" s="273"/>
      <c r="Z314" s="273"/>
      <c r="AA314" s="273"/>
      <c r="AB314" s="273"/>
      <c r="AC314" s="273"/>
    </row>
    <row r="315" ht="75.0" customHeight="1">
      <c r="A315" s="272" t="s">
        <v>3039</v>
      </c>
      <c r="B315" s="273"/>
      <c r="C315" s="274" t="s">
        <v>3040</v>
      </c>
      <c r="D315" s="274" t="s">
        <v>3040</v>
      </c>
      <c r="E315" s="273"/>
      <c r="F315" s="275"/>
      <c r="G315" s="273" t="s">
        <v>3041</v>
      </c>
      <c r="H315" s="273" t="str">
        <f t="shared" si="1"/>
        <v>Egghead ~ Usopp</v>
      </c>
      <c r="I315" s="275"/>
      <c r="J315" s="274" t="s">
        <v>3042</v>
      </c>
      <c r="K315" s="273"/>
      <c r="L315" s="273"/>
      <c r="M315" s="273"/>
      <c r="N315" s="273" t="str">
        <f>IFERROR(__xludf.DUMMYFUNCTION("""COMPUTED_VALUE"""),"Slip-Slip Fruit ~ Alvida")</f>
        <v>Slip-Slip Fruit ~ Alvida</v>
      </c>
      <c r="O315" s="273">
        <f>IFERROR(__xludf.DUMMYFUNCTION("""COMPUTED_VALUE"""),29.0)</f>
        <v>29</v>
      </c>
      <c r="P315" s="275" t="str">
        <f t="shared" si="2"/>
        <v/>
      </c>
      <c r="Q315" s="273" t="str">
        <f>IFERROR(__xludf.DUMMYFUNCTION("""COMPUTED_VALUE"""),"328 Egghead - Usopp")</f>
        <v>328 Egghead - Usopp</v>
      </c>
      <c r="R315" s="273"/>
      <c r="S315" s="273"/>
      <c r="T315" s="273"/>
      <c r="U315" s="273"/>
      <c r="V315" s="273"/>
      <c r="W315" s="273"/>
      <c r="X315" s="273"/>
      <c r="Y315" s="273"/>
      <c r="Z315" s="273"/>
      <c r="AA315" s="273"/>
      <c r="AB315" s="273"/>
      <c r="AC315" s="273"/>
    </row>
    <row r="316" ht="75.0" customHeight="1">
      <c r="A316" s="272" t="s">
        <v>3043</v>
      </c>
      <c r="B316" s="273"/>
      <c r="C316" s="274" t="s">
        <v>3044</v>
      </c>
      <c r="D316" s="274" t="s">
        <v>3044</v>
      </c>
      <c r="E316" s="273"/>
      <c r="F316" s="275"/>
      <c r="G316" s="273" t="s">
        <v>3045</v>
      </c>
      <c r="H316" s="273" t="str">
        <f t="shared" si="1"/>
        <v>Straw Hat Pirates / Sharp Shooter ~ Usopp</v>
      </c>
      <c r="I316" s="275"/>
      <c r="J316" s="274" t="s">
        <v>3046</v>
      </c>
      <c r="K316" s="273"/>
      <c r="L316" s="273"/>
      <c r="M316" s="273"/>
      <c r="N316" s="273" t="str">
        <f>IFERROR(__xludf.DUMMYFUNCTION("""COMPUTED_VALUE"""),"Navy HQ / Master Chief Petty Officer ~ Tashigi")</f>
        <v>Navy HQ / Master Chief Petty Officer ~ Tashigi</v>
      </c>
      <c r="O316" s="273">
        <f>IFERROR(__xludf.DUMMYFUNCTION("""COMPUTED_VALUE"""),28.0)</f>
        <v>28</v>
      </c>
      <c r="P316" s="275" t="str">
        <f t="shared" si="2"/>
        <v/>
      </c>
      <c r="Q316" s="273" t="str">
        <f>IFERROR(__xludf.DUMMYFUNCTION("""COMPUTED_VALUE"""),"004 Straw Hat Pirates / Sharp Shooter - Usopp")</f>
        <v>004 Straw Hat Pirates / Sharp Shooter - Usopp</v>
      </c>
      <c r="R316" s="273"/>
      <c r="S316" s="273"/>
      <c r="T316" s="273"/>
      <c r="U316" s="273"/>
      <c r="V316" s="273"/>
      <c r="W316" s="273"/>
      <c r="X316" s="273"/>
      <c r="Y316" s="273"/>
      <c r="Z316" s="273"/>
      <c r="AA316" s="273"/>
      <c r="AB316" s="273"/>
      <c r="AC316" s="273"/>
    </row>
    <row r="317" ht="75.0" customHeight="1">
      <c r="A317" s="272" t="s">
        <v>3047</v>
      </c>
      <c r="B317" s="273"/>
      <c r="C317" s="274" t="s">
        <v>3048</v>
      </c>
      <c r="D317" s="274" t="s">
        <v>3048</v>
      </c>
      <c r="E317" s="273"/>
      <c r="F317" s="275"/>
      <c r="G317" s="273" t="s">
        <v>3049</v>
      </c>
      <c r="H317" s="273" t="str">
        <f t="shared" si="1"/>
        <v>The King of the Snipers ~ Sniper King</v>
      </c>
      <c r="I317" s="275"/>
      <c r="J317" s="274" t="s">
        <v>3050</v>
      </c>
      <c r="K317" s="273"/>
      <c r="L317" s="273"/>
      <c r="M317" s="273"/>
      <c r="N317" s="273" t="str">
        <f>IFERROR(__xludf.DUMMYFUNCTION("""COMPUTED_VALUE"""),"Arlong Pirates / Officer ~ Choo")</f>
        <v>Arlong Pirates / Officer ~ Choo</v>
      </c>
      <c r="O317" s="273">
        <f>IFERROR(__xludf.DUMMYFUNCTION("""COMPUTED_VALUE"""),27.0)</f>
        <v>27</v>
      </c>
      <c r="P317" s="275" t="str">
        <f t="shared" si="2"/>
        <v/>
      </c>
      <c r="Q317" s="273" t="str">
        <f>IFERROR(__xludf.DUMMYFUNCTION("""COMPUTED_VALUE"""),"112 The King of the Snipers - Sniper King")</f>
        <v>112 The King of the Snipers - Sniper King</v>
      </c>
      <c r="R317" s="273"/>
      <c r="S317" s="273"/>
      <c r="T317" s="273"/>
      <c r="U317" s="273"/>
      <c r="V317" s="273"/>
      <c r="W317" s="273"/>
      <c r="X317" s="273"/>
      <c r="Y317" s="273"/>
      <c r="Z317" s="273"/>
      <c r="AA317" s="273"/>
      <c r="AB317" s="273"/>
      <c r="AC317" s="273"/>
    </row>
    <row r="318" ht="75.0" customHeight="1">
      <c r="A318" s="272" t="s">
        <v>3051</v>
      </c>
      <c r="B318" s="273"/>
      <c r="C318" s="274" t="s">
        <v>3052</v>
      </c>
      <c r="D318" s="274" t="s">
        <v>3052</v>
      </c>
      <c r="E318" s="273"/>
      <c r="F318" s="275"/>
      <c r="G318" s="273" t="s">
        <v>3053</v>
      </c>
      <c r="H318" s="273" t="str">
        <f t="shared" si="1"/>
        <v>FILM RED ~ Usopp</v>
      </c>
      <c r="I318" s="275"/>
      <c r="J318" s="274" t="s">
        <v>3054</v>
      </c>
      <c r="K318" s="273"/>
      <c r="L318" s="273"/>
      <c r="M318" s="273"/>
      <c r="N318" s="273" t="str">
        <f>IFERROR(__xludf.DUMMYFUNCTION("""COMPUTED_VALUE"""),"Arlong Pirates / Officer ~ Kuroobi")</f>
        <v>Arlong Pirates / Officer ~ Kuroobi</v>
      </c>
      <c r="O318" s="273">
        <f>IFERROR(__xludf.DUMMYFUNCTION("""COMPUTED_VALUE"""),26.0)</f>
        <v>26</v>
      </c>
      <c r="P318" s="275" t="str">
        <f t="shared" si="2"/>
        <v/>
      </c>
      <c r="Q318" s="273" t="str">
        <f>IFERROR(__xludf.DUMMYFUNCTION("""COMPUTED_VALUE"""),"223 FILM RED - Usopp")</f>
        <v>223 FILM RED - Usopp</v>
      </c>
      <c r="R318" s="273"/>
      <c r="S318" s="273"/>
      <c r="T318" s="273"/>
      <c r="U318" s="273"/>
      <c r="V318" s="273"/>
      <c r="W318" s="273"/>
      <c r="X318" s="273"/>
      <c r="Y318" s="273"/>
      <c r="Z318" s="273"/>
      <c r="AA318" s="273"/>
      <c r="AB318" s="273"/>
      <c r="AC318" s="273"/>
    </row>
    <row r="319" ht="75.0" customHeight="1">
      <c r="A319" s="272" t="s">
        <v>3055</v>
      </c>
      <c r="B319" s="273"/>
      <c r="C319" s="274" t="s">
        <v>3056</v>
      </c>
      <c r="D319" s="274" t="s">
        <v>3056</v>
      </c>
      <c r="E319" s="273"/>
      <c r="F319" s="275"/>
      <c r="G319" s="273" t="s">
        <v>3057</v>
      </c>
      <c r="H319" s="273" t="str">
        <f t="shared" si="1"/>
        <v>Land of Wano ~ Usohachi</v>
      </c>
      <c r="I319" s="275"/>
      <c r="J319" s="274" t="s">
        <v>3058</v>
      </c>
      <c r="K319" s="273"/>
      <c r="L319" s="273"/>
      <c r="M319" s="273"/>
      <c r="N319" s="273" t="str">
        <f>IFERROR(__xludf.DUMMYFUNCTION("""COMPUTED_VALUE"""),"Arlong Pirates / Officer ~ Hatchan")</f>
        <v>Arlong Pirates / Officer ~ Hatchan</v>
      </c>
      <c r="O319" s="273">
        <f>IFERROR(__xludf.DUMMYFUNCTION("""COMPUTED_VALUE"""),25.0)</f>
        <v>25</v>
      </c>
      <c r="P319" s="275" t="str">
        <f t="shared" si="2"/>
        <v/>
      </c>
      <c r="Q319" s="273" t="str">
        <f>IFERROR(__xludf.DUMMYFUNCTION("""COMPUTED_VALUE"""),"205 Land of Wano - Usohachi")</f>
        <v>205 Land of Wano - Usohachi</v>
      </c>
      <c r="R319" s="273"/>
      <c r="S319" s="273"/>
      <c r="T319" s="273"/>
      <c r="U319" s="273"/>
      <c r="V319" s="273"/>
      <c r="W319" s="273"/>
      <c r="X319" s="273"/>
      <c r="Y319" s="273"/>
      <c r="Z319" s="273"/>
      <c r="AA319" s="273"/>
      <c r="AB319" s="273"/>
      <c r="AC319" s="273"/>
    </row>
    <row r="320" ht="75.0" customHeight="1">
      <c r="A320" s="272" t="s">
        <v>3059</v>
      </c>
      <c r="B320" s="273"/>
      <c r="C320" s="274" t="s">
        <v>3060</v>
      </c>
      <c r="D320" s="274" t="s">
        <v>3060</v>
      </c>
      <c r="E320" s="273"/>
      <c r="F320" s="275"/>
      <c r="G320" s="273" t="s">
        <v>3061</v>
      </c>
      <c r="H320" s="273" t="str">
        <f t="shared" si="1"/>
        <v>Happy Halloween ~ Uta</v>
      </c>
      <c r="I320" s="275"/>
      <c r="J320" s="274" t="s">
        <v>3062</v>
      </c>
      <c r="K320" s="273"/>
      <c r="L320" s="273"/>
      <c r="M320" s="273"/>
      <c r="N320" s="273" t="str">
        <f>IFERROR(__xludf.DUMMYFUNCTION("""COMPUTED_VALUE"""),"Krieg`s Pirate Armada / Admiral ~ Don Krieg")</f>
        <v>Krieg`s Pirate Armada / Admiral ~ Don Krieg</v>
      </c>
      <c r="O320" s="273">
        <f>IFERROR(__xludf.DUMMYFUNCTION("""COMPUTED_VALUE"""),24.0)</f>
        <v>24</v>
      </c>
      <c r="P320" s="275" t="str">
        <f t="shared" si="2"/>
        <v/>
      </c>
      <c r="Q320" s="273" t="str">
        <f>IFERROR(__xludf.DUMMYFUNCTION("""COMPUTED_VALUE"""),"299 Happy Halloween - Uta")</f>
        <v>299 Happy Halloween - Uta</v>
      </c>
      <c r="R320" s="273"/>
      <c r="S320" s="273"/>
      <c r="T320" s="273"/>
      <c r="U320" s="273"/>
      <c r="V320" s="273"/>
      <c r="W320" s="273"/>
      <c r="X320" s="273"/>
      <c r="Y320" s="273"/>
      <c r="Z320" s="273"/>
      <c r="AA320" s="273"/>
      <c r="AB320" s="273"/>
      <c r="AC320" s="273"/>
    </row>
    <row r="321" ht="75.0" customHeight="1">
      <c r="A321" s="272" t="s">
        <v>3063</v>
      </c>
      <c r="B321" s="273"/>
      <c r="C321" s="274" t="s">
        <v>3064</v>
      </c>
      <c r="D321" s="274" t="s">
        <v>3064</v>
      </c>
      <c r="E321" s="273"/>
      <c r="F321" s="275"/>
      <c r="G321" s="273" t="s">
        <v>3065</v>
      </c>
      <c r="H321" s="273" t="str">
        <f t="shared" si="1"/>
        <v>Singer of the New Genesis ~ Uta</v>
      </c>
      <c r="I321" s="275"/>
      <c r="J321" s="274" t="s">
        <v>3066</v>
      </c>
      <c r="K321" s="273"/>
      <c r="L321" s="273"/>
      <c r="M321" s="273"/>
      <c r="N321" s="273" t="str">
        <f>IFERROR(__xludf.DUMMYFUNCTION("""COMPUTED_VALUE"""),"Krieg`s Pirate Armada / Battle Commander ~ Gin")</f>
        <v>Krieg`s Pirate Armada / Battle Commander ~ Gin</v>
      </c>
      <c r="O321" s="273">
        <f>IFERROR(__xludf.DUMMYFUNCTION("""COMPUTED_VALUE"""),23.0)</f>
        <v>23</v>
      </c>
      <c r="P321" s="275" t="str">
        <f t="shared" si="2"/>
        <v/>
      </c>
      <c r="Q321" s="273" t="str">
        <f>IFERROR(__xludf.DUMMYFUNCTION("""COMPUTED_VALUE"""),"259 Singer of the New Genesis - Uta")</f>
        <v>259 Singer of the New Genesis - Uta</v>
      </c>
      <c r="R321" s="273"/>
      <c r="S321" s="273"/>
      <c r="T321" s="273"/>
      <c r="U321" s="273"/>
      <c r="V321" s="273"/>
      <c r="W321" s="273"/>
      <c r="X321" s="273"/>
      <c r="Y321" s="273"/>
      <c r="Z321" s="273"/>
      <c r="AA321" s="273"/>
      <c r="AB321" s="273"/>
      <c r="AC321" s="273"/>
    </row>
    <row r="322" ht="75.0" customHeight="1">
      <c r="A322" s="272" t="s">
        <v>3067</v>
      </c>
      <c r="B322" s="273"/>
      <c r="C322" s="274" t="s">
        <v>3068</v>
      </c>
      <c r="D322" s="274" t="s">
        <v>3068</v>
      </c>
      <c r="E322" s="273"/>
      <c r="F322" s="275"/>
      <c r="G322" s="273" t="s">
        <v>3069</v>
      </c>
      <c r="H322" s="273" t="str">
        <f t="shared" si="1"/>
        <v>FILM RED ~ Uta</v>
      </c>
      <c r="I322" s="275"/>
      <c r="J322" s="274" t="s">
        <v>3070</v>
      </c>
      <c r="K322" s="273"/>
      <c r="L322" s="273"/>
      <c r="M322" s="273"/>
      <c r="N322" s="273" t="str">
        <f>IFERROR(__xludf.DUMMYFUNCTION("""COMPUTED_VALUE"""),"Baratie / Head Chef ~ Zeff")</f>
        <v>Baratie / Head Chef ~ Zeff</v>
      </c>
      <c r="O322" s="273">
        <f>IFERROR(__xludf.DUMMYFUNCTION("""COMPUTED_VALUE"""),22.0)</f>
        <v>22</v>
      </c>
      <c r="P322" s="275" t="str">
        <f t="shared" si="2"/>
        <v/>
      </c>
      <c r="Q322" s="273" t="str">
        <f>IFERROR(__xludf.DUMMYFUNCTION("""COMPUTED_VALUE"""),"216 FILM RED - Uta")</f>
        <v>216 FILM RED - Uta</v>
      </c>
      <c r="R322" s="273"/>
      <c r="S322" s="273"/>
      <c r="T322" s="273"/>
      <c r="U322" s="273"/>
      <c r="V322" s="273"/>
      <c r="W322" s="273"/>
      <c r="X322" s="273"/>
      <c r="Y322" s="273"/>
      <c r="Z322" s="273"/>
      <c r="AA322" s="273"/>
      <c r="AB322" s="273"/>
      <c r="AC322" s="273"/>
    </row>
    <row r="323" ht="75.0" customHeight="1">
      <c r="A323" s="272" t="s">
        <v>3071</v>
      </c>
      <c r="B323" s="273"/>
      <c r="C323" s="274" t="s">
        <v>3072</v>
      </c>
      <c r="D323" s="274" t="s">
        <v>3072</v>
      </c>
      <c r="E323" s="273"/>
      <c r="F323" s="275"/>
      <c r="G323" s="273" t="s">
        <v>3073</v>
      </c>
      <c r="H323" s="273" t="str">
        <f t="shared" si="1"/>
        <v>Flying Pirates / Captain ~ Vander Decken IX</v>
      </c>
      <c r="I323" s="275"/>
      <c r="J323" s="274" t="s">
        <v>3074</v>
      </c>
      <c r="K323" s="273"/>
      <c r="L323" s="273"/>
      <c r="M323" s="273"/>
      <c r="N323" s="273" t="str">
        <f>IFERROR(__xludf.DUMMYFUNCTION("""COMPUTED_VALUE"""),"Black Cat Pirates / Former Captain ~ Captain Kuro")</f>
        <v>Black Cat Pirates / Former Captain ~ Captain Kuro</v>
      </c>
      <c r="O323" s="273">
        <f>IFERROR(__xludf.DUMMYFUNCTION("""COMPUTED_VALUE"""),21.0)</f>
        <v>21</v>
      </c>
      <c r="P323" s="275" t="str">
        <f t="shared" si="2"/>
        <v/>
      </c>
      <c r="Q323" s="273" t="str">
        <f>IFERROR(__xludf.DUMMYFUNCTION("""COMPUTED_VALUE"""),"253 Flying Pirates / Captain - Vander Decken IX")</f>
        <v>253 Flying Pirates / Captain - Vander Decken IX</v>
      </c>
      <c r="R323" s="273"/>
      <c r="S323" s="273"/>
      <c r="T323" s="273"/>
      <c r="U323" s="273"/>
      <c r="V323" s="273"/>
      <c r="W323" s="273"/>
      <c r="X323" s="273"/>
      <c r="Y323" s="273"/>
      <c r="Z323" s="273"/>
      <c r="AA323" s="273"/>
      <c r="AB323" s="273"/>
      <c r="AC323" s="273"/>
    </row>
    <row r="324" ht="75.0" customHeight="1">
      <c r="A324" s="272" t="s">
        <v>3075</v>
      </c>
      <c r="B324" s="273"/>
      <c r="C324" s="274" t="s">
        <v>3076</v>
      </c>
      <c r="D324" s="274" t="s">
        <v>3076</v>
      </c>
      <c r="E324" s="273"/>
      <c r="F324" s="275"/>
      <c r="G324" s="273" t="s">
        <v>3077</v>
      </c>
      <c r="H324" s="273" t="str">
        <f t="shared" si="1"/>
        <v>Genius Scientist ~ Vegapunk</v>
      </c>
      <c r="I324" s="275"/>
      <c r="J324" s="274" t="s">
        <v>3078</v>
      </c>
      <c r="K324" s="273"/>
      <c r="L324" s="273"/>
      <c r="M324" s="273"/>
      <c r="N324" s="273" t="str">
        <f>IFERROR(__xludf.DUMMYFUNCTION("""COMPUTED_VALUE"""),"Buggy Pirates / Captain ~ Buggy")</f>
        <v>Buggy Pirates / Captain ~ Buggy</v>
      </c>
      <c r="O324" s="273">
        <f>IFERROR(__xludf.DUMMYFUNCTION("""COMPUTED_VALUE"""),20.0)</f>
        <v>20</v>
      </c>
      <c r="P324" s="275" t="str">
        <f t="shared" si="2"/>
        <v/>
      </c>
      <c r="Q324" s="273" t="str">
        <f>IFERROR(__xludf.DUMMYFUNCTION("""COMPUTED_VALUE"""),"337 Genius Scientist - Vegapunk")</f>
        <v>337 Genius Scientist - Vegapunk</v>
      </c>
      <c r="R324" s="273"/>
      <c r="S324" s="273"/>
      <c r="T324" s="273"/>
      <c r="U324" s="273"/>
      <c r="V324" s="273"/>
      <c r="W324" s="273"/>
      <c r="X324" s="273"/>
      <c r="Y324" s="273"/>
      <c r="Z324" s="273"/>
      <c r="AA324" s="273"/>
      <c r="AB324" s="273"/>
      <c r="AC324" s="273"/>
    </row>
    <row r="325" ht="75.0" customHeight="1">
      <c r="A325" s="272" t="s">
        <v>3079</v>
      </c>
      <c r="B325" s="273"/>
      <c r="C325" s="274" t="s">
        <v>3080</v>
      </c>
      <c r="D325" s="274" t="s">
        <v>3080</v>
      </c>
      <c r="E325" s="273"/>
      <c r="F325" s="275"/>
      <c r="G325" s="273" t="s">
        <v>3081</v>
      </c>
      <c r="H325" s="273" t="str">
        <f t="shared" si="1"/>
        <v>Don Quixote Pirates / Supreme Officer ~ Vergo</v>
      </c>
      <c r="I325" s="275"/>
      <c r="J325" s="274" t="s">
        <v>3082</v>
      </c>
      <c r="K325" s="273"/>
      <c r="L325" s="273"/>
      <c r="M325" s="273"/>
      <c r="N325" s="273" t="str">
        <f>IFERROR(__xludf.DUMMYFUNCTION("""COMPUTED_VALUE"""),"Bounty Hunter ~ Johnny")</f>
        <v>Bounty Hunter ~ Johnny</v>
      </c>
      <c r="O325" s="273">
        <f>IFERROR(__xludf.DUMMYFUNCTION("""COMPUTED_VALUE"""),19.0)</f>
        <v>19</v>
      </c>
      <c r="P325" s="275" t="str">
        <f t="shared" si="2"/>
        <v/>
      </c>
      <c r="Q325" s="273" t="str">
        <f>IFERROR(__xludf.DUMMYFUNCTION("""COMPUTED_VALUE"""),"185 Don Quixote Pirates / Supreme Officer - Vergo")</f>
        <v>185 Don Quixote Pirates / Supreme Officer - Vergo</v>
      </c>
      <c r="R325" s="273"/>
      <c r="S325" s="273"/>
      <c r="T325" s="273"/>
      <c r="U325" s="273"/>
      <c r="V325" s="273"/>
      <c r="W325" s="273"/>
      <c r="X325" s="273"/>
      <c r="Y325" s="273"/>
      <c r="Z325" s="273"/>
      <c r="AA325" s="273"/>
      <c r="AB325" s="273"/>
      <c r="AC325" s="273"/>
    </row>
    <row r="326" ht="75.0" customHeight="1">
      <c r="A326" s="272" t="s">
        <v>3083</v>
      </c>
      <c r="B326" s="273"/>
      <c r="C326" s="274" t="s">
        <v>3084</v>
      </c>
      <c r="D326" s="274" t="s">
        <v>3084</v>
      </c>
      <c r="E326" s="273"/>
      <c r="F326" s="275"/>
      <c r="G326" s="273" t="s">
        <v>3085</v>
      </c>
      <c r="H326" s="273" t="str">
        <f t="shared" si="1"/>
        <v>Whitebeard Pirates / 5th Division Commander ~ Vista</v>
      </c>
      <c r="I326" s="275"/>
      <c r="J326" s="274" t="s">
        <v>3086</v>
      </c>
      <c r="K326" s="273"/>
      <c r="L326" s="273"/>
      <c r="M326" s="273"/>
      <c r="N326" s="273" t="str">
        <f>IFERROR(__xludf.DUMMYFUNCTION("""COMPUTED_VALUE"""),"Bounty Hunter ~ Yosaku")</f>
        <v>Bounty Hunter ~ Yosaku</v>
      </c>
      <c r="O326" s="273">
        <f>IFERROR(__xludf.DUMMYFUNCTION("""COMPUTED_VALUE"""),18.0)</f>
        <v>18</v>
      </c>
      <c r="P326" s="275" t="str">
        <f t="shared" si="2"/>
        <v/>
      </c>
      <c r="Q326" s="273" t="str">
        <f>IFERROR(__xludf.DUMMYFUNCTION("""COMPUTED_VALUE"""),"202 Whitebeard Pirates / 5th Division Commander - Vista")</f>
        <v>202 Whitebeard Pirates / 5th Division Commander - Vista</v>
      </c>
      <c r="R326" s="273"/>
      <c r="S326" s="273"/>
      <c r="T326" s="273"/>
      <c r="U326" s="273"/>
      <c r="V326" s="273"/>
      <c r="W326" s="273"/>
      <c r="X326" s="273"/>
      <c r="Y326" s="273"/>
      <c r="Z326" s="273"/>
      <c r="AA326" s="273"/>
      <c r="AB326" s="273"/>
      <c r="AC326" s="273"/>
    </row>
    <row r="327" ht="75.0" customHeight="1">
      <c r="A327" s="272" t="s">
        <v>3087</v>
      </c>
      <c r="B327" s="273"/>
      <c r="C327" s="274" t="s">
        <v>3088</v>
      </c>
      <c r="D327" s="274" t="s">
        <v>3088</v>
      </c>
      <c r="E327" s="273"/>
      <c r="F327" s="275"/>
      <c r="G327" s="273" t="s">
        <v>3089</v>
      </c>
      <c r="H327" s="273" t="str">
        <f t="shared" si="1"/>
        <v>Peacock Slasher ~ Nefeltari Vivi</v>
      </c>
      <c r="I327" s="275"/>
      <c r="J327" s="274" t="s">
        <v>3090</v>
      </c>
      <c r="K327" s="273"/>
      <c r="L327" s="273"/>
      <c r="M327" s="273"/>
      <c r="N327" s="273" t="str">
        <f>IFERROR(__xludf.DUMMYFUNCTION("""COMPUTED_VALUE"""),"Black Cat Pirates / Guard ~ Butchie")</f>
        <v>Black Cat Pirates / Guard ~ Butchie</v>
      </c>
      <c r="O327" s="273">
        <f>IFERROR(__xludf.DUMMYFUNCTION("""COMPUTED_VALUE"""),17.0)</f>
        <v>17</v>
      </c>
      <c r="P327" s="275" t="str">
        <f t="shared" si="2"/>
        <v/>
      </c>
      <c r="Q327" s="273" t="str">
        <f>IFERROR(__xludf.DUMMYFUNCTION("""COMPUTED_VALUE"""),"044 Peacock Slasher - Nefeltari Vivi")</f>
        <v>044 Peacock Slasher - Nefeltari Vivi</v>
      </c>
      <c r="R327" s="273"/>
      <c r="S327" s="273"/>
      <c r="T327" s="273"/>
      <c r="U327" s="273"/>
      <c r="V327" s="273"/>
      <c r="W327" s="273"/>
      <c r="X327" s="273"/>
      <c r="Y327" s="273"/>
      <c r="Z327" s="273"/>
      <c r="AA327" s="273"/>
      <c r="AB327" s="273"/>
      <c r="AC327" s="273"/>
    </row>
    <row r="328" ht="75.0" customHeight="1">
      <c r="A328" s="272" t="s">
        <v>3091</v>
      </c>
      <c r="B328" s="273"/>
      <c r="C328" s="274" t="s">
        <v>3092</v>
      </c>
      <c r="D328" s="274" t="s">
        <v>3092</v>
      </c>
      <c r="E328" s="273"/>
      <c r="F328" s="275"/>
      <c r="G328" s="273" t="s">
        <v>3093</v>
      </c>
      <c r="H328" s="273" t="str">
        <f t="shared" si="1"/>
        <v>Princess and Loyal Partner ~ Vivi &amp; Karoo</v>
      </c>
      <c r="I328" s="275"/>
      <c r="J328" s="274" t="s">
        <v>3094</v>
      </c>
      <c r="K328" s="273"/>
      <c r="L328" s="273"/>
      <c r="M328" s="273"/>
      <c r="N328" s="273" t="str">
        <f>IFERROR(__xludf.DUMMYFUNCTION("""COMPUTED_VALUE"""),"Black Cat Pirates / Captain ~ Django")</f>
        <v>Black Cat Pirates / Captain ~ Django</v>
      </c>
      <c r="O328" s="273">
        <f>IFERROR(__xludf.DUMMYFUNCTION("""COMPUTED_VALUE"""),16.0)</f>
        <v>16</v>
      </c>
      <c r="P328" s="275" t="str">
        <f t="shared" si="2"/>
        <v/>
      </c>
      <c r="Q328" s="273" t="str">
        <f>IFERROR(__xludf.DUMMYFUNCTION("""COMPUTED_VALUE"""),"175 Princess and Loyal Partner - Vivi &amp; Karoo")</f>
        <v>175 Princess and Loyal Partner - Vivi &amp; Karoo</v>
      </c>
      <c r="R328" s="273"/>
      <c r="S328" s="273"/>
      <c r="T328" s="273"/>
      <c r="U328" s="273"/>
      <c r="V328" s="273"/>
      <c r="W328" s="273"/>
      <c r="X328" s="273"/>
      <c r="Y328" s="273"/>
      <c r="Z328" s="273"/>
      <c r="AA328" s="273"/>
      <c r="AB328" s="273"/>
      <c r="AC328" s="273"/>
    </row>
    <row r="329" ht="75.0" customHeight="1">
      <c r="A329" s="272" t="s">
        <v>3095</v>
      </c>
      <c r="B329" s="273"/>
      <c r="C329" s="274" t="s">
        <v>3096</v>
      </c>
      <c r="D329" s="274" t="s">
        <v>3096</v>
      </c>
      <c r="E329" s="273"/>
      <c r="F329" s="275"/>
      <c r="G329" s="273" t="s">
        <v>3097</v>
      </c>
      <c r="H329" s="273" t="str">
        <f t="shared" si="1"/>
        <v>Baroque Works / Frontier Agents ~ Ms. Wednesday</v>
      </c>
      <c r="I329" s="275"/>
      <c r="J329" s="274" t="s">
        <v>3098</v>
      </c>
      <c r="K329" s="273"/>
      <c r="L329" s="273"/>
      <c r="M329" s="273"/>
      <c r="N329" s="273" t="str">
        <f>IFERROR(__xludf.DUMMYFUNCTION("""COMPUTED_VALUE"""),"Buggy Pirates / Chief of Staff ~ Cabaji")</f>
        <v>Buggy Pirates / Chief of Staff ~ Cabaji</v>
      </c>
      <c r="O329" s="273">
        <f>IFERROR(__xludf.DUMMYFUNCTION("""COMPUTED_VALUE"""),15.0)</f>
        <v>15</v>
      </c>
      <c r="P329" s="275" t="str">
        <f t="shared" si="2"/>
        <v/>
      </c>
      <c r="Q329" s="273" t="str">
        <f>IFERROR(__xludf.DUMMYFUNCTION("""COMPUTED_VALUE"""),"030 Baroque Works / Frontier Agents - Ms. Wednesday")</f>
        <v>030 Baroque Works / Frontier Agents - Ms. Wednesday</v>
      </c>
      <c r="R329" s="273"/>
      <c r="S329" s="273"/>
      <c r="T329" s="273"/>
      <c r="U329" s="273"/>
      <c r="V329" s="273"/>
      <c r="W329" s="273"/>
      <c r="X329" s="273"/>
      <c r="Y329" s="273"/>
      <c r="Z329" s="273"/>
      <c r="AA329" s="273"/>
      <c r="AB329" s="273"/>
      <c r="AC329" s="273"/>
    </row>
    <row r="330" ht="75.0" customHeight="1">
      <c r="A330" s="272" t="s">
        <v>3099</v>
      </c>
      <c r="B330" s="273"/>
      <c r="C330" s="274" t="s">
        <v>3100</v>
      </c>
      <c r="D330" s="274" t="s">
        <v>3100</v>
      </c>
      <c r="E330" s="273"/>
      <c r="F330" s="275"/>
      <c r="G330" s="273" t="s">
        <v>3101</v>
      </c>
      <c r="H330" s="273" t="str">
        <f t="shared" si="1"/>
        <v>Alabasta / Princess ~ Nefeltari Vivi</v>
      </c>
      <c r="I330" s="275"/>
      <c r="J330" s="274" t="s">
        <v>3102</v>
      </c>
      <c r="K330" s="273"/>
      <c r="L330" s="273"/>
      <c r="M330" s="273"/>
      <c r="N330" s="273" t="str">
        <f>IFERROR(__xludf.DUMMYFUNCTION("""COMPUTED_VALUE"""),"Navy Captain ~ Morgan")</f>
        <v>Navy Captain ~ Morgan</v>
      </c>
      <c r="O330" s="273">
        <f>IFERROR(__xludf.DUMMYFUNCTION("""COMPUTED_VALUE"""),14.0)</f>
        <v>14</v>
      </c>
      <c r="P330" s="275" t="str">
        <f t="shared" si="2"/>
        <v/>
      </c>
      <c r="Q330" s="273" t="str">
        <f>IFERROR(__xludf.DUMMYFUNCTION("""COMPUTED_VALUE"""),"061 Alabasta / Princess - Nefeltari Vivi")</f>
        <v>061 Alabasta / Princess - Nefeltari Vivi</v>
      </c>
      <c r="R330" s="273"/>
      <c r="S330" s="273"/>
      <c r="T330" s="273"/>
      <c r="U330" s="273"/>
      <c r="V330" s="273"/>
      <c r="W330" s="273"/>
      <c r="X330" s="273"/>
      <c r="Y330" s="273"/>
      <c r="Z330" s="273"/>
      <c r="AA330" s="273"/>
      <c r="AB330" s="273"/>
      <c r="AC330" s="273"/>
    </row>
    <row r="331" ht="75.0" customHeight="1">
      <c r="A331" s="272" t="s">
        <v>3103</v>
      </c>
      <c r="B331" s="273"/>
      <c r="C331" s="274" t="s">
        <v>3104</v>
      </c>
      <c r="D331" s="274" t="s">
        <v>3104</v>
      </c>
      <c r="E331" s="273"/>
      <c r="F331" s="275"/>
      <c r="G331" s="273" t="s">
        <v>3105</v>
      </c>
      <c r="H331" s="273" t="str">
        <f t="shared" si="1"/>
        <v>Drum Kingdom / Former Ruler ~ Wapol</v>
      </c>
      <c r="I331" s="275"/>
      <c r="J331" s="274" t="s">
        <v>3106</v>
      </c>
      <c r="K331" s="273"/>
      <c r="L331" s="273"/>
      <c r="M331" s="273"/>
      <c r="N331" s="273" t="str">
        <f>IFERROR(__xludf.DUMMYFUNCTION("""COMPUTED_VALUE"""),"The Idiot Son ~ Helmeppo")</f>
        <v>The Idiot Son ~ Helmeppo</v>
      </c>
      <c r="O331" s="273">
        <f>IFERROR(__xludf.DUMMYFUNCTION("""COMPUTED_VALUE"""),13.0)</f>
        <v>13</v>
      </c>
      <c r="P331" s="275" t="str">
        <f t="shared" si="2"/>
        <v/>
      </c>
      <c r="Q331" s="273" t="str">
        <f>IFERROR(__xludf.DUMMYFUNCTION("""COMPUTED_VALUE"""),"042 Drum Kingdom / Former Ruler - Wapol")</f>
        <v>042 Drum Kingdom / Former Ruler - Wapol</v>
      </c>
      <c r="R331" s="273"/>
      <c r="S331" s="273"/>
      <c r="T331" s="273"/>
      <c r="U331" s="273"/>
      <c r="V331" s="273"/>
      <c r="W331" s="273"/>
      <c r="X331" s="273"/>
      <c r="Y331" s="273"/>
      <c r="Z331" s="273"/>
      <c r="AA331" s="273"/>
      <c r="AB331" s="273"/>
      <c r="AC331" s="273"/>
    </row>
    <row r="332" ht="75.0" customHeight="1">
      <c r="A332" s="272" t="s">
        <v>3107</v>
      </c>
      <c r="B332" s="273"/>
      <c r="C332" s="274" t="s">
        <v>3108</v>
      </c>
      <c r="D332" s="274" t="s">
        <v>3108</v>
      </c>
      <c r="E332" s="273"/>
      <c r="F332" s="275"/>
      <c r="G332" s="273" t="s">
        <v>3109</v>
      </c>
      <c r="H332" s="273" t="str">
        <f t="shared" si="1"/>
        <v>Whitebeard Pirates / Captain Whitebeard ~ Edward Newgate</v>
      </c>
      <c r="I332" s="275"/>
      <c r="J332" s="274" t="s">
        <v>3110</v>
      </c>
      <c r="K332" s="273"/>
      <c r="L332" s="273"/>
      <c r="M332" s="273"/>
      <c r="N332" s="273" t="str">
        <f>IFERROR(__xludf.DUMMYFUNCTION("""COMPUTED_VALUE"""),"Alvida Pirates / Captain ~ Alvida")</f>
        <v>Alvida Pirates / Captain ~ Alvida</v>
      </c>
      <c r="O332" s="273">
        <f>IFERROR(__xludf.DUMMYFUNCTION("""COMPUTED_VALUE"""),12.0)</f>
        <v>12</v>
      </c>
      <c r="P332" s="275" t="str">
        <f t="shared" si="2"/>
        <v/>
      </c>
      <c r="Q332" s="273" t="str">
        <f>IFERROR(__xludf.DUMMYFUNCTION("""COMPUTED_VALUE"""),"047 Whitebeard Pirates / Captain Whitebeard - Edward Newgate")</f>
        <v>047 Whitebeard Pirates / Captain Whitebeard - Edward Newgate</v>
      </c>
      <c r="R332" s="273"/>
      <c r="S332" s="273"/>
      <c r="T332" s="273"/>
      <c r="U332" s="273"/>
      <c r="V332" s="273"/>
      <c r="W332" s="273"/>
      <c r="X332" s="273"/>
      <c r="Y332" s="273"/>
      <c r="Z332" s="273"/>
      <c r="AA332" s="273"/>
      <c r="AB332" s="273"/>
      <c r="AC332" s="273"/>
    </row>
    <row r="333" ht="75.0" customHeight="1">
      <c r="A333" s="272" t="s">
        <v>3111</v>
      </c>
      <c r="B333" s="273"/>
      <c r="C333" s="274" t="s">
        <v>3112</v>
      </c>
      <c r="D333" s="274" t="s">
        <v>3112</v>
      </c>
      <c r="E333" s="273"/>
      <c r="F333" s="275"/>
      <c r="G333" s="273" t="s">
        <v>3113</v>
      </c>
      <c r="H333" s="273" t="str">
        <f t="shared" si="1"/>
        <v>Great Pirate ~ Edward Newgate</v>
      </c>
      <c r="I333" s="275"/>
      <c r="J333" s="274" t="s">
        <v>3114</v>
      </c>
      <c r="K333" s="273"/>
      <c r="L333" s="273"/>
      <c r="M333" s="273"/>
      <c r="N333" s="273" t="str">
        <f>IFERROR(__xludf.DUMMYFUNCTION("""COMPUTED_VALUE"""),"Chore Boy ~ Koby")</f>
        <v>Chore Boy ~ Koby</v>
      </c>
      <c r="O333" s="273">
        <f>IFERROR(__xludf.DUMMYFUNCTION("""COMPUTED_VALUE"""),11.0)</f>
        <v>11</v>
      </c>
      <c r="P333" s="275" t="str">
        <f t="shared" si="2"/>
        <v/>
      </c>
      <c r="Q333" s="273" t="str">
        <f>IFERROR(__xludf.DUMMYFUNCTION("""COMPUTED_VALUE"""),"276 Great Pirate - Edward Newgate")</f>
        <v>276 Great Pirate - Edward Newgate</v>
      </c>
      <c r="R333" s="273"/>
      <c r="S333" s="273"/>
      <c r="T333" s="273"/>
      <c r="U333" s="273"/>
      <c r="V333" s="273"/>
      <c r="W333" s="273"/>
      <c r="X333" s="273"/>
      <c r="Y333" s="273"/>
      <c r="Z333" s="273"/>
      <c r="AA333" s="273"/>
      <c r="AB333" s="273"/>
      <c r="AC333" s="273"/>
    </row>
    <row r="334" ht="75.0" customHeight="1">
      <c r="A334" s="272" t="s">
        <v>3115</v>
      </c>
      <c r="B334" s="273"/>
      <c r="C334" s="274" t="s">
        <v>3116</v>
      </c>
      <c r="D334" s="274" t="s">
        <v>3116</v>
      </c>
      <c r="E334" s="273"/>
      <c r="F334" s="275"/>
      <c r="G334" s="273" t="s">
        <v>3117</v>
      </c>
      <c r="H334" s="273" t="str">
        <f t="shared" si="1"/>
        <v>Roger`s Rival ~ Edward Newgate</v>
      </c>
      <c r="I334" s="275"/>
      <c r="J334" s="274" t="s">
        <v>3118</v>
      </c>
      <c r="K334" s="273"/>
      <c r="L334" s="273"/>
      <c r="M334" s="273"/>
      <c r="N334" s="273" t="str">
        <f>IFERROR(__xludf.DUMMYFUNCTION("""COMPUTED_VALUE"""),"Mountain Bandits / Leader ~ Higuma the Bear")</f>
        <v>Mountain Bandits / Leader ~ Higuma the Bear</v>
      </c>
      <c r="O334" s="273">
        <f>IFERROR(__xludf.DUMMYFUNCTION("""COMPUTED_VALUE"""),10.0)</f>
        <v>10</v>
      </c>
      <c r="P334" s="275" t="str">
        <f t="shared" si="2"/>
        <v/>
      </c>
      <c r="Q334" s="273" t="str">
        <f>IFERROR(__xludf.DUMMYFUNCTION("""COMPUTED_VALUE"""),"158 Roger`s Rival - Edward Newgate")</f>
        <v>158 Roger`s Rival - Edward Newgate</v>
      </c>
      <c r="R334" s="273"/>
      <c r="S334" s="273"/>
      <c r="T334" s="273"/>
      <c r="U334" s="273"/>
      <c r="V334" s="273"/>
      <c r="W334" s="273"/>
      <c r="X334" s="273"/>
      <c r="Y334" s="273"/>
      <c r="Z334" s="273"/>
      <c r="AA334" s="273"/>
      <c r="AB334" s="273"/>
      <c r="AC334" s="273"/>
    </row>
    <row r="335" ht="75.0" customHeight="1">
      <c r="A335" s="272" t="s">
        <v>3119</v>
      </c>
      <c r="B335" s="273"/>
      <c r="C335" s="274" t="s">
        <v>3120</v>
      </c>
      <c r="D335" s="274" t="s">
        <v>3120</v>
      </c>
      <c r="E335" s="273"/>
      <c r="F335" s="275"/>
      <c r="G335" s="273" t="s">
        <v>3121</v>
      </c>
      <c r="H335" s="273" t="str">
        <f t="shared" si="1"/>
        <v>Animal Kingdom Pirates / Tobi Roppo ~ Who`s-Who</v>
      </c>
      <c r="I335" s="275"/>
      <c r="J335" s="274" t="s">
        <v>3122</v>
      </c>
      <c r="K335" s="273"/>
      <c r="L335" s="273"/>
      <c r="M335" s="273"/>
      <c r="N335" s="273" t="str">
        <f>IFERROR(__xludf.DUMMYFUNCTION("""COMPUTED_VALUE"""),"Straw Hat Pirates / Musician ~ Brook")</f>
        <v>Straw Hat Pirates / Musician ~ Brook</v>
      </c>
      <c r="O335" s="273">
        <f>IFERROR(__xludf.DUMMYFUNCTION("""COMPUTED_VALUE"""),9.0)</f>
        <v>9</v>
      </c>
      <c r="P335" s="275" t="str">
        <f t="shared" si="2"/>
        <v/>
      </c>
      <c r="Q335" s="273" t="str">
        <f>IFERROR(__xludf.DUMMYFUNCTION("""COMPUTED_VALUE"""),"237 Animal Kingdom Pirates / Tobi Roppo - Who`s-Who")</f>
        <v>237 Animal Kingdom Pirates / Tobi Roppo - Who`s-Who</v>
      </c>
      <c r="R335" s="273"/>
      <c r="S335" s="273"/>
      <c r="T335" s="273"/>
      <c r="U335" s="273"/>
      <c r="V335" s="273"/>
      <c r="W335" s="273"/>
      <c r="X335" s="273"/>
      <c r="Y335" s="273"/>
      <c r="Z335" s="273"/>
      <c r="AA335" s="273"/>
      <c r="AB335" s="273"/>
      <c r="AC335" s="273"/>
    </row>
    <row r="336" ht="75.0" customHeight="1">
      <c r="A336" s="272" t="s">
        <v>3123</v>
      </c>
      <c r="B336" s="273"/>
      <c r="C336" s="274" t="s">
        <v>3124</v>
      </c>
      <c r="D336" s="274" t="s">
        <v>3124</v>
      </c>
      <c r="E336" s="273"/>
      <c r="F336" s="275"/>
      <c r="G336" s="273" t="s">
        <v>3125</v>
      </c>
      <c r="H336" s="273" t="str">
        <f t="shared" si="1"/>
        <v>Shandian Warrior ~ Wyper</v>
      </c>
      <c r="I336" s="275"/>
      <c r="J336" s="274" t="s">
        <v>3126</v>
      </c>
      <c r="K336" s="273"/>
      <c r="L336" s="273"/>
      <c r="M336" s="273"/>
      <c r="N336" s="273" t="str">
        <f>IFERROR(__xludf.DUMMYFUNCTION("""COMPUTED_VALUE"""),"Straw Hat Pirates / Ship Carpenter ~ Franky")</f>
        <v>Straw Hat Pirates / Ship Carpenter ~ Franky</v>
      </c>
      <c r="O336" s="273">
        <f>IFERROR(__xludf.DUMMYFUNCTION("""COMPUTED_VALUE"""),8.0)</f>
        <v>8</v>
      </c>
      <c r="P336" s="275" t="str">
        <f t="shared" si="2"/>
        <v/>
      </c>
      <c r="Q336" s="273" t="str">
        <f>IFERROR(__xludf.DUMMYFUNCTION("""COMPUTED_VALUE"""),"207 Shandian Warrior - Wyper")</f>
        <v>207 Shandian Warrior - Wyper</v>
      </c>
      <c r="R336" s="273"/>
      <c r="S336" s="273"/>
      <c r="T336" s="273"/>
      <c r="U336" s="273"/>
      <c r="V336" s="273"/>
      <c r="W336" s="273"/>
      <c r="X336" s="273"/>
      <c r="Y336" s="273"/>
      <c r="Z336" s="273"/>
      <c r="AA336" s="273"/>
      <c r="AB336" s="273"/>
      <c r="AC336" s="273"/>
    </row>
    <row r="337" ht="75.0" customHeight="1">
      <c r="A337" s="272" t="s">
        <v>3127</v>
      </c>
      <c r="B337" s="273"/>
      <c r="C337" s="274" t="s">
        <v>3128</v>
      </c>
      <c r="D337" s="274" t="s">
        <v>3128</v>
      </c>
      <c r="E337" s="273"/>
      <c r="F337" s="275"/>
      <c r="G337" s="273" t="s">
        <v>3129</v>
      </c>
      <c r="H337" s="273" t="str">
        <f t="shared" si="1"/>
        <v>Top Secret Special Force Captain of "Sword" ~ X. Drake</v>
      </c>
      <c r="I337" s="275"/>
      <c r="J337" s="274" t="s">
        <v>3130</v>
      </c>
      <c r="K337" s="273"/>
      <c r="L337" s="273"/>
      <c r="M337" s="273"/>
      <c r="N337" s="273" t="str">
        <f>IFERROR(__xludf.DUMMYFUNCTION("""COMPUTED_VALUE"""),"Straw Hat Pirates / Archaeologist ~ Nico Robin")</f>
        <v>Straw Hat Pirates / Archaeologist ~ Nico Robin</v>
      </c>
      <c r="O337" s="273">
        <f>IFERROR(__xludf.DUMMYFUNCTION("""COMPUTED_VALUE"""),7.0)</f>
        <v>7</v>
      </c>
      <c r="P337" s="275" t="str">
        <f t="shared" si="2"/>
        <v/>
      </c>
      <c r="Q337" s="273" t="str">
        <f>IFERROR(__xludf.DUMMYFUNCTION("""COMPUTED_VALUE"""),"230 Top Secret Special Force Captain of ""Sword"" - X. Drake")</f>
        <v>230 Top Secret Special Force Captain of "Sword" - X. Drake</v>
      </c>
      <c r="R337" s="273"/>
      <c r="S337" s="273"/>
      <c r="T337" s="273"/>
      <c r="U337" s="273"/>
      <c r="V337" s="273"/>
      <c r="W337" s="273"/>
      <c r="X337" s="273"/>
      <c r="Y337" s="273"/>
      <c r="Z337" s="273"/>
      <c r="AA337" s="273"/>
      <c r="AB337" s="273"/>
      <c r="AC337" s="273"/>
    </row>
    <row r="338" ht="75.0" customHeight="1">
      <c r="A338" s="272" t="s">
        <v>3131</v>
      </c>
      <c r="B338" s="273"/>
      <c r="C338" s="274" t="s">
        <v>3132</v>
      </c>
      <c r="D338" s="274" t="s">
        <v>3132</v>
      </c>
      <c r="E338" s="273"/>
      <c r="F338" s="275"/>
      <c r="G338" s="273" t="s">
        <v>3133</v>
      </c>
      <c r="H338" s="273" t="str">
        <f t="shared" si="1"/>
        <v>Land of Wano ~ X.Drake</v>
      </c>
      <c r="I338" s="275"/>
      <c r="J338" s="274" t="s">
        <v>3134</v>
      </c>
      <c r="K338" s="273"/>
      <c r="L338" s="273"/>
      <c r="M338" s="273"/>
      <c r="N338" s="273" t="str">
        <f>IFERROR(__xludf.DUMMYFUNCTION("""COMPUTED_VALUE"""),"Straw Hat Pirates / Doctor ~ Tony Tony Chopper")</f>
        <v>Straw Hat Pirates / Doctor ~ Tony Tony Chopper</v>
      </c>
      <c r="O338" s="273">
        <f>IFERROR(__xludf.DUMMYFUNCTION("""COMPUTED_VALUE"""),6.0)</f>
        <v>6</v>
      </c>
      <c r="P338" s="275" t="str">
        <f t="shared" si="2"/>
        <v/>
      </c>
      <c r="Q338" s="273" t="str">
        <f>IFERROR(__xludf.DUMMYFUNCTION("""COMPUTED_VALUE"""),"126 Land of Wano - X.Drake")</f>
        <v>126 Land of Wano - X.Drake</v>
      </c>
      <c r="R338" s="273"/>
      <c r="S338" s="273"/>
      <c r="T338" s="273"/>
      <c r="U338" s="273"/>
      <c r="V338" s="273"/>
      <c r="W338" s="273"/>
      <c r="X338" s="273"/>
      <c r="Y338" s="273"/>
      <c r="Z338" s="273"/>
      <c r="AA338" s="273"/>
      <c r="AB338" s="273"/>
      <c r="AC338" s="273"/>
    </row>
    <row r="339" ht="75.0" customHeight="1">
      <c r="A339" s="272" t="s">
        <v>3135</v>
      </c>
      <c r="B339" s="273"/>
      <c r="C339" s="274" t="s">
        <v>3136</v>
      </c>
      <c r="D339" s="274" t="s">
        <v>3136</v>
      </c>
      <c r="E339" s="273"/>
      <c r="F339" s="275"/>
      <c r="G339" s="273" t="s">
        <v>3137</v>
      </c>
      <c r="H339" s="273" t="str">
        <f t="shared" si="1"/>
        <v>Okuchi-no-Makami ~ Yamato</v>
      </c>
      <c r="I339" s="275"/>
      <c r="J339" s="274" t="s">
        <v>3138</v>
      </c>
      <c r="K339" s="273"/>
      <c r="L339" s="273"/>
      <c r="M339" s="273"/>
      <c r="N339" s="273" t="str">
        <f>IFERROR(__xludf.DUMMYFUNCTION("""COMPUTED_VALUE"""),"Straw Hat Pirates / Cook ~ Sanji")</f>
        <v>Straw Hat Pirates / Cook ~ Sanji</v>
      </c>
      <c r="O339" s="273">
        <f>IFERROR(__xludf.DUMMYFUNCTION("""COMPUTED_VALUE"""),5.0)</f>
        <v>5</v>
      </c>
      <c r="P339" s="275" t="str">
        <f t="shared" si="2"/>
        <v/>
      </c>
      <c r="Q339" s="273" t="str">
        <f>IFERROR(__xludf.DUMMYFUNCTION("""COMPUTED_VALUE"""),"250 Okuchi-no-Makami - Yamato")</f>
        <v>250 Okuchi-no-Makami - Yamato</v>
      </c>
      <c r="R339" s="273"/>
      <c r="S339" s="273"/>
      <c r="T339" s="273"/>
      <c r="U339" s="273"/>
      <c r="V339" s="273"/>
      <c r="W339" s="273"/>
      <c r="X339" s="273"/>
      <c r="Y339" s="273"/>
      <c r="Z339" s="273"/>
      <c r="AA339" s="273"/>
      <c r="AB339" s="273"/>
      <c r="AC339" s="273"/>
    </row>
    <row r="340" ht="75.0" customHeight="1">
      <c r="A340" s="272" t="s">
        <v>3139</v>
      </c>
      <c r="B340" s="273"/>
      <c r="C340" s="274" t="s">
        <v>3140</v>
      </c>
      <c r="D340" s="274" t="s">
        <v>3140</v>
      </c>
      <c r="E340" s="273"/>
      <c r="F340" s="275"/>
      <c r="G340" s="273" t="s">
        <v>3141</v>
      </c>
      <c r="H340" s="273" t="str">
        <f t="shared" si="1"/>
        <v>Kaido`s Son ~ Yamato</v>
      </c>
      <c r="I340" s="275"/>
      <c r="J340" s="274" t="s">
        <v>3142</v>
      </c>
      <c r="K340" s="273"/>
      <c r="L340" s="273"/>
      <c r="M340" s="273"/>
      <c r="N340" s="273" t="str">
        <f>IFERROR(__xludf.DUMMYFUNCTION("""COMPUTED_VALUE"""),"Straw Hat Pirates / Sharp Shooter ~ Usopp")</f>
        <v>Straw Hat Pirates / Sharp Shooter ~ Usopp</v>
      </c>
      <c r="O340" s="273">
        <f>IFERROR(__xludf.DUMMYFUNCTION("""COMPUTED_VALUE"""),4.0)</f>
        <v>4</v>
      </c>
      <c r="P340" s="275" t="str">
        <f t="shared" si="2"/>
        <v/>
      </c>
      <c r="Q340" s="273" t="str">
        <f>IFERROR(__xludf.DUMMYFUNCTION("""COMPUTED_VALUE"""),"194 Kaido`s Son - Yamato")</f>
        <v>194 Kaido`s Son - Yamato</v>
      </c>
      <c r="R340" s="273"/>
      <c r="S340" s="273"/>
      <c r="T340" s="273"/>
      <c r="U340" s="273"/>
      <c r="V340" s="273"/>
      <c r="W340" s="273"/>
      <c r="X340" s="273"/>
      <c r="Y340" s="273"/>
      <c r="Z340" s="273"/>
      <c r="AA340" s="273"/>
      <c r="AB340" s="273"/>
      <c r="AC340" s="273"/>
    </row>
    <row r="341" ht="75.0" customHeight="1">
      <c r="A341" s="272" t="s">
        <v>3143</v>
      </c>
      <c r="B341" s="273"/>
      <c r="C341" s="274" t="s">
        <v>3144</v>
      </c>
      <c r="D341" s="274" t="s">
        <v>3144</v>
      </c>
      <c r="E341" s="273"/>
      <c r="F341" s="275"/>
      <c r="G341" s="273" t="s">
        <v>3145</v>
      </c>
      <c r="H341" s="273" t="str">
        <f t="shared" si="1"/>
        <v>FILM RED ~ Yasopp</v>
      </c>
      <c r="I341" s="275"/>
      <c r="J341" s="274" t="s">
        <v>3146</v>
      </c>
      <c r="K341" s="273"/>
      <c r="L341" s="273"/>
      <c r="M341" s="273"/>
      <c r="N341" s="273" t="str">
        <f>IFERROR(__xludf.DUMMYFUNCTION("""COMPUTED_VALUE"""),"Straw Hat Pirates / Navigator ~ Nami")</f>
        <v>Straw Hat Pirates / Navigator ~ Nami</v>
      </c>
      <c r="O341" s="273">
        <f>IFERROR(__xludf.DUMMYFUNCTION("""COMPUTED_VALUE"""),3.0)</f>
        <v>3</v>
      </c>
      <c r="P341" s="275" t="str">
        <f t="shared" si="2"/>
        <v/>
      </c>
      <c r="Q341" s="273" t="str">
        <f>IFERROR(__xludf.DUMMYFUNCTION("""COMPUTED_VALUE"""),"222 FILM RED - Yasopp")</f>
        <v>222 FILM RED - Yasopp</v>
      </c>
      <c r="R341" s="273"/>
      <c r="S341" s="273"/>
      <c r="T341" s="273"/>
      <c r="U341" s="273"/>
      <c r="V341" s="273"/>
      <c r="W341" s="273"/>
      <c r="X341" s="273"/>
      <c r="Y341" s="273"/>
      <c r="Z341" s="273"/>
      <c r="AA341" s="273"/>
      <c r="AB341" s="273"/>
      <c r="AC341" s="273"/>
    </row>
    <row r="342" ht="75.0" customHeight="1">
      <c r="A342" s="272" t="s">
        <v>3147</v>
      </c>
      <c r="B342" s="273"/>
      <c r="C342" s="274" t="s">
        <v>3148</v>
      </c>
      <c r="D342" s="274" t="s">
        <v>3148</v>
      </c>
      <c r="E342" s="273"/>
      <c r="F342" s="275"/>
      <c r="G342" s="273" t="s">
        <v>3149</v>
      </c>
      <c r="H342" s="273" t="str">
        <f t="shared" si="1"/>
        <v>Red-Haired Pirates / Sharp Shooter ~ Yasopp</v>
      </c>
      <c r="I342" s="275"/>
      <c r="J342" s="274" t="s">
        <v>3150</v>
      </c>
      <c r="K342" s="273"/>
      <c r="L342" s="273"/>
      <c r="M342" s="273"/>
      <c r="N342" s="273" t="str">
        <f>IFERROR(__xludf.DUMMYFUNCTION("""COMPUTED_VALUE"""),"Straw Hat Pirates / Combatant ~ Roronoa Zoro")</f>
        <v>Straw Hat Pirates / Combatant ~ Roronoa Zoro</v>
      </c>
      <c r="O342" s="273">
        <f>IFERROR(__xludf.DUMMYFUNCTION("""COMPUTED_VALUE"""),2.0)</f>
        <v>2</v>
      </c>
      <c r="P342" s="275"/>
      <c r="Q342" s="273" t="str">
        <f>IFERROR(__xludf.DUMMYFUNCTION("""COMPUTED_VALUE"""),"036 Red-Haired Pirates / Sharp Shooter - Yasopp")</f>
        <v>036 Red-Haired Pirates / Sharp Shooter - Yasopp</v>
      </c>
      <c r="R342" s="273"/>
      <c r="S342" s="273"/>
      <c r="T342" s="273"/>
      <c r="U342" s="273"/>
      <c r="V342" s="273"/>
      <c r="W342" s="273"/>
      <c r="X342" s="273"/>
      <c r="Y342" s="273"/>
      <c r="Z342" s="273"/>
      <c r="AA342" s="273"/>
      <c r="AB342" s="273"/>
      <c r="AC342" s="273"/>
    </row>
    <row r="343" ht="75.0" customHeight="1">
      <c r="A343" s="272" t="s">
        <v>3151</v>
      </c>
      <c r="B343" s="273"/>
      <c r="C343" s="274" t="s">
        <v>3152</v>
      </c>
      <c r="D343" s="274" t="s">
        <v>3152</v>
      </c>
      <c r="E343" s="273"/>
      <c r="F343" s="275"/>
      <c r="G343" s="273" t="s">
        <v>3153</v>
      </c>
      <c r="H343" s="273" t="str">
        <f t="shared" si="1"/>
        <v>Germa 66 ~ Vinsmoke Yonji</v>
      </c>
      <c r="I343" s="275"/>
      <c r="J343" s="274" t="s">
        <v>3154</v>
      </c>
      <c r="K343" s="273"/>
      <c r="L343" s="273"/>
      <c r="M343" s="273"/>
      <c r="N343" s="273" t="str">
        <f>IFERROR(__xludf.DUMMYFUNCTION("""COMPUTED_VALUE"""),"Straw Hat Pirates / Captain ~ Monkey D. Luffy")</f>
        <v>Straw Hat Pirates / Captain ~ Monkey D. Luffy</v>
      </c>
      <c r="O343" s="273">
        <f>IFERROR(__xludf.DUMMYFUNCTION("""COMPUTED_VALUE"""),1.0)</f>
        <v>1</v>
      </c>
      <c r="P343" s="275"/>
      <c r="Q343" s="273" t="str">
        <f>IFERROR(__xludf.DUMMYFUNCTION("""COMPUTED_VALUE"""),"315 Germa 66 - Vinsmoke Yonji")</f>
        <v>315 Germa 66 - Vinsmoke Yonji</v>
      </c>
      <c r="R343" s="273"/>
      <c r="S343" s="273"/>
      <c r="T343" s="273"/>
      <c r="U343" s="273"/>
      <c r="V343" s="273"/>
      <c r="W343" s="273"/>
      <c r="X343" s="273"/>
      <c r="Y343" s="273"/>
      <c r="Z343" s="273"/>
      <c r="AA343" s="273"/>
      <c r="AB343" s="273"/>
      <c r="AC343" s="273"/>
    </row>
    <row r="344" ht="75.0" customHeight="1">
      <c r="A344" s="272" t="s">
        <v>3155</v>
      </c>
      <c r="B344" s="273"/>
      <c r="C344" s="274" t="s">
        <v>3156</v>
      </c>
      <c r="D344" s="274" t="s">
        <v>3156</v>
      </c>
      <c r="E344" s="273"/>
      <c r="F344" s="275"/>
      <c r="G344" s="273" t="s">
        <v>3157</v>
      </c>
      <c r="H344" s="273" t="str">
        <f t="shared" si="1"/>
        <v>Punk-06 ~ York</v>
      </c>
      <c r="I344" s="275"/>
      <c r="J344" s="274" t="s">
        <v>3158</v>
      </c>
      <c r="K344" s="273"/>
      <c r="L344" s="273"/>
      <c r="M344" s="273"/>
      <c r="N344" s="273"/>
      <c r="O344" s="273"/>
      <c r="P344" s="275"/>
      <c r="Q344" s="273" t="str">
        <f>IFERROR(__xludf.DUMMYFUNCTION("""COMPUTED_VALUE"""),"303 Punk-06 - York")</f>
        <v>303 Punk-06 - York</v>
      </c>
      <c r="R344" s="273"/>
      <c r="S344" s="273"/>
      <c r="T344" s="273"/>
      <c r="U344" s="273"/>
      <c r="V344" s="273"/>
      <c r="W344" s="273"/>
      <c r="X344" s="273"/>
      <c r="Y344" s="273"/>
      <c r="Z344" s="273"/>
      <c r="AA344" s="273"/>
      <c r="AB344" s="273"/>
      <c r="AC344" s="273"/>
    </row>
    <row r="345" ht="75.0" customHeight="1">
      <c r="A345" s="272" t="s">
        <v>3159</v>
      </c>
      <c r="B345" s="273"/>
      <c r="C345" s="274" t="s">
        <v>3160</v>
      </c>
      <c r="D345" s="274" t="s">
        <v>3160</v>
      </c>
      <c r="E345" s="273"/>
      <c r="F345" s="275"/>
      <c r="G345" s="273" t="s">
        <v>3161</v>
      </c>
      <c r="H345" s="273" t="str">
        <f t="shared" si="1"/>
        <v>Bounty Hunter ~ Yosaku</v>
      </c>
      <c r="I345" s="275"/>
      <c r="J345" s="274" t="s">
        <v>3162</v>
      </c>
      <c r="K345" s="273"/>
      <c r="L345" s="273"/>
      <c r="M345" s="273"/>
      <c r="N345" s="273"/>
      <c r="O345" s="273"/>
      <c r="P345" s="275"/>
      <c r="Q345" s="273" t="str">
        <f>IFERROR(__xludf.DUMMYFUNCTION("""COMPUTED_VALUE"""),"018 Bounty Hunter - Yosaku")</f>
        <v>018 Bounty Hunter - Yosaku</v>
      </c>
      <c r="R345" s="273"/>
      <c r="S345" s="273"/>
      <c r="T345" s="273"/>
      <c r="U345" s="273"/>
      <c r="V345" s="273"/>
      <c r="W345" s="273"/>
      <c r="X345" s="273"/>
      <c r="Y345" s="273"/>
      <c r="Z345" s="273"/>
      <c r="AA345" s="273"/>
      <c r="AB345" s="273"/>
      <c r="AC345" s="273"/>
    </row>
    <row r="346" ht="75.0" customHeight="1">
      <c r="A346" s="272" t="s">
        <v>3163</v>
      </c>
      <c r="B346" s="273"/>
      <c r="C346" s="274" t="s">
        <v>3164</v>
      </c>
      <c r="D346" s="274" t="s">
        <v>3164</v>
      </c>
      <c r="E346" s="273"/>
      <c r="F346" s="275"/>
      <c r="G346" s="273" t="s">
        <v>3165</v>
      </c>
      <c r="H346" s="273" t="str">
        <f t="shared" si="1"/>
        <v>Baratie / Head Chef ~ Zeff</v>
      </c>
      <c r="I346" s="275"/>
      <c r="J346" s="274" t="s">
        <v>3166</v>
      </c>
      <c r="K346" s="273"/>
      <c r="L346" s="273"/>
      <c r="M346" s="273"/>
      <c r="N346" s="273"/>
      <c r="O346" s="273"/>
      <c r="P346" s="275"/>
      <c r="Q346" s="273" t="str">
        <f>IFERROR(__xludf.DUMMYFUNCTION("""COMPUTED_VALUE"""),"022 Baratie / Head Chef - Zeff")</f>
        <v>022 Baratie / Head Chef - Zeff</v>
      </c>
      <c r="R346" s="273"/>
      <c r="S346" s="273"/>
      <c r="T346" s="273"/>
      <c r="U346" s="273"/>
      <c r="V346" s="273"/>
      <c r="W346" s="273"/>
      <c r="X346" s="273"/>
      <c r="Y346" s="273"/>
      <c r="Z346" s="273"/>
      <c r="AA346" s="273"/>
      <c r="AB346" s="273"/>
      <c r="AC346" s="273"/>
    </row>
    <row r="347" ht="75.0" customHeight="1">
      <c r="A347" s="272" t="s">
        <v>3167</v>
      </c>
      <c r="B347" s="273"/>
      <c r="C347" s="274" t="s">
        <v>3168</v>
      </c>
      <c r="D347" s="274" t="s">
        <v>3168</v>
      </c>
      <c r="E347" s="273"/>
      <c r="F347" s="275"/>
      <c r="G347" s="273" t="s">
        <v>3169</v>
      </c>
      <c r="H347" s="273" t="str">
        <f t="shared" si="1"/>
        <v>FILM Z ~ Zephyr</v>
      </c>
      <c r="I347" s="275"/>
      <c r="J347" s="274" t="s">
        <v>3170</v>
      </c>
      <c r="K347" s="273"/>
      <c r="L347" s="273"/>
      <c r="M347" s="273"/>
      <c r="N347" s="273"/>
      <c r="O347" s="273"/>
      <c r="P347" s="275"/>
      <c r="Q347" s="273" t="str">
        <f>IFERROR(__xludf.DUMMYFUNCTION("""COMPUTED_VALUE"""),"215 FILM Z - Zephyr")</f>
        <v>215 FILM Z - Zephyr</v>
      </c>
      <c r="R347" s="273"/>
      <c r="S347" s="273"/>
      <c r="T347" s="273"/>
      <c r="U347" s="273"/>
      <c r="V347" s="273"/>
      <c r="W347" s="273"/>
      <c r="X347" s="273"/>
      <c r="Y347" s="273"/>
      <c r="Z347" s="273"/>
      <c r="AA347" s="273"/>
      <c r="AB347" s="273"/>
      <c r="AC347" s="273"/>
    </row>
    <row r="348" ht="75.0" customHeight="1">
      <c r="A348" s="272" t="s">
        <v>3171</v>
      </c>
      <c r="B348" s="273"/>
      <c r="C348" s="274" t="s">
        <v>3172</v>
      </c>
      <c r="D348" s="274" t="s">
        <v>3172</v>
      </c>
      <c r="E348" s="273"/>
      <c r="F348" s="275"/>
      <c r="G348" s="273" t="s">
        <v>3173</v>
      </c>
      <c r="H348" s="273" t="str">
        <f t="shared" si="1"/>
        <v>2 Years Later / Combatant ~ Roronoa Zoro</v>
      </c>
      <c r="I348" s="275"/>
      <c r="J348" s="274" t="s">
        <v>3174</v>
      </c>
      <c r="K348" s="273"/>
      <c r="L348" s="273"/>
      <c r="M348" s="273"/>
      <c r="N348" s="273"/>
      <c r="O348" s="273"/>
      <c r="P348" s="275"/>
      <c r="Q348" s="273" t="str">
        <f>IFERROR(__xludf.DUMMYFUNCTION("""COMPUTED_VALUE"""),"062 2 Years Later / Combatant - Roronoa Zoro")</f>
        <v>062 2 Years Later / Combatant - Roronoa Zoro</v>
      </c>
      <c r="R348" s="273"/>
      <c r="S348" s="273"/>
      <c r="T348" s="273"/>
      <c r="U348" s="273"/>
      <c r="V348" s="273"/>
      <c r="W348" s="273"/>
      <c r="X348" s="273"/>
      <c r="Y348" s="273"/>
      <c r="Z348" s="273"/>
      <c r="AA348" s="273"/>
      <c r="AB348" s="273"/>
      <c r="AC348" s="273"/>
    </row>
    <row r="349" ht="75.0" customHeight="1">
      <c r="A349" s="272" t="s">
        <v>3175</v>
      </c>
      <c r="B349" s="273"/>
      <c r="C349" s="274" t="s">
        <v>3176</v>
      </c>
      <c r="D349" s="274" t="s">
        <v>3176</v>
      </c>
      <c r="E349" s="273"/>
      <c r="F349" s="275"/>
      <c r="G349" s="273" t="s">
        <v>3177</v>
      </c>
      <c r="H349" s="273" t="str">
        <f t="shared" si="1"/>
        <v>Obe-Sword Style Iai Lion Song ~ Roronoa Zoro</v>
      </c>
      <c r="I349" s="275"/>
      <c r="J349" s="274" t="s">
        <v>3178</v>
      </c>
      <c r="K349" s="273"/>
      <c r="L349" s="273"/>
      <c r="M349" s="273"/>
      <c r="N349" s="273"/>
      <c r="O349" s="273"/>
      <c r="P349" s="275"/>
      <c r="Q349" s="273" t="str">
        <f>IFERROR(__xludf.DUMMYFUNCTION("""COMPUTED_VALUE"""),"034 Obe-Sword Style Iai Lion Song - Roronoa Zoro")</f>
        <v>034 Obe-Sword Style Iai Lion Song - Roronoa Zoro</v>
      </c>
      <c r="R349" s="273"/>
      <c r="S349" s="273"/>
      <c r="T349" s="273"/>
      <c r="U349" s="273"/>
      <c r="V349" s="273"/>
      <c r="W349" s="273"/>
      <c r="X349" s="273"/>
      <c r="Y349" s="273"/>
      <c r="Z349" s="273"/>
      <c r="AA349" s="273"/>
      <c r="AB349" s="273"/>
      <c r="AC349" s="273"/>
    </row>
    <row r="350" ht="75.0" customHeight="1">
      <c r="A350" s="272" t="s">
        <v>3179</v>
      </c>
      <c r="B350" s="273"/>
      <c r="C350" s="274" t="s">
        <v>3180</v>
      </c>
      <c r="D350" s="274" t="s">
        <v>3180</v>
      </c>
      <c r="E350" s="273"/>
      <c r="F350" s="275"/>
      <c r="G350" s="273" t="s">
        <v>3181</v>
      </c>
      <c r="H350" s="273" t="str">
        <f t="shared" si="1"/>
        <v>Raid on Onigashima ~ Roronoa Zoro</v>
      </c>
      <c r="I350" s="275"/>
      <c r="J350" s="274" t="s">
        <v>3182</v>
      </c>
      <c r="K350" s="273"/>
      <c r="L350" s="273"/>
      <c r="M350" s="273"/>
      <c r="N350" s="273"/>
      <c r="O350" s="273"/>
      <c r="P350" s="275"/>
      <c r="Q350" s="273" t="str">
        <f>IFERROR(__xludf.DUMMYFUNCTION("""COMPUTED_VALUE"""),"235 Raid on Onigashima - Roronoa Zoro")</f>
        <v>235 Raid on Onigashima - Roronoa Zoro</v>
      </c>
      <c r="R350" s="273"/>
      <c r="S350" s="273"/>
      <c r="T350" s="273"/>
      <c r="U350" s="273"/>
      <c r="V350" s="273"/>
      <c r="W350" s="273"/>
      <c r="X350" s="273"/>
      <c r="Y350" s="273"/>
      <c r="Z350" s="273"/>
      <c r="AA350" s="273"/>
      <c r="AB350" s="273"/>
      <c r="AC350" s="273"/>
    </row>
    <row r="351" ht="75.0" customHeight="1">
      <c r="A351" s="272" t="s">
        <v>3183</v>
      </c>
      <c r="B351" s="273"/>
      <c r="C351" s="274" t="s">
        <v>3184</v>
      </c>
      <c r="D351" s="274" t="s">
        <v>3184</v>
      </c>
      <c r="E351" s="273"/>
      <c r="F351" s="275"/>
      <c r="G351" s="273" t="s">
        <v>3185</v>
      </c>
      <c r="H351" s="273" t="str">
        <f t="shared" si="1"/>
        <v>The Billion-Fold World Trichiliocosm ~ Roronoa Zoro</v>
      </c>
      <c r="I351" s="275"/>
      <c r="J351" s="274" t="s">
        <v>3186</v>
      </c>
      <c r="K351" s="273"/>
      <c r="L351" s="273"/>
      <c r="M351" s="273"/>
      <c r="N351" s="273"/>
      <c r="O351" s="273"/>
      <c r="P351" s="275"/>
      <c r="Q351" s="273" t="str">
        <f>IFERROR(__xludf.DUMMYFUNCTION("""COMPUTED_VALUE"""),"147 The Billion-Fold World Trichiliocosm - Roronoa Zoro")</f>
        <v>147 The Billion-Fold World Trichiliocosm - Roronoa Zoro</v>
      </c>
      <c r="R351" s="273"/>
      <c r="S351" s="273"/>
      <c r="T351" s="273"/>
      <c r="U351" s="273"/>
      <c r="V351" s="273"/>
      <c r="W351" s="273"/>
      <c r="X351" s="273"/>
      <c r="Y351" s="273"/>
      <c r="Z351" s="273"/>
      <c r="AA351" s="273"/>
      <c r="AB351" s="273"/>
      <c r="AC351" s="273"/>
    </row>
    <row r="352" ht="75.0" customHeight="1">
      <c r="A352" s="272" t="s">
        <v>3187</v>
      </c>
      <c r="B352" s="273"/>
      <c r="C352" s="274" t="s">
        <v>3188</v>
      </c>
      <c r="D352" s="274" t="s">
        <v>3188</v>
      </c>
      <c r="E352" s="273"/>
      <c r="F352" s="275"/>
      <c r="G352" s="273" t="s">
        <v>3189</v>
      </c>
      <c r="H352" s="273" t="str">
        <f t="shared" si="1"/>
        <v>Egghead ~ Roronoa Zoro</v>
      </c>
      <c r="I352" s="275"/>
      <c r="J352" s="274" t="s">
        <v>3190</v>
      </c>
      <c r="K352" s="273"/>
      <c r="L352" s="273"/>
      <c r="M352" s="273"/>
      <c r="N352" s="273"/>
      <c r="O352" s="273"/>
      <c r="P352" s="275"/>
      <c r="Q352" s="273" t="str">
        <f>IFERROR(__xludf.DUMMYFUNCTION("""COMPUTED_VALUE"""),"289 Egghead - Roronoa Zoro")</f>
        <v>289 Egghead - Roronoa Zoro</v>
      </c>
      <c r="R352" s="273"/>
      <c r="S352" s="273"/>
      <c r="T352" s="273"/>
      <c r="U352" s="273"/>
      <c r="V352" s="273"/>
      <c r="W352" s="273"/>
      <c r="X352" s="273"/>
      <c r="Y352" s="273"/>
      <c r="Z352" s="273"/>
      <c r="AA352" s="273"/>
      <c r="AB352" s="273"/>
      <c r="AC352" s="273"/>
    </row>
    <row r="353" ht="75.0" customHeight="1">
      <c r="A353" s="272" t="s">
        <v>3191</v>
      </c>
      <c r="B353" s="273"/>
      <c r="C353" s="274" t="s">
        <v>3192</v>
      </c>
      <c r="D353" s="274" t="s">
        <v>3192</v>
      </c>
      <c r="E353" s="273"/>
      <c r="F353" s="275"/>
      <c r="G353" s="273" t="s">
        <v>3193</v>
      </c>
      <c r="H353" s="273" t="str">
        <f t="shared" si="1"/>
        <v>Straw Hat Pirates / Combatant ~ Roronoa Zoro</v>
      </c>
      <c r="I353" s="275"/>
      <c r="J353" s="274" t="s">
        <v>3194</v>
      </c>
      <c r="K353" s="273"/>
      <c r="L353" s="273"/>
      <c r="M353" s="273"/>
      <c r="N353" s="273"/>
      <c r="O353" s="273"/>
      <c r="P353" s="275"/>
      <c r="Q353" s="273" t="str">
        <f>IFERROR(__xludf.DUMMYFUNCTION("""COMPUTED_VALUE"""),"002 Straw Hat Pirates / Combatant - Roronoa Zoro")</f>
        <v>002 Straw Hat Pirates / Combatant - Roronoa Zoro</v>
      </c>
      <c r="R353" s="273"/>
      <c r="S353" s="273"/>
      <c r="T353" s="273"/>
      <c r="U353" s="273"/>
      <c r="V353" s="273"/>
      <c r="W353" s="273"/>
      <c r="X353" s="273"/>
      <c r="Y353" s="273"/>
      <c r="Z353" s="273"/>
      <c r="AA353" s="273"/>
      <c r="AB353" s="273"/>
      <c r="AC353" s="273"/>
    </row>
    <row r="354" ht="75.0" customHeight="1">
      <c r="A354" s="272" t="s">
        <v>3195</v>
      </c>
      <c r="B354" s="273"/>
      <c r="C354" s="274" t="s">
        <v>3196</v>
      </c>
      <c r="D354" s="274" t="s">
        <v>3196</v>
      </c>
      <c r="E354" s="273"/>
      <c r="F354" s="275"/>
      <c r="G354" s="273" t="s">
        <v>3197</v>
      </c>
      <c r="H354" s="273" t="str">
        <f t="shared" si="1"/>
        <v>108 Pound Phoenix ~ Roronoa Zoro</v>
      </c>
      <c r="I354" s="275"/>
      <c r="J354" s="274" t="s">
        <v>3198</v>
      </c>
      <c r="K354" s="273"/>
      <c r="L354" s="273"/>
      <c r="M354" s="273"/>
      <c r="N354" s="273"/>
      <c r="O354" s="273"/>
      <c r="P354" s="275"/>
      <c r="Q354" s="273" t="str">
        <f>IFERROR(__xludf.DUMMYFUNCTION("""COMPUTED_VALUE"""),"055 108 Pound Phoenix - Roronoa Zoro")</f>
        <v>055 108 Pound Phoenix - Roronoa Zoro</v>
      </c>
      <c r="R354" s="273"/>
      <c r="S354" s="273"/>
      <c r="T354" s="273"/>
      <c r="U354" s="273"/>
      <c r="V354" s="273"/>
      <c r="W354" s="273"/>
      <c r="X354" s="273"/>
      <c r="Y354" s="273"/>
      <c r="Z354" s="273"/>
      <c r="AA354" s="273"/>
      <c r="AB354" s="273"/>
      <c r="AC354" s="273"/>
    </row>
    <row r="355" ht="75.0" customHeight="1">
      <c r="A355" s="272" t="s">
        <v>3199</v>
      </c>
      <c r="B355" s="273"/>
      <c r="C355" s="274" t="s">
        <v>3200</v>
      </c>
      <c r="D355" s="274" t="s">
        <v>3200</v>
      </c>
      <c r="E355" s="273"/>
      <c r="F355" s="275"/>
      <c r="G355" s="273" t="s">
        <v>3201</v>
      </c>
      <c r="H355" s="273" t="str">
        <f t="shared" si="1"/>
        <v>Land of Wano ~ Zorojuro</v>
      </c>
      <c r="I355" s="275"/>
      <c r="J355" s="274" t="s">
        <v>3202</v>
      </c>
      <c r="K355" s="273"/>
      <c r="L355" s="273"/>
      <c r="M355" s="273"/>
      <c r="N355" s="273"/>
      <c r="O355" s="273"/>
      <c r="P355" s="275"/>
      <c r="Q355" s="273" t="str">
        <f>IFERROR(__xludf.DUMMYFUNCTION("""COMPUTED_VALUE"""),"084 Land of Wano - Zorojuro")</f>
        <v>084 Land of Wano - Zorojuro</v>
      </c>
      <c r="R355" s="273"/>
      <c r="S355" s="273"/>
      <c r="T355" s="273"/>
      <c r="U355" s="273"/>
      <c r="V355" s="273"/>
      <c r="W355" s="273"/>
      <c r="X355" s="273"/>
      <c r="Y355" s="273"/>
      <c r="Z355" s="273"/>
      <c r="AA355" s="273"/>
      <c r="AB355" s="273"/>
      <c r="AC355" s="273"/>
    </row>
    <row r="356" ht="75.0" customHeight="1">
      <c r="B356" s="276"/>
      <c r="E356" s="273"/>
      <c r="F356" s="275"/>
      <c r="G356" s="273"/>
      <c r="H356" s="273"/>
      <c r="I356" s="275"/>
      <c r="J356" s="273"/>
      <c r="K356" s="273"/>
      <c r="L356" s="273"/>
      <c r="M356" s="273"/>
      <c r="N356" s="273"/>
      <c r="O356" s="273"/>
      <c r="P356" s="275"/>
      <c r="Q356" s="273"/>
      <c r="R356" s="273"/>
      <c r="S356" s="273"/>
      <c r="T356" s="273"/>
      <c r="U356" s="273"/>
      <c r="V356" s="273"/>
      <c r="W356" s="273"/>
      <c r="X356" s="273"/>
      <c r="Y356" s="273"/>
      <c r="Z356" s="273"/>
      <c r="AA356" s="273"/>
      <c r="AB356" s="273"/>
      <c r="AC356" s="273"/>
    </row>
    <row r="357" ht="75.0" customHeight="1">
      <c r="B357" s="276"/>
      <c r="E357" s="273"/>
      <c r="F357" s="275"/>
      <c r="G357" s="273"/>
      <c r="H357" s="273"/>
      <c r="I357" s="275"/>
      <c r="J357" s="273"/>
      <c r="K357" s="273"/>
      <c r="L357" s="273"/>
      <c r="M357" s="273"/>
      <c r="N357" s="273"/>
      <c r="O357" s="273"/>
      <c r="P357" s="275"/>
      <c r="Q357" s="273"/>
      <c r="R357" s="273"/>
      <c r="S357" s="273"/>
      <c r="T357" s="273"/>
      <c r="U357" s="273"/>
      <c r="V357" s="273"/>
      <c r="W357" s="273"/>
      <c r="X357" s="273"/>
      <c r="Y357" s="273"/>
      <c r="Z357" s="273"/>
      <c r="AA357" s="273"/>
      <c r="AB357" s="273"/>
      <c r="AC357" s="273"/>
    </row>
    <row r="358" ht="75.0" customHeight="1">
      <c r="B358" s="276"/>
      <c r="E358" s="273"/>
      <c r="F358" s="275"/>
      <c r="G358" s="273"/>
      <c r="H358" s="273"/>
      <c r="I358" s="275"/>
      <c r="J358" s="273"/>
      <c r="K358" s="273"/>
      <c r="L358" s="273"/>
      <c r="M358" s="273"/>
      <c r="N358" s="273"/>
      <c r="O358" s="273"/>
      <c r="P358" s="275"/>
      <c r="Q358" s="273"/>
      <c r="R358" s="273"/>
      <c r="S358" s="273"/>
      <c r="T358" s="273"/>
      <c r="U358" s="273"/>
      <c r="V358" s="273"/>
      <c r="W358" s="273"/>
      <c r="X358" s="273"/>
      <c r="Y358" s="273"/>
      <c r="Z358" s="273"/>
      <c r="AA358" s="273"/>
      <c r="AB358" s="273"/>
      <c r="AC358" s="273"/>
    </row>
    <row r="359" ht="75.0" customHeight="1">
      <c r="B359" s="276"/>
      <c r="E359" s="273"/>
      <c r="F359" s="275"/>
      <c r="G359" s="273"/>
      <c r="H359" s="273"/>
      <c r="I359" s="275"/>
      <c r="J359" s="273"/>
      <c r="K359" s="273"/>
      <c r="L359" s="273"/>
      <c r="M359" s="273"/>
      <c r="N359" s="273"/>
      <c r="O359" s="273"/>
      <c r="P359" s="275"/>
      <c r="Q359" s="273"/>
      <c r="R359" s="273"/>
      <c r="S359" s="273"/>
      <c r="T359" s="273"/>
      <c r="U359" s="273"/>
      <c r="V359" s="273"/>
      <c r="W359" s="273"/>
      <c r="X359" s="273"/>
      <c r="Y359" s="273"/>
      <c r="Z359" s="273"/>
      <c r="AA359" s="273"/>
      <c r="AB359" s="273"/>
      <c r="AC359" s="273"/>
    </row>
    <row r="360" ht="75.0" customHeight="1">
      <c r="B360" s="276"/>
      <c r="E360" s="273"/>
      <c r="F360" s="275"/>
      <c r="G360" s="273"/>
      <c r="H360" s="273"/>
      <c r="I360" s="275"/>
      <c r="J360" s="273"/>
      <c r="K360" s="273"/>
      <c r="L360" s="273"/>
      <c r="M360" s="273"/>
      <c r="N360" s="273"/>
      <c r="O360" s="273"/>
      <c r="P360" s="275"/>
      <c r="Q360" s="273"/>
      <c r="R360" s="273"/>
      <c r="S360" s="273"/>
      <c r="T360" s="273"/>
      <c r="U360" s="273"/>
      <c r="V360" s="273"/>
      <c r="W360" s="273"/>
      <c r="X360" s="273"/>
      <c r="Y360" s="273"/>
      <c r="Z360" s="273"/>
      <c r="AA360" s="273"/>
      <c r="AB360" s="273"/>
      <c r="AC360" s="273"/>
    </row>
    <row r="361" ht="75.0" customHeight="1">
      <c r="A361" s="274"/>
      <c r="B361" s="273"/>
      <c r="C361" s="274"/>
      <c r="D361" s="274"/>
      <c r="E361" s="273"/>
      <c r="F361" s="275"/>
      <c r="G361" s="273"/>
      <c r="H361" s="273"/>
      <c r="I361" s="275"/>
      <c r="J361" s="273"/>
      <c r="K361" s="273"/>
      <c r="L361" s="273"/>
      <c r="M361" s="273"/>
      <c r="N361" s="273"/>
      <c r="O361" s="273"/>
      <c r="P361" s="275"/>
      <c r="Q361" s="273"/>
      <c r="R361" s="273"/>
      <c r="S361" s="273"/>
      <c r="T361" s="273"/>
      <c r="U361" s="273"/>
      <c r="V361" s="273"/>
      <c r="W361" s="273"/>
      <c r="X361" s="273"/>
      <c r="Y361" s="273"/>
      <c r="Z361" s="273"/>
      <c r="AA361" s="273"/>
      <c r="AB361" s="273"/>
      <c r="AC361" s="273"/>
    </row>
    <row r="362" ht="75.0" customHeight="1">
      <c r="E362" s="273"/>
      <c r="F362" s="275"/>
      <c r="G362" s="273"/>
      <c r="H362" s="273"/>
      <c r="I362" s="275"/>
      <c r="J362" s="273"/>
      <c r="K362" s="273"/>
      <c r="L362" s="273"/>
      <c r="M362" s="273"/>
      <c r="N362" s="273"/>
      <c r="O362" s="273"/>
      <c r="P362" s="275"/>
      <c r="Q362" s="273"/>
      <c r="R362" s="273"/>
      <c r="S362" s="273"/>
      <c r="T362" s="273"/>
      <c r="U362" s="273"/>
      <c r="V362" s="273"/>
      <c r="W362" s="273"/>
      <c r="X362" s="273"/>
      <c r="Y362" s="273"/>
      <c r="Z362" s="273"/>
      <c r="AA362" s="273"/>
      <c r="AB362" s="273"/>
      <c r="AC362" s="273"/>
    </row>
    <row r="363" ht="75.0" customHeight="1">
      <c r="E363" s="273"/>
      <c r="F363" s="275"/>
      <c r="G363" s="273"/>
      <c r="H363" s="273"/>
      <c r="I363" s="275"/>
      <c r="J363" s="273"/>
      <c r="K363" s="273"/>
      <c r="L363" s="273"/>
      <c r="M363" s="273"/>
      <c r="N363" s="273"/>
      <c r="O363" s="273"/>
      <c r="P363" s="275"/>
      <c r="Q363" s="273"/>
      <c r="R363" s="273"/>
      <c r="S363" s="273"/>
      <c r="T363" s="273"/>
      <c r="U363" s="273"/>
      <c r="V363" s="273"/>
      <c r="W363" s="273"/>
      <c r="X363" s="273"/>
      <c r="Y363" s="273"/>
      <c r="Z363" s="273"/>
      <c r="AA363" s="273"/>
      <c r="AB363" s="273"/>
      <c r="AC363" s="273"/>
    </row>
    <row r="364" ht="75.0" customHeight="1">
      <c r="E364" s="273"/>
      <c r="F364" s="275"/>
      <c r="G364" s="273"/>
      <c r="H364" s="273"/>
      <c r="I364" s="275"/>
      <c r="J364" s="273"/>
      <c r="K364" s="273"/>
      <c r="L364" s="273"/>
      <c r="M364" s="273"/>
      <c r="N364" s="273"/>
      <c r="O364" s="273"/>
      <c r="P364" s="275"/>
      <c r="Q364" s="273"/>
      <c r="R364" s="273"/>
      <c r="S364" s="273"/>
      <c r="T364" s="273"/>
      <c r="U364" s="273"/>
      <c r="V364" s="273"/>
      <c r="W364" s="273"/>
      <c r="X364" s="273"/>
      <c r="Y364" s="273"/>
      <c r="Z364" s="273"/>
      <c r="AA364" s="273"/>
      <c r="AB364" s="273"/>
      <c r="AC364" s="273"/>
    </row>
    <row r="365" ht="75.0" customHeight="1">
      <c r="E365" s="273"/>
      <c r="F365" s="275"/>
      <c r="G365" s="273"/>
      <c r="H365" s="273"/>
      <c r="I365" s="275"/>
      <c r="J365" s="273"/>
      <c r="K365" s="273"/>
      <c r="L365" s="273"/>
      <c r="M365" s="273"/>
      <c r="N365" s="273"/>
      <c r="O365" s="273"/>
      <c r="P365" s="275"/>
      <c r="Q365" s="273"/>
      <c r="R365" s="273"/>
      <c r="S365" s="273"/>
      <c r="T365" s="273"/>
      <c r="U365" s="273"/>
      <c r="V365" s="273"/>
      <c r="W365" s="273"/>
      <c r="X365" s="273"/>
      <c r="Y365" s="273"/>
      <c r="Z365" s="273"/>
      <c r="AA365" s="273"/>
      <c r="AB365" s="273"/>
      <c r="AC365" s="273"/>
    </row>
    <row r="366" ht="75.0" customHeight="1">
      <c r="E366" s="273"/>
      <c r="F366" s="275"/>
      <c r="G366" s="273"/>
      <c r="H366" s="273"/>
      <c r="I366" s="275"/>
      <c r="J366" s="273"/>
      <c r="K366" s="273"/>
      <c r="L366" s="273"/>
      <c r="M366" s="273"/>
      <c r="N366" s="273"/>
      <c r="O366" s="273"/>
      <c r="P366" s="275"/>
      <c r="Q366" s="273"/>
      <c r="R366" s="273"/>
      <c r="S366" s="273"/>
      <c r="T366" s="273"/>
      <c r="U366" s="273"/>
      <c r="V366" s="273"/>
      <c r="W366" s="273"/>
      <c r="X366" s="273"/>
      <c r="Y366" s="273"/>
      <c r="Z366" s="273"/>
      <c r="AA366" s="273"/>
      <c r="AB366" s="273"/>
      <c r="AC366" s="273"/>
    </row>
    <row r="367" ht="75.0" customHeight="1">
      <c r="E367" s="273"/>
      <c r="F367" s="275"/>
      <c r="G367" s="273"/>
      <c r="H367" s="273"/>
      <c r="I367" s="275"/>
      <c r="J367" s="273"/>
      <c r="K367" s="273"/>
      <c r="L367" s="273"/>
      <c r="M367" s="273"/>
      <c r="N367" s="273"/>
      <c r="O367" s="273"/>
      <c r="P367" s="275"/>
      <c r="Q367" s="273"/>
      <c r="R367" s="273"/>
      <c r="S367" s="273"/>
      <c r="T367" s="273"/>
      <c r="U367" s="273"/>
      <c r="V367" s="273"/>
      <c r="W367" s="273"/>
      <c r="X367" s="273"/>
      <c r="Y367" s="273"/>
      <c r="Z367" s="273"/>
      <c r="AA367" s="273"/>
      <c r="AB367" s="273"/>
      <c r="AC367" s="273"/>
    </row>
    <row r="368" ht="75.0" customHeight="1">
      <c r="E368" s="273"/>
      <c r="F368" s="275"/>
      <c r="G368" s="273"/>
      <c r="H368" s="273"/>
      <c r="I368" s="275"/>
      <c r="J368" s="273"/>
      <c r="K368" s="273"/>
      <c r="L368" s="273"/>
      <c r="M368" s="273"/>
      <c r="N368" s="273"/>
      <c r="O368" s="273"/>
      <c r="P368" s="275"/>
      <c r="Q368" s="273"/>
      <c r="R368" s="273"/>
      <c r="S368" s="273"/>
      <c r="T368" s="273"/>
      <c r="U368" s="273"/>
      <c r="V368" s="273"/>
      <c r="W368" s="273"/>
      <c r="X368" s="273"/>
      <c r="Y368" s="273"/>
      <c r="Z368" s="273"/>
      <c r="AA368" s="273"/>
      <c r="AB368" s="273"/>
      <c r="AC368" s="273"/>
    </row>
    <row r="369" ht="75.0" customHeight="1">
      <c r="E369" s="273"/>
      <c r="F369" s="275"/>
      <c r="G369" s="273"/>
      <c r="H369" s="273"/>
      <c r="I369" s="275"/>
      <c r="J369" s="273"/>
      <c r="K369" s="273"/>
      <c r="L369" s="273"/>
      <c r="M369" s="273"/>
      <c r="N369" s="273"/>
      <c r="O369" s="273"/>
      <c r="P369" s="275"/>
      <c r="Q369" s="273"/>
      <c r="R369" s="273"/>
      <c r="S369" s="273"/>
      <c r="T369" s="273"/>
      <c r="U369" s="273"/>
      <c r="V369" s="273"/>
      <c r="W369" s="273"/>
      <c r="X369" s="273"/>
      <c r="Y369" s="273"/>
      <c r="Z369" s="273"/>
      <c r="AA369" s="273"/>
      <c r="AB369" s="273"/>
      <c r="AC369" s="273"/>
    </row>
    <row r="370" ht="75.0" customHeight="1">
      <c r="E370" s="273"/>
      <c r="F370" s="275"/>
      <c r="G370" s="273"/>
      <c r="H370" s="273"/>
      <c r="I370" s="275"/>
      <c r="J370" s="273"/>
      <c r="K370" s="273"/>
      <c r="L370" s="273"/>
      <c r="M370" s="273"/>
      <c r="N370" s="273"/>
      <c r="O370" s="273"/>
      <c r="P370" s="275"/>
      <c r="Q370" s="273"/>
      <c r="R370" s="273"/>
      <c r="S370" s="273"/>
      <c r="T370" s="273"/>
      <c r="U370" s="273"/>
      <c r="V370" s="273"/>
      <c r="W370" s="273"/>
      <c r="X370" s="273"/>
      <c r="Y370" s="273"/>
      <c r="Z370" s="273"/>
      <c r="AA370" s="273"/>
      <c r="AB370" s="273"/>
      <c r="AC370" s="273"/>
    </row>
    <row r="371" ht="75.0" customHeight="1">
      <c r="A371" s="273"/>
      <c r="B371" s="273"/>
      <c r="C371" s="274"/>
      <c r="D371" s="273"/>
      <c r="E371" s="273"/>
      <c r="F371" s="275"/>
      <c r="G371" s="273"/>
      <c r="H371" s="273"/>
      <c r="I371" s="275"/>
      <c r="J371" s="273"/>
      <c r="K371" s="273"/>
      <c r="L371" s="273"/>
      <c r="M371" s="273"/>
      <c r="N371" s="273"/>
      <c r="O371" s="273"/>
      <c r="P371" s="275"/>
      <c r="Q371" s="273"/>
      <c r="R371" s="273"/>
      <c r="S371" s="273"/>
      <c r="T371" s="273"/>
      <c r="U371" s="273"/>
      <c r="V371" s="273"/>
      <c r="W371" s="273"/>
      <c r="X371" s="273"/>
      <c r="Y371" s="273"/>
      <c r="Z371" s="273"/>
      <c r="AA371" s="273"/>
      <c r="AB371" s="273"/>
      <c r="AC371" s="273"/>
    </row>
    <row r="372" ht="75.0" customHeight="1">
      <c r="A372" s="273"/>
      <c r="B372" s="273"/>
      <c r="C372" s="273"/>
      <c r="D372" s="273"/>
      <c r="E372" s="273"/>
      <c r="F372" s="275"/>
      <c r="G372" s="273"/>
      <c r="H372" s="273"/>
      <c r="I372" s="275"/>
      <c r="J372" s="273"/>
      <c r="K372" s="273"/>
      <c r="L372" s="273"/>
      <c r="M372" s="273"/>
      <c r="N372" s="273"/>
      <c r="O372" s="273"/>
      <c r="P372" s="275"/>
      <c r="Q372" s="273"/>
      <c r="R372" s="273"/>
      <c r="S372" s="273"/>
      <c r="T372" s="273"/>
      <c r="U372" s="273"/>
      <c r="V372" s="273"/>
      <c r="W372" s="273"/>
      <c r="X372" s="273"/>
      <c r="Y372" s="273"/>
      <c r="Z372" s="273"/>
      <c r="AA372" s="273"/>
      <c r="AB372" s="273"/>
      <c r="AC372" s="273"/>
    </row>
    <row r="373" ht="75.0" customHeight="1">
      <c r="A373" s="273"/>
      <c r="B373" s="273"/>
      <c r="C373" s="273"/>
      <c r="D373" s="273"/>
      <c r="E373" s="273"/>
      <c r="F373" s="275"/>
      <c r="G373" s="273"/>
      <c r="H373" s="273"/>
      <c r="I373" s="275"/>
      <c r="J373" s="273"/>
      <c r="K373" s="273"/>
      <c r="L373" s="273"/>
      <c r="M373" s="273"/>
      <c r="N373" s="273"/>
      <c r="O373" s="273"/>
      <c r="P373" s="275"/>
      <c r="Q373" s="273"/>
      <c r="R373" s="273"/>
      <c r="S373" s="273"/>
      <c r="T373" s="273"/>
      <c r="U373" s="273"/>
      <c r="V373" s="273"/>
      <c r="W373" s="273"/>
      <c r="X373" s="273"/>
      <c r="Y373" s="273"/>
      <c r="Z373" s="273"/>
      <c r="AA373" s="273"/>
      <c r="AB373" s="273"/>
      <c r="AC373" s="273"/>
    </row>
    <row r="374" ht="75.0" customHeight="1">
      <c r="A374" s="273"/>
      <c r="B374" s="273"/>
      <c r="C374" s="273"/>
      <c r="D374" s="273"/>
      <c r="E374" s="273"/>
      <c r="F374" s="275"/>
      <c r="G374" s="273"/>
      <c r="H374" s="273"/>
      <c r="I374" s="275"/>
      <c r="J374" s="273"/>
      <c r="K374" s="273"/>
      <c r="L374" s="273"/>
      <c r="M374" s="273"/>
      <c r="N374" s="273"/>
      <c r="O374" s="273"/>
      <c r="P374" s="275"/>
      <c r="Q374" s="273"/>
      <c r="R374" s="273"/>
      <c r="S374" s="273"/>
      <c r="T374" s="273"/>
      <c r="U374" s="273"/>
      <c r="V374" s="273"/>
      <c r="W374" s="273"/>
      <c r="X374" s="273"/>
      <c r="Y374" s="273"/>
      <c r="Z374" s="273"/>
      <c r="AA374" s="273"/>
      <c r="AB374" s="273"/>
      <c r="AC374" s="273"/>
    </row>
    <row r="375" ht="75.0" customHeight="1">
      <c r="A375" s="273"/>
      <c r="B375" s="273"/>
      <c r="C375" s="273"/>
      <c r="D375" s="273"/>
      <c r="E375" s="273"/>
      <c r="F375" s="275"/>
      <c r="G375" s="273"/>
      <c r="H375" s="273"/>
      <c r="I375" s="275"/>
      <c r="J375" s="273"/>
      <c r="K375" s="273"/>
      <c r="L375" s="273"/>
      <c r="M375" s="273"/>
      <c r="N375" s="273"/>
      <c r="O375" s="273"/>
      <c r="P375" s="275"/>
      <c r="Q375" s="273"/>
      <c r="R375" s="273"/>
      <c r="S375" s="273"/>
      <c r="T375" s="273"/>
      <c r="U375" s="273"/>
      <c r="V375" s="273"/>
      <c r="W375" s="273"/>
      <c r="X375" s="273"/>
      <c r="Y375" s="273"/>
      <c r="Z375" s="273"/>
      <c r="AA375" s="273"/>
      <c r="AB375" s="273"/>
      <c r="AC375" s="273"/>
    </row>
    <row r="376" ht="75.0" customHeight="1">
      <c r="A376" s="273"/>
      <c r="B376" s="273"/>
      <c r="C376" s="273"/>
      <c r="D376" s="273"/>
      <c r="E376" s="273"/>
      <c r="F376" s="275"/>
      <c r="G376" s="273"/>
      <c r="H376" s="273"/>
      <c r="I376" s="275"/>
      <c r="J376" s="273"/>
      <c r="K376" s="273"/>
      <c r="L376" s="273"/>
      <c r="M376" s="273"/>
      <c r="N376" s="273"/>
      <c r="O376" s="273"/>
      <c r="P376" s="275"/>
      <c r="Q376" s="273"/>
      <c r="R376" s="273"/>
      <c r="S376" s="273"/>
      <c r="T376" s="273"/>
      <c r="U376" s="273"/>
      <c r="V376" s="273"/>
      <c r="W376" s="273"/>
      <c r="X376" s="273"/>
      <c r="Y376" s="273"/>
      <c r="Z376" s="273"/>
      <c r="AA376" s="273"/>
      <c r="AB376" s="273"/>
      <c r="AC376" s="273"/>
    </row>
    <row r="377" ht="75.0" customHeight="1">
      <c r="A377" s="273"/>
      <c r="B377" s="273"/>
      <c r="C377" s="273"/>
      <c r="D377" s="273"/>
      <c r="E377" s="273"/>
      <c r="F377" s="275"/>
      <c r="G377" s="273"/>
      <c r="H377" s="273"/>
      <c r="I377" s="275"/>
      <c r="J377" s="273"/>
      <c r="K377" s="273"/>
      <c r="L377" s="273"/>
      <c r="M377" s="273"/>
      <c r="N377" s="273"/>
      <c r="O377" s="273"/>
      <c r="P377" s="275"/>
      <c r="Q377" s="273"/>
      <c r="R377" s="273"/>
      <c r="S377" s="273"/>
      <c r="T377" s="273"/>
      <c r="U377" s="273"/>
      <c r="V377" s="273"/>
      <c r="W377" s="273"/>
      <c r="X377" s="273"/>
      <c r="Y377" s="273"/>
      <c r="Z377" s="273"/>
      <c r="AA377" s="273"/>
      <c r="AB377" s="273"/>
      <c r="AC377" s="273"/>
    </row>
    <row r="378" ht="75.0" customHeight="1">
      <c r="A378" s="273"/>
      <c r="B378" s="273"/>
      <c r="C378" s="273"/>
      <c r="D378" s="273"/>
      <c r="E378" s="273"/>
      <c r="F378" s="275"/>
      <c r="G378" s="273"/>
      <c r="H378" s="273"/>
      <c r="I378" s="275"/>
      <c r="J378" s="273"/>
      <c r="K378" s="273"/>
      <c r="L378" s="273"/>
      <c r="M378" s="273"/>
      <c r="N378" s="273"/>
      <c r="O378" s="273"/>
      <c r="P378" s="275"/>
      <c r="Q378" s="273"/>
      <c r="R378" s="273"/>
      <c r="S378" s="273"/>
      <c r="T378" s="273"/>
      <c r="U378" s="273"/>
      <c r="V378" s="273"/>
      <c r="W378" s="273"/>
      <c r="X378" s="273"/>
      <c r="Y378" s="273"/>
      <c r="Z378" s="273"/>
      <c r="AA378" s="273"/>
      <c r="AB378" s="273"/>
      <c r="AC378" s="273"/>
    </row>
    <row r="379" ht="75.0" customHeight="1">
      <c r="A379" s="273"/>
      <c r="B379" s="273"/>
      <c r="C379" s="273"/>
      <c r="D379" s="273"/>
      <c r="E379" s="273"/>
      <c r="F379" s="275"/>
      <c r="G379" s="273"/>
      <c r="H379" s="273"/>
      <c r="I379" s="275"/>
      <c r="J379" s="273"/>
      <c r="K379" s="273"/>
      <c r="L379" s="273"/>
      <c r="M379" s="273"/>
      <c r="N379" s="273"/>
      <c r="O379" s="273"/>
      <c r="P379" s="275"/>
      <c r="Q379" s="273"/>
      <c r="R379" s="273"/>
      <c r="S379" s="273"/>
      <c r="T379" s="273"/>
      <c r="U379" s="273"/>
      <c r="V379" s="273"/>
      <c r="W379" s="273"/>
      <c r="X379" s="273"/>
      <c r="Y379" s="273"/>
      <c r="Z379" s="273"/>
      <c r="AA379" s="273"/>
      <c r="AB379" s="273"/>
      <c r="AC379" s="273"/>
    </row>
    <row r="380" ht="75.0" customHeight="1">
      <c r="A380" s="273"/>
      <c r="B380" s="273"/>
      <c r="C380" s="273"/>
      <c r="D380" s="273"/>
      <c r="E380" s="273"/>
      <c r="F380" s="275"/>
      <c r="G380" s="273"/>
      <c r="H380" s="273"/>
      <c r="I380" s="275"/>
      <c r="J380" s="273"/>
      <c r="K380" s="273"/>
      <c r="L380" s="273"/>
      <c r="M380" s="273"/>
      <c r="N380" s="273"/>
      <c r="O380" s="273"/>
      <c r="P380" s="275"/>
      <c r="Q380" s="273"/>
      <c r="R380" s="273"/>
      <c r="S380" s="273"/>
      <c r="T380" s="273"/>
      <c r="U380" s="273"/>
      <c r="V380" s="273"/>
      <c r="W380" s="273"/>
      <c r="X380" s="273"/>
      <c r="Y380" s="273"/>
      <c r="Z380" s="273"/>
      <c r="AA380" s="273"/>
      <c r="AB380" s="273"/>
      <c r="AC380" s="273"/>
    </row>
    <row r="381" ht="75.0" customHeight="1">
      <c r="A381" s="273"/>
      <c r="B381" s="273"/>
      <c r="C381" s="273"/>
      <c r="D381" s="273"/>
      <c r="E381" s="273"/>
      <c r="F381" s="275"/>
      <c r="G381" s="273"/>
      <c r="H381" s="273"/>
      <c r="I381" s="275"/>
      <c r="J381" s="273"/>
      <c r="K381" s="273"/>
      <c r="L381" s="273"/>
      <c r="M381" s="273"/>
      <c r="N381" s="273"/>
      <c r="O381" s="273"/>
      <c r="P381" s="275"/>
      <c r="Q381" s="273"/>
      <c r="R381" s="273"/>
      <c r="S381" s="273"/>
      <c r="T381" s="273"/>
      <c r="U381" s="273"/>
      <c r="V381" s="273"/>
      <c r="W381" s="273"/>
      <c r="X381" s="273"/>
      <c r="Y381" s="273"/>
      <c r="Z381" s="273"/>
      <c r="AA381" s="273"/>
      <c r="AB381" s="273"/>
      <c r="AC381" s="273"/>
    </row>
    <row r="382" ht="75.0" customHeight="1">
      <c r="A382" s="273"/>
      <c r="B382" s="273"/>
      <c r="C382" s="273"/>
      <c r="D382" s="273"/>
      <c r="E382" s="273"/>
      <c r="F382" s="275"/>
      <c r="G382" s="273"/>
      <c r="H382" s="273"/>
      <c r="I382" s="275"/>
      <c r="J382" s="273"/>
      <c r="K382" s="273"/>
      <c r="L382" s="273"/>
      <c r="M382" s="273"/>
      <c r="N382" s="273"/>
      <c r="O382" s="273"/>
      <c r="P382" s="275"/>
      <c r="Q382" s="273"/>
      <c r="R382" s="273"/>
      <c r="S382" s="273"/>
      <c r="T382" s="273"/>
      <c r="U382" s="273"/>
      <c r="V382" s="273"/>
      <c r="W382" s="273"/>
      <c r="X382" s="273"/>
      <c r="Y382" s="273"/>
      <c r="Z382" s="273"/>
      <c r="AA382" s="273"/>
      <c r="AB382" s="273"/>
      <c r="AC382" s="273"/>
    </row>
    <row r="383" ht="75.0" customHeight="1">
      <c r="A383" s="273"/>
      <c r="B383" s="273"/>
      <c r="C383" s="273"/>
      <c r="D383" s="273"/>
      <c r="E383" s="273"/>
      <c r="F383" s="275"/>
      <c r="G383" s="273"/>
      <c r="H383" s="273"/>
      <c r="I383" s="275"/>
      <c r="J383" s="273"/>
      <c r="K383" s="273"/>
      <c r="L383" s="273"/>
      <c r="M383" s="273"/>
      <c r="N383" s="273"/>
      <c r="O383" s="273"/>
      <c r="P383" s="275"/>
      <c r="Q383" s="273"/>
      <c r="R383" s="273"/>
      <c r="S383" s="273"/>
      <c r="T383" s="273"/>
      <c r="U383" s="273"/>
      <c r="V383" s="273"/>
      <c r="W383" s="273"/>
      <c r="X383" s="273"/>
      <c r="Y383" s="273"/>
      <c r="Z383" s="273"/>
      <c r="AA383" s="273"/>
      <c r="AB383" s="273"/>
      <c r="AC383" s="273"/>
    </row>
    <row r="384" ht="75.0" customHeight="1">
      <c r="A384" s="273"/>
      <c r="B384" s="273"/>
      <c r="C384" s="273"/>
      <c r="D384" s="273"/>
      <c r="E384" s="273"/>
      <c r="F384" s="275"/>
      <c r="G384" s="273"/>
      <c r="H384" s="273"/>
      <c r="I384" s="275"/>
      <c r="J384" s="273"/>
      <c r="K384" s="273"/>
      <c r="L384" s="273"/>
      <c r="M384" s="273"/>
      <c r="N384" s="273"/>
      <c r="O384" s="273"/>
      <c r="P384" s="275"/>
      <c r="Q384" s="273"/>
      <c r="R384" s="273"/>
      <c r="S384" s="273"/>
      <c r="T384" s="273"/>
      <c r="U384" s="273"/>
      <c r="V384" s="273"/>
      <c r="W384" s="273"/>
      <c r="X384" s="273"/>
      <c r="Y384" s="273"/>
      <c r="Z384" s="273"/>
      <c r="AA384" s="273"/>
      <c r="AB384" s="273"/>
      <c r="AC384" s="273"/>
    </row>
    <row r="385" ht="75.0" customHeight="1">
      <c r="A385" s="273"/>
      <c r="B385" s="273"/>
      <c r="C385" s="273"/>
      <c r="D385" s="273"/>
      <c r="E385" s="273"/>
      <c r="F385" s="275"/>
      <c r="G385" s="273"/>
      <c r="H385" s="273"/>
      <c r="I385" s="275"/>
      <c r="J385" s="273"/>
      <c r="K385" s="273"/>
      <c r="L385" s="273"/>
      <c r="M385" s="273"/>
      <c r="N385" s="273"/>
      <c r="O385" s="273"/>
      <c r="P385" s="275"/>
      <c r="Q385" s="273"/>
      <c r="R385" s="273"/>
      <c r="S385" s="273"/>
      <c r="T385" s="273"/>
      <c r="U385" s="273"/>
      <c r="V385" s="273"/>
      <c r="W385" s="273"/>
      <c r="X385" s="273"/>
      <c r="Y385" s="273"/>
      <c r="Z385" s="273"/>
      <c r="AA385" s="273"/>
      <c r="AB385" s="273"/>
      <c r="AC385" s="273"/>
    </row>
    <row r="386" ht="75.0" customHeight="1">
      <c r="A386" s="273"/>
      <c r="B386" s="273"/>
      <c r="C386" s="273"/>
      <c r="D386" s="273"/>
      <c r="E386" s="273"/>
      <c r="F386" s="275"/>
      <c r="G386" s="273"/>
      <c r="H386" s="273"/>
      <c r="I386" s="275"/>
      <c r="J386" s="273"/>
      <c r="K386" s="273"/>
      <c r="L386" s="273"/>
      <c r="M386" s="273"/>
      <c r="N386" s="273"/>
      <c r="O386" s="273"/>
      <c r="P386" s="275"/>
      <c r="Q386" s="273"/>
      <c r="R386" s="273"/>
      <c r="S386" s="273"/>
      <c r="T386" s="273"/>
      <c r="U386" s="273"/>
      <c r="V386" s="273"/>
      <c r="W386" s="273"/>
      <c r="X386" s="273"/>
      <c r="Y386" s="273"/>
      <c r="Z386" s="273"/>
      <c r="AA386" s="273"/>
      <c r="AB386" s="273"/>
      <c r="AC386" s="273"/>
    </row>
    <row r="387" ht="75.0" customHeight="1">
      <c r="A387" s="273"/>
      <c r="B387" s="273"/>
      <c r="C387" s="273"/>
      <c r="D387" s="273"/>
      <c r="E387" s="273"/>
      <c r="F387" s="275"/>
      <c r="G387" s="273"/>
      <c r="H387" s="273"/>
      <c r="I387" s="275"/>
      <c r="J387" s="273"/>
      <c r="K387" s="273"/>
      <c r="L387" s="273"/>
      <c r="M387" s="273"/>
      <c r="N387" s="273"/>
      <c r="O387" s="273"/>
      <c r="P387" s="275"/>
      <c r="Q387" s="273"/>
      <c r="R387" s="273"/>
      <c r="S387" s="273"/>
      <c r="T387" s="273"/>
      <c r="U387" s="273"/>
      <c r="V387" s="273"/>
      <c r="W387" s="273"/>
      <c r="X387" s="273"/>
      <c r="Y387" s="273"/>
      <c r="Z387" s="273"/>
      <c r="AA387" s="273"/>
      <c r="AB387" s="273"/>
      <c r="AC387" s="273"/>
    </row>
    <row r="388" ht="75.0" customHeight="1">
      <c r="A388" s="273"/>
      <c r="B388" s="273"/>
      <c r="C388" s="273"/>
      <c r="D388" s="273"/>
      <c r="E388" s="273"/>
      <c r="F388" s="275"/>
      <c r="G388" s="273"/>
      <c r="H388" s="273"/>
      <c r="I388" s="275"/>
      <c r="J388" s="273"/>
      <c r="K388" s="273"/>
      <c r="L388" s="273"/>
      <c r="M388" s="273"/>
      <c r="N388" s="273"/>
      <c r="O388" s="273"/>
      <c r="P388" s="275"/>
      <c r="Q388" s="273"/>
      <c r="R388" s="273"/>
      <c r="S388" s="273"/>
      <c r="T388" s="273"/>
      <c r="U388" s="273"/>
      <c r="V388" s="273"/>
      <c r="W388" s="273"/>
      <c r="X388" s="273"/>
      <c r="Y388" s="273"/>
      <c r="Z388" s="273"/>
      <c r="AA388" s="273"/>
      <c r="AB388" s="273"/>
      <c r="AC388" s="273"/>
    </row>
    <row r="389" ht="75.0" customHeight="1">
      <c r="A389" s="273"/>
      <c r="B389" s="273"/>
      <c r="C389" s="273"/>
      <c r="D389" s="273"/>
      <c r="E389" s="273"/>
      <c r="F389" s="275"/>
      <c r="G389" s="273"/>
      <c r="H389" s="273"/>
      <c r="I389" s="275"/>
      <c r="J389" s="273"/>
      <c r="K389" s="273"/>
      <c r="L389" s="273"/>
      <c r="M389" s="273"/>
      <c r="N389" s="273"/>
      <c r="O389" s="273"/>
      <c r="P389" s="275"/>
      <c r="Q389" s="273"/>
      <c r="R389" s="273"/>
      <c r="S389" s="273"/>
      <c r="T389" s="273"/>
      <c r="U389" s="273"/>
      <c r="V389" s="273"/>
      <c r="W389" s="273"/>
      <c r="X389" s="273"/>
      <c r="Y389" s="273"/>
      <c r="Z389" s="273"/>
      <c r="AA389" s="273"/>
      <c r="AB389" s="273"/>
      <c r="AC389" s="273"/>
    </row>
    <row r="390" ht="75.0" customHeight="1">
      <c r="A390" s="273"/>
      <c r="B390" s="273"/>
      <c r="C390" s="273"/>
      <c r="D390" s="273"/>
      <c r="E390" s="273"/>
      <c r="F390" s="275"/>
      <c r="G390" s="273"/>
      <c r="H390" s="273"/>
      <c r="I390" s="275"/>
      <c r="J390" s="273"/>
      <c r="K390" s="273"/>
      <c r="L390" s="273"/>
      <c r="M390" s="273"/>
      <c r="N390" s="273"/>
      <c r="O390" s="273"/>
      <c r="P390" s="275"/>
      <c r="Q390" s="273"/>
      <c r="R390" s="273"/>
      <c r="S390" s="273"/>
      <c r="T390" s="273"/>
      <c r="U390" s="273"/>
      <c r="V390" s="273"/>
      <c r="W390" s="273"/>
      <c r="X390" s="273"/>
      <c r="Y390" s="273"/>
      <c r="Z390" s="273"/>
      <c r="AA390" s="273"/>
      <c r="AB390" s="273"/>
      <c r="AC390" s="273"/>
    </row>
    <row r="391" ht="75.0" customHeight="1">
      <c r="A391" s="273"/>
      <c r="B391" s="273"/>
      <c r="C391" s="273"/>
      <c r="D391" s="273"/>
      <c r="E391" s="273"/>
      <c r="F391" s="275"/>
      <c r="G391" s="273"/>
      <c r="H391" s="273"/>
      <c r="I391" s="275"/>
      <c r="J391" s="273"/>
      <c r="K391" s="273"/>
      <c r="L391" s="273"/>
      <c r="M391" s="273"/>
      <c r="N391" s="273"/>
      <c r="O391" s="273"/>
      <c r="P391" s="275"/>
      <c r="Q391" s="273"/>
      <c r="R391" s="273"/>
      <c r="S391" s="273"/>
      <c r="T391" s="273"/>
      <c r="U391" s="273"/>
      <c r="V391" s="273"/>
      <c r="W391" s="273"/>
      <c r="X391" s="273"/>
      <c r="Y391" s="273"/>
      <c r="Z391" s="273"/>
      <c r="AA391" s="273"/>
      <c r="AB391" s="273"/>
      <c r="AC391" s="273"/>
    </row>
    <row r="392" ht="75.0" customHeight="1">
      <c r="A392" s="273"/>
      <c r="B392" s="273"/>
      <c r="C392" s="273"/>
      <c r="D392" s="273"/>
      <c r="E392" s="273"/>
      <c r="F392" s="275"/>
      <c r="G392" s="273"/>
      <c r="H392" s="273"/>
      <c r="I392" s="275"/>
      <c r="J392" s="273"/>
      <c r="K392" s="273"/>
      <c r="L392" s="273"/>
      <c r="M392" s="273"/>
      <c r="N392" s="273"/>
      <c r="O392" s="273"/>
      <c r="P392" s="275"/>
      <c r="Q392" s="273"/>
      <c r="R392" s="273"/>
      <c r="S392" s="273"/>
      <c r="T392" s="273"/>
      <c r="U392" s="273"/>
      <c r="V392" s="273"/>
      <c r="W392" s="273"/>
      <c r="X392" s="273"/>
      <c r="Y392" s="273"/>
      <c r="Z392" s="273"/>
      <c r="AA392" s="273"/>
      <c r="AB392" s="273"/>
      <c r="AC392" s="273"/>
    </row>
    <row r="393" ht="75.0" customHeight="1">
      <c r="A393" s="273"/>
      <c r="B393" s="273"/>
      <c r="C393" s="273"/>
      <c r="D393" s="273"/>
      <c r="E393" s="273"/>
      <c r="F393" s="275"/>
      <c r="G393" s="273"/>
      <c r="H393" s="273"/>
      <c r="I393" s="275"/>
      <c r="J393" s="273"/>
      <c r="K393" s="273"/>
      <c r="L393" s="273"/>
      <c r="M393" s="273"/>
      <c r="N393" s="273"/>
      <c r="O393" s="273"/>
      <c r="P393" s="275"/>
      <c r="Q393" s="273"/>
      <c r="R393" s="273"/>
      <c r="S393" s="273"/>
      <c r="T393" s="273"/>
      <c r="U393" s="273"/>
      <c r="V393" s="273"/>
      <c r="W393" s="273"/>
      <c r="X393" s="273"/>
      <c r="Y393" s="273"/>
      <c r="Z393" s="273"/>
      <c r="AA393" s="273"/>
      <c r="AB393" s="273"/>
      <c r="AC393" s="273"/>
    </row>
    <row r="394" ht="75.0" customHeight="1">
      <c r="A394" s="273"/>
      <c r="B394" s="273"/>
      <c r="C394" s="273"/>
      <c r="D394" s="273"/>
      <c r="E394" s="273"/>
      <c r="F394" s="275"/>
      <c r="G394" s="273"/>
      <c r="H394" s="273"/>
      <c r="I394" s="275"/>
      <c r="J394" s="273"/>
      <c r="K394" s="273"/>
      <c r="L394" s="273"/>
      <c r="M394" s="273"/>
      <c r="N394" s="273"/>
      <c r="O394" s="273"/>
      <c r="P394" s="275"/>
      <c r="Q394" s="273"/>
      <c r="R394" s="273"/>
      <c r="S394" s="273"/>
      <c r="T394" s="273"/>
      <c r="U394" s="273"/>
      <c r="V394" s="273"/>
      <c r="W394" s="273"/>
      <c r="X394" s="273"/>
      <c r="Y394" s="273"/>
      <c r="Z394" s="273"/>
      <c r="AA394" s="273"/>
      <c r="AB394" s="273"/>
      <c r="AC394" s="273"/>
    </row>
    <row r="395" ht="75.0" customHeight="1">
      <c r="A395" s="273"/>
      <c r="B395" s="273"/>
      <c r="C395" s="273"/>
      <c r="D395" s="273"/>
      <c r="E395" s="273"/>
      <c r="F395" s="275"/>
      <c r="G395" s="273"/>
      <c r="H395" s="273"/>
      <c r="I395" s="275"/>
      <c r="J395" s="273"/>
      <c r="K395" s="273"/>
      <c r="L395" s="273"/>
      <c r="M395" s="273"/>
      <c r="N395" s="273"/>
      <c r="O395" s="273"/>
      <c r="P395" s="275"/>
      <c r="Q395" s="273"/>
      <c r="R395" s="273"/>
      <c r="S395" s="273"/>
      <c r="T395" s="273"/>
      <c r="U395" s="273"/>
      <c r="V395" s="273"/>
      <c r="W395" s="273"/>
      <c r="X395" s="273"/>
      <c r="Y395" s="273"/>
      <c r="Z395" s="273"/>
      <c r="AA395" s="273"/>
      <c r="AB395" s="273"/>
      <c r="AC395" s="273"/>
    </row>
    <row r="396" ht="75.0" customHeight="1">
      <c r="A396" s="273"/>
      <c r="B396" s="273"/>
      <c r="C396" s="273"/>
      <c r="D396" s="273"/>
      <c r="E396" s="273"/>
      <c r="F396" s="275"/>
      <c r="G396" s="273"/>
      <c r="H396" s="273"/>
      <c r="I396" s="275"/>
      <c r="J396" s="273"/>
      <c r="K396" s="273"/>
      <c r="L396" s="273"/>
      <c r="M396" s="273"/>
      <c r="N396" s="273"/>
      <c r="O396" s="273"/>
      <c r="P396" s="275"/>
      <c r="Q396" s="273"/>
      <c r="R396" s="273"/>
      <c r="S396" s="273"/>
      <c r="T396" s="273"/>
      <c r="U396" s="273"/>
      <c r="V396" s="273"/>
      <c r="W396" s="273"/>
      <c r="X396" s="273"/>
      <c r="Y396" s="273"/>
      <c r="Z396" s="273"/>
      <c r="AA396" s="273"/>
      <c r="AB396" s="273"/>
      <c r="AC396" s="273"/>
    </row>
    <row r="397" ht="75.0" customHeight="1">
      <c r="A397" s="273"/>
      <c r="B397" s="273"/>
      <c r="C397" s="273"/>
      <c r="D397" s="273"/>
      <c r="E397" s="273"/>
      <c r="F397" s="275"/>
      <c r="G397" s="273"/>
      <c r="H397" s="273"/>
      <c r="I397" s="275"/>
      <c r="J397" s="273"/>
      <c r="K397" s="273"/>
      <c r="L397" s="273"/>
      <c r="M397" s="273"/>
      <c r="N397" s="273"/>
      <c r="O397" s="273"/>
      <c r="P397" s="275"/>
      <c r="Q397" s="273"/>
      <c r="R397" s="273"/>
      <c r="S397" s="273"/>
      <c r="T397" s="273"/>
      <c r="U397" s="273"/>
      <c r="V397" s="273"/>
      <c r="W397" s="273"/>
      <c r="X397" s="273"/>
      <c r="Y397" s="273"/>
      <c r="Z397" s="273"/>
      <c r="AA397" s="273"/>
      <c r="AB397" s="273"/>
      <c r="AC397" s="273"/>
    </row>
    <row r="398" ht="75.0" customHeight="1">
      <c r="A398" s="273"/>
      <c r="B398" s="273"/>
      <c r="C398" s="273"/>
      <c r="D398" s="273"/>
      <c r="E398" s="273"/>
      <c r="F398" s="275"/>
      <c r="G398" s="273"/>
      <c r="H398" s="273"/>
      <c r="I398" s="275"/>
      <c r="J398" s="273"/>
      <c r="K398" s="273"/>
      <c r="L398" s="273"/>
      <c r="M398" s="273"/>
      <c r="N398" s="273"/>
      <c r="O398" s="273"/>
      <c r="P398" s="275"/>
      <c r="Q398" s="273"/>
      <c r="R398" s="273"/>
      <c r="S398" s="273"/>
      <c r="T398" s="273"/>
      <c r="U398" s="273"/>
      <c r="V398" s="273"/>
      <c r="W398" s="273"/>
      <c r="X398" s="273"/>
      <c r="Y398" s="273"/>
      <c r="Z398" s="273"/>
      <c r="AA398" s="273"/>
      <c r="AB398" s="273"/>
      <c r="AC398" s="273"/>
    </row>
    <row r="399" ht="75.0" customHeight="1">
      <c r="A399" s="273"/>
      <c r="B399" s="273"/>
      <c r="C399" s="273"/>
      <c r="D399" s="273"/>
      <c r="E399" s="273"/>
      <c r="F399" s="275"/>
      <c r="G399" s="273"/>
      <c r="H399" s="273"/>
      <c r="I399" s="275"/>
      <c r="J399" s="273"/>
      <c r="K399" s="273"/>
      <c r="L399" s="273"/>
      <c r="M399" s="273"/>
      <c r="N399" s="273"/>
      <c r="O399" s="273"/>
      <c r="P399" s="275"/>
      <c r="Q399" s="273"/>
      <c r="R399" s="273"/>
      <c r="S399" s="273"/>
      <c r="T399" s="273"/>
      <c r="U399" s="273"/>
      <c r="V399" s="273"/>
      <c r="W399" s="273"/>
      <c r="X399" s="273"/>
      <c r="Y399" s="273"/>
      <c r="Z399" s="273"/>
      <c r="AA399" s="273"/>
      <c r="AB399" s="273"/>
      <c r="AC399" s="273"/>
    </row>
    <row r="400" ht="75.0" customHeight="1">
      <c r="A400" s="273"/>
      <c r="B400" s="273"/>
      <c r="C400" s="273"/>
      <c r="D400" s="273"/>
      <c r="E400" s="273"/>
      <c r="F400" s="275"/>
      <c r="G400" s="273"/>
      <c r="H400" s="273"/>
      <c r="I400" s="275"/>
      <c r="J400" s="273"/>
      <c r="K400" s="273"/>
      <c r="L400" s="273"/>
      <c r="M400" s="273"/>
      <c r="N400" s="273"/>
      <c r="O400" s="273"/>
      <c r="P400" s="275"/>
      <c r="Q400" s="273"/>
      <c r="R400" s="273"/>
      <c r="S400" s="273"/>
      <c r="T400" s="273"/>
      <c r="U400" s="273"/>
      <c r="V400" s="273"/>
      <c r="W400" s="273"/>
      <c r="X400" s="273"/>
      <c r="Y400" s="273"/>
      <c r="Z400" s="273"/>
      <c r="AA400" s="273"/>
      <c r="AB400" s="273"/>
      <c r="AC400" s="273"/>
    </row>
    <row r="401" ht="75.0" customHeight="1">
      <c r="A401" s="273"/>
      <c r="B401" s="273"/>
      <c r="C401" s="273"/>
      <c r="D401" s="273"/>
      <c r="E401" s="273"/>
      <c r="F401" s="275"/>
      <c r="G401" s="273"/>
      <c r="H401" s="273"/>
      <c r="I401" s="275"/>
      <c r="J401" s="273"/>
      <c r="K401" s="273"/>
      <c r="L401" s="273"/>
      <c r="M401" s="273"/>
      <c r="N401" s="273"/>
      <c r="O401" s="273"/>
      <c r="P401" s="275"/>
      <c r="Q401" s="273"/>
      <c r="R401" s="273"/>
      <c r="S401" s="273"/>
      <c r="T401" s="273"/>
      <c r="U401" s="273"/>
      <c r="V401" s="273"/>
      <c r="W401" s="273"/>
      <c r="X401" s="273"/>
      <c r="Y401" s="273"/>
      <c r="Z401" s="273"/>
      <c r="AA401" s="273"/>
      <c r="AB401" s="273"/>
      <c r="AC401" s="273"/>
    </row>
    <row r="402" ht="75.0" customHeight="1">
      <c r="A402" s="273"/>
      <c r="B402" s="273"/>
      <c r="C402" s="273"/>
      <c r="D402" s="273"/>
      <c r="E402" s="273"/>
      <c r="F402" s="275"/>
      <c r="G402" s="273"/>
      <c r="H402" s="273"/>
      <c r="I402" s="275"/>
      <c r="J402" s="273"/>
      <c r="K402" s="273"/>
      <c r="L402" s="273"/>
      <c r="M402" s="273"/>
      <c r="N402" s="273"/>
      <c r="O402" s="273"/>
      <c r="P402" s="275"/>
      <c r="Q402" s="273"/>
      <c r="R402" s="273"/>
      <c r="S402" s="273"/>
      <c r="T402" s="273"/>
      <c r="U402" s="273"/>
      <c r="V402" s="273"/>
      <c r="W402" s="273"/>
      <c r="X402" s="273"/>
      <c r="Y402" s="273"/>
      <c r="Z402" s="273"/>
      <c r="AA402" s="273"/>
      <c r="AB402" s="273"/>
      <c r="AC402" s="273"/>
    </row>
    <row r="403" ht="75.0" customHeight="1">
      <c r="A403" s="273"/>
      <c r="B403" s="273"/>
      <c r="C403" s="273"/>
      <c r="D403" s="273"/>
      <c r="E403" s="273"/>
      <c r="F403" s="275"/>
      <c r="G403" s="273"/>
      <c r="H403" s="273"/>
      <c r="I403" s="275"/>
      <c r="J403" s="273"/>
      <c r="K403" s="273"/>
      <c r="L403" s="273"/>
      <c r="M403" s="273"/>
      <c r="N403" s="273"/>
      <c r="O403" s="273"/>
      <c r="P403" s="275"/>
      <c r="Q403" s="273"/>
      <c r="R403" s="273"/>
      <c r="S403" s="273"/>
      <c r="T403" s="273"/>
      <c r="U403" s="273"/>
      <c r="V403" s="273"/>
      <c r="W403" s="273"/>
      <c r="X403" s="273"/>
      <c r="Y403" s="273"/>
      <c r="Z403" s="273"/>
      <c r="AA403" s="273"/>
      <c r="AB403" s="273"/>
      <c r="AC403" s="273"/>
    </row>
    <row r="404" ht="75.0" customHeight="1">
      <c r="A404" s="273"/>
      <c r="B404" s="273"/>
      <c r="C404" s="273"/>
      <c r="D404" s="273"/>
      <c r="E404" s="273"/>
      <c r="F404" s="275"/>
      <c r="G404" s="273"/>
      <c r="H404" s="273"/>
      <c r="I404" s="275"/>
      <c r="J404" s="273"/>
      <c r="K404" s="273"/>
      <c r="L404" s="273"/>
      <c r="M404" s="273"/>
      <c r="N404" s="273"/>
      <c r="O404" s="273"/>
      <c r="P404" s="275"/>
      <c r="Q404" s="273"/>
      <c r="R404" s="273"/>
      <c r="S404" s="273"/>
      <c r="T404" s="273"/>
      <c r="U404" s="273"/>
      <c r="V404" s="273"/>
      <c r="W404" s="273"/>
      <c r="X404" s="273"/>
      <c r="Y404" s="273"/>
      <c r="Z404" s="273"/>
      <c r="AA404" s="273"/>
      <c r="AB404" s="273"/>
      <c r="AC404" s="273"/>
    </row>
    <row r="405" ht="75.0" customHeight="1">
      <c r="A405" s="273"/>
      <c r="B405" s="273"/>
      <c r="C405" s="273"/>
      <c r="D405" s="273"/>
      <c r="E405" s="273"/>
      <c r="F405" s="275"/>
      <c r="G405" s="273"/>
      <c r="H405" s="273"/>
      <c r="I405" s="275"/>
      <c r="J405" s="273"/>
      <c r="K405" s="273"/>
      <c r="L405" s="273"/>
      <c r="M405" s="273"/>
      <c r="N405" s="273"/>
      <c r="O405" s="273"/>
      <c r="P405" s="275"/>
      <c r="Q405" s="273"/>
      <c r="R405" s="273"/>
      <c r="S405" s="273"/>
      <c r="T405" s="273"/>
      <c r="U405" s="273"/>
      <c r="V405" s="273"/>
      <c r="W405" s="273"/>
      <c r="X405" s="273"/>
      <c r="Y405" s="273"/>
      <c r="Z405" s="273"/>
      <c r="AA405" s="273"/>
      <c r="AB405" s="273"/>
      <c r="AC405" s="273"/>
    </row>
    <row r="406" ht="75.0" customHeight="1">
      <c r="A406" s="273"/>
      <c r="B406" s="273"/>
      <c r="C406" s="273"/>
      <c r="D406" s="273"/>
      <c r="E406" s="273"/>
      <c r="F406" s="275"/>
      <c r="G406" s="273"/>
      <c r="H406" s="273"/>
      <c r="I406" s="275"/>
      <c r="J406" s="273"/>
      <c r="K406" s="273"/>
      <c r="L406" s="273"/>
      <c r="M406" s="273"/>
      <c r="N406" s="273"/>
      <c r="O406" s="273"/>
      <c r="P406" s="275"/>
      <c r="Q406" s="273"/>
      <c r="R406" s="273"/>
      <c r="S406" s="273"/>
      <c r="T406" s="273"/>
      <c r="U406" s="273"/>
      <c r="V406" s="273"/>
      <c r="W406" s="273"/>
      <c r="X406" s="273"/>
      <c r="Y406" s="273"/>
      <c r="Z406" s="273"/>
      <c r="AA406" s="273"/>
      <c r="AB406" s="273"/>
      <c r="AC406" s="273"/>
    </row>
    <row r="407" ht="75.0" customHeight="1">
      <c r="A407" s="273"/>
      <c r="B407" s="273"/>
      <c r="C407" s="273"/>
      <c r="D407" s="273"/>
      <c r="E407" s="273"/>
      <c r="F407" s="275"/>
      <c r="G407" s="273"/>
      <c r="H407" s="273"/>
      <c r="I407" s="275"/>
      <c r="J407" s="273"/>
      <c r="K407" s="273"/>
      <c r="L407" s="273"/>
      <c r="M407" s="273"/>
      <c r="N407" s="273"/>
      <c r="O407" s="273"/>
      <c r="P407" s="275"/>
      <c r="Q407" s="273"/>
      <c r="R407" s="273"/>
      <c r="S407" s="273"/>
      <c r="T407" s="273"/>
      <c r="U407" s="273"/>
      <c r="V407" s="273"/>
      <c r="W407" s="273"/>
      <c r="X407" s="273"/>
      <c r="Y407" s="273"/>
      <c r="Z407" s="273"/>
      <c r="AA407" s="273"/>
      <c r="AB407" s="273"/>
      <c r="AC407" s="273"/>
    </row>
    <row r="408" ht="75.0" customHeight="1">
      <c r="A408" s="273"/>
      <c r="B408" s="273"/>
      <c r="C408" s="273"/>
      <c r="D408" s="273"/>
      <c r="E408" s="273"/>
      <c r="F408" s="275"/>
      <c r="G408" s="273"/>
      <c r="H408" s="273"/>
      <c r="I408" s="275"/>
      <c r="J408" s="273"/>
      <c r="K408" s="273"/>
      <c r="L408" s="273"/>
      <c r="M408" s="273"/>
      <c r="N408" s="273"/>
      <c r="O408" s="273"/>
      <c r="P408" s="275"/>
      <c r="Q408" s="273"/>
      <c r="R408" s="273"/>
      <c r="S408" s="273"/>
      <c r="T408" s="273"/>
      <c r="U408" s="273"/>
      <c r="V408" s="273"/>
      <c r="W408" s="273"/>
      <c r="X408" s="273"/>
      <c r="Y408" s="273"/>
      <c r="Z408" s="273"/>
      <c r="AA408" s="273"/>
      <c r="AB408" s="273"/>
      <c r="AC408" s="273"/>
    </row>
    <row r="409" ht="75.0" customHeight="1">
      <c r="A409" s="273"/>
      <c r="B409" s="273"/>
      <c r="C409" s="273"/>
      <c r="D409" s="273"/>
      <c r="E409" s="273"/>
      <c r="F409" s="275"/>
      <c r="G409" s="273"/>
      <c r="H409" s="273"/>
      <c r="I409" s="275"/>
      <c r="J409" s="273"/>
      <c r="K409" s="273"/>
      <c r="L409" s="273"/>
      <c r="M409" s="273"/>
      <c r="N409" s="273"/>
      <c r="O409" s="273"/>
      <c r="P409" s="275"/>
      <c r="Q409" s="273"/>
      <c r="R409" s="273"/>
      <c r="S409" s="273"/>
      <c r="T409" s="273"/>
      <c r="U409" s="273"/>
      <c r="V409" s="273"/>
      <c r="W409" s="273"/>
      <c r="X409" s="273"/>
      <c r="Y409" s="273"/>
      <c r="Z409" s="273"/>
      <c r="AA409" s="273"/>
      <c r="AB409" s="273"/>
      <c r="AC409" s="273"/>
    </row>
    <row r="410" ht="75.0" customHeight="1">
      <c r="A410" s="273"/>
      <c r="B410" s="273"/>
      <c r="C410" s="273"/>
      <c r="D410" s="273"/>
      <c r="E410" s="273"/>
      <c r="F410" s="275"/>
      <c r="G410" s="273"/>
      <c r="H410" s="273"/>
      <c r="I410" s="275"/>
      <c r="J410" s="273"/>
      <c r="K410" s="273"/>
      <c r="L410" s="273"/>
      <c r="M410" s="273"/>
      <c r="N410" s="273"/>
      <c r="O410" s="273"/>
      <c r="P410" s="275"/>
      <c r="Q410" s="273"/>
      <c r="R410" s="273"/>
      <c r="S410" s="273"/>
      <c r="T410" s="273"/>
      <c r="U410" s="273"/>
      <c r="V410" s="273"/>
      <c r="W410" s="273"/>
      <c r="X410" s="273"/>
      <c r="Y410" s="273"/>
      <c r="Z410" s="273"/>
      <c r="AA410" s="273"/>
      <c r="AB410" s="273"/>
      <c r="AC410" s="273"/>
    </row>
    <row r="411" ht="75.0" customHeight="1">
      <c r="A411" s="273"/>
      <c r="B411" s="273"/>
      <c r="C411" s="273"/>
      <c r="D411" s="273"/>
      <c r="E411" s="273"/>
      <c r="F411" s="275"/>
      <c r="G411" s="273"/>
      <c r="H411" s="273"/>
      <c r="I411" s="275"/>
      <c r="J411" s="273"/>
      <c r="K411" s="273"/>
      <c r="L411" s="273"/>
      <c r="M411" s="273"/>
      <c r="N411" s="273"/>
      <c r="O411" s="273"/>
      <c r="P411" s="275"/>
      <c r="Q411" s="273"/>
      <c r="R411" s="273"/>
      <c r="S411" s="273"/>
      <c r="T411" s="273"/>
      <c r="U411" s="273"/>
      <c r="V411" s="273"/>
      <c r="W411" s="273"/>
      <c r="X411" s="273"/>
      <c r="Y411" s="273"/>
      <c r="Z411" s="273"/>
      <c r="AA411" s="273"/>
      <c r="AB411" s="273"/>
      <c r="AC411" s="273"/>
    </row>
    <row r="412" ht="75.0" customHeight="1">
      <c r="A412" s="273"/>
      <c r="B412" s="273"/>
      <c r="C412" s="273"/>
      <c r="D412" s="273"/>
      <c r="E412" s="273"/>
      <c r="F412" s="275"/>
      <c r="G412" s="273"/>
      <c r="H412" s="273"/>
      <c r="I412" s="275"/>
      <c r="J412" s="273"/>
      <c r="K412" s="273"/>
      <c r="L412" s="273"/>
      <c r="M412" s="273"/>
      <c r="N412" s="273"/>
      <c r="O412" s="273"/>
      <c r="P412" s="275"/>
      <c r="Q412" s="273"/>
      <c r="R412" s="273"/>
      <c r="S412" s="273"/>
      <c r="T412" s="273"/>
      <c r="U412" s="273"/>
      <c r="V412" s="273"/>
      <c r="W412" s="273"/>
      <c r="X412" s="273"/>
      <c r="Y412" s="273"/>
      <c r="Z412" s="273"/>
      <c r="AA412" s="273"/>
      <c r="AB412" s="273"/>
      <c r="AC412" s="273"/>
    </row>
    <row r="413" ht="75.0" customHeight="1">
      <c r="A413" s="273"/>
      <c r="B413" s="273"/>
      <c r="C413" s="273"/>
      <c r="D413" s="273"/>
      <c r="E413" s="273"/>
      <c r="F413" s="275"/>
      <c r="G413" s="273"/>
      <c r="H413" s="273"/>
      <c r="I413" s="275"/>
      <c r="J413" s="273"/>
      <c r="K413" s="273"/>
      <c r="L413" s="273"/>
      <c r="M413" s="273"/>
      <c r="N413" s="273"/>
      <c r="O413" s="273"/>
      <c r="P413" s="275"/>
      <c r="Q413" s="273"/>
      <c r="R413" s="273"/>
      <c r="S413" s="273"/>
      <c r="T413" s="273"/>
      <c r="U413" s="273"/>
      <c r="V413" s="273"/>
      <c r="W413" s="273"/>
      <c r="X413" s="273"/>
      <c r="Y413" s="273"/>
      <c r="Z413" s="273"/>
      <c r="AA413" s="273"/>
      <c r="AB413" s="273"/>
      <c r="AC413" s="273"/>
    </row>
    <row r="414" ht="75.0" customHeight="1">
      <c r="A414" s="273"/>
      <c r="B414" s="273"/>
      <c r="C414" s="273"/>
      <c r="D414" s="273"/>
      <c r="E414" s="273"/>
      <c r="F414" s="275"/>
      <c r="G414" s="273"/>
      <c r="H414" s="273"/>
      <c r="I414" s="275"/>
      <c r="J414" s="273"/>
      <c r="K414" s="273"/>
      <c r="L414" s="273"/>
      <c r="M414" s="273"/>
      <c r="N414" s="273"/>
      <c r="O414" s="273"/>
      <c r="P414" s="275"/>
      <c r="Q414" s="273"/>
      <c r="R414" s="273"/>
      <c r="S414" s="273"/>
      <c r="T414" s="273"/>
      <c r="U414" s="273"/>
      <c r="V414" s="273"/>
      <c r="W414" s="273"/>
      <c r="X414" s="273"/>
      <c r="Y414" s="273"/>
      <c r="Z414" s="273"/>
      <c r="AA414" s="273"/>
      <c r="AB414" s="273"/>
      <c r="AC414" s="273"/>
    </row>
    <row r="415" ht="75.0" customHeight="1">
      <c r="A415" s="273"/>
      <c r="B415" s="273"/>
      <c r="C415" s="273"/>
      <c r="D415" s="273"/>
      <c r="E415" s="273"/>
      <c r="F415" s="275"/>
      <c r="G415" s="273"/>
      <c r="H415" s="273"/>
      <c r="I415" s="275"/>
      <c r="J415" s="273"/>
      <c r="K415" s="273"/>
      <c r="L415" s="273"/>
      <c r="M415" s="273"/>
      <c r="N415" s="273"/>
      <c r="O415" s="273"/>
      <c r="P415" s="275"/>
      <c r="Q415" s="273"/>
      <c r="R415" s="273"/>
      <c r="S415" s="273"/>
      <c r="T415" s="273"/>
      <c r="U415" s="273"/>
      <c r="V415" s="273"/>
      <c r="W415" s="273"/>
      <c r="X415" s="273"/>
      <c r="Y415" s="273"/>
      <c r="Z415" s="273"/>
      <c r="AA415" s="273"/>
      <c r="AB415" s="273"/>
      <c r="AC415" s="273"/>
    </row>
    <row r="416" ht="75.0" customHeight="1">
      <c r="A416" s="273"/>
      <c r="B416" s="273"/>
      <c r="C416" s="273"/>
      <c r="D416" s="273"/>
      <c r="E416" s="273"/>
      <c r="F416" s="275"/>
      <c r="G416" s="273"/>
      <c r="H416" s="273"/>
      <c r="I416" s="275"/>
      <c r="J416" s="273"/>
      <c r="K416" s="273"/>
      <c r="L416" s="273"/>
      <c r="M416" s="273"/>
      <c r="N416" s="273"/>
      <c r="O416" s="273"/>
      <c r="P416" s="275"/>
      <c r="Q416" s="273"/>
      <c r="R416" s="273"/>
      <c r="S416" s="273"/>
      <c r="T416" s="273"/>
      <c r="U416" s="273"/>
      <c r="V416" s="273"/>
      <c r="W416" s="273"/>
      <c r="X416" s="273"/>
      <c r="Y416" s="273"/>
      <c r="Z416" s="273"/>
      <c r="AA416" s="273"/>
      <c r="AB416" s="273"/>
      <c r="AC416" s="273"/>
    </row>
    <row r="417" ht="75.0" customHeight="1">
      <c r="A417" s="273"/>
      <c r="B417" s="273"/>
      <c r="C417" s="273"/>
      <c r="D417" s="273"/>
      <c r="E417" s="273"/>
      <c r="F417" s="275"/>
      <c r="G417" s="273"/>
      <c r="H417" s="273"/>
      <c r="I417" s="275"/>
      <c r="J417" s="273"/>
      <c r="K417" s="273"/>
      <c r="L417" s="273"/>
      <c r="M417" s="273"/>
      <c r="N417" s="273"/>
      <c r="O417" s="273"/>
      <c r="P417" s="275"/>
      <c r="Q417" s="273"/>
      <c r="R417" s="273"/>
      <c r="S417" s="273"/>
      <c r="T417" s="273"/>
      <c r="U417" s="273"/>
      <c r="V417" s="273"/>
      <c r="W417" s="273"/>
      <c r="X417" s="273"/>
      <c r="Y417" s="273"/>
      <c r="Z417" s="273"/>
      <c r="AA417" s="273"/>
      <c r="AB417" s="273"/>
      <c r="AC417" s="273"/>
    </row>
    <row r="418" ht="75.0" customHeight="1">
      <c r="A418" s="273"/>
      <c r="B418" s="273"/>
      <c r="C418" s="273"/>
      <c r="D418" s="273"/>
      <c r="E418" s="273"/>
      <c r="F418" s="275"/>
      <c r="G418" s="273"/>
      <c r="H418" s="273"/>
      <c r="I418" s="275"/>
      <c r="J418" s="273"/>
      <c r="K418" s="273"/>
      <c r="L418" s="273"/>
      <c r="M418" s="273"/>
      <c r="N418" s="273"/>
      <c r="O418" s="273"/>
      <c r="P418" s="275"/>
      <c r="Q418" s="273"/>
      <c r="R418" s="273"/>
      <c r="S418" s="273"/>
      <c r="T418" s="273"/>
      <c r="U418" s="273"/>
      <c r="V418" s="273"/>
      <c r="W418" s="273"/>
      <c r="X418" s="273"/>
      <c r="Y418" s="273"/>
      <c r="Z418" s="273"/>
      <c r="AA418" s="273"/>
      <c r="AB418" s="273"/>
      <c r="AC418" s="273"/>
    </row>
    <row r="419" ht="75.0" customHeight="1">
      <c r="A419" s="273"/>
      <c r="B419" s="273"/>
      <c r="C419" s="273"/>
      <c r="D419" s="273"/>
      <c r="E419" s="273"/>
      <c r="F419" s="275"/>
      <c r="G419" s="273"/>
      <c r="H419" s="273"/>
      <c r="I419" s="275"/>
      <c r="J419" s="273"/>
      <c r="K419" s="273"/>
      <c r="L419" s="273"/>
      <c r="M419" s="273"/>
      <c r="N419" s="273"/>
      <c r="O419" s="273"/>
      <c r="P419" s="275"/>
      <c r="Q419" s="273"/>
      <c r="R419" s="273"/>
      <c r="S419" s="273"/>
      <c r="T419" s="273"/>
      <c r="U419" s="273"/>
      <c r="V419" s="273"/>
      <c r="W419" s="273"/>
      <c r="X419" s="273"/>
      <c r="Y419" s="273"/>
      <c r="Z419" s="273"/>
      <c r="AA419" s="273"/>
      <c r="AB419" s="273"/>
      <c r="AC419" s="273"/>
    </row>
    <row r="420" ht="75.0" customHeight="1">
      <c r="A420" s="273"/>
      <c r="B420" s="273"/>
      <c r="C420" s="273"/>
      <c r="D420" s="273"/>
      <c r="E420" s="273"/>
      <c r="F420" s="275"/>
      <c r="G420" s="273"/>
      <c r="H420" s="273"/>
      <c r="I420" s="275"/>
      <c r="J420" s="273"/>
      <c r="K420" s="273"/>
      <c r="L420" s="273"/>
      <c r="M420" s="273"/>
      <c r="N420" s="273"/>
      <c r="O420" s="273"/>
      <c r="P420" s="275"/>
      <c r="Q420" s="273"/>
      <c r="R420" s="273"/>
      <c r="S420" s="273"/>
      <c r="T420" s="273"/>
      <c r="U420" s="273"/>
      <c r="V420" s="273"/>
      <c r="W420" s="273"/>
      <c r="X420" s="273"/>
      <c r="Y420" s="273"/>
      <c r="Z420" s="273"/>
      <c r="AA420" s="273"/>
      <c r="AB420" s="273"/>
      <c r="AC420" s="273"/>
    </row>
    <row r="421" ht="75.0" customHeight="1">
      <c r="A421" s="273"/>
      <c r="B421" s="273"/>
      <c r="C421" s="273"/>
      <c r="D421" s="273"/>
      <c r="E421" s="273"/>
      <c r="F421" s="275"/>
      <c r="G421" s="273"/>
      <c r="H421" s="273"/>
      <c r="I421" s="275"/>
      <c r="J421" s="273"/>
      <c r="K421" s="273"/>
      <c r="L421" s="273"/>
      <c r="M421" s="273"/>
      <c r="N421" s="273"/>
      <c r="O421" s="273"/>
      <c r="P421" s="275"/>
      <c r="Q421" s="273"/>
      <c r="R421" s="273"/>
      <c r="S421" s="273"/>
      <c r="T421" s="273"/>
      <c r="U421" s="273"/>
      <c r="V421" s="273"/>
      <c r="W421" s="273"/>
      <c r="X421" s="273"/>
      <c r="Y421" s="273"/>
      <c r="Z421" s="273"/>
      <c r="AA421" s="273"/>
      <c r="AB421" s="273"/>
      <c r="AC421" s="273"/>
    </row>
    <row r="422" ht="75.0" customHeight="1">
      <c r="A422" s="273"/>
      <c r="B422" s="273"/>
      <c r="C422" s="273"/>
      <c r="D422" s="273"/>
      <c r="E422" s="273"/>
      <c r="F422" s="275"/>
      <c r="G422" s="273"/>
      <c r="H422" s="273"/>
      <c r="I422" s="275"/>
      <c r="J422" s="273"/>
      <c r="K422" s="273"/>
      <c r="L422" s="273"/>
      <c r="M422" s="273"/>
      <c r="N422" s="273"/>
      <c r="O422" s="273"/>
      <c r="P422" s="275"/>
      <c r="Q422" s="273"/>
      <c r="R422" s="273"/>
      <c r="S422" s="273"/>
      <c r="T422" s="273"/>
      <c r="U422" s="273"/>
      <c r="V422" s="273"/>
      <c r="W422" s="273"/>
      <c r="X422" s="273"/>
      <c r="Y422" s="273"/>
      <c r="Z422" s="273"/>
      <c r="AA422" s="273"/>
      <c r="AB422" s="273"/>
      <c r="AC422" s="273"/>
    </row>
    <row r="423" ht="75.0" customHeight="1">
      <c r="A423" s="273"/>
      <c r="B423" s="273"/>
      <c r="C423" s="273"/>
      <c r="D423" s="273"/>
      <c r="E423" s="273"/>
      <c r="F423" s="275"/>
      <c r="G423" s="273"/>
      <c r="H423" s="273"/>
      <c r="I423" s="275"/>
      <c r="J423" s="273"/>
      <c r="K423" s="273"/>
      <c r="L423" s="273"/>
      <c r="M423" s="273"/>
      <c r="N423" s="273"/>
      <c r="O423" s="273"/>
      <c r="P423" s="275"/>
      <c r="Q423" s="273"/>
      <c r="R423" s="273"/>
      <c r="S423" s="273"/>
      <c r="T423" s="273"/>
      <c r="U423" s="273"/>
      <c r="V423" s="273"/>
      <c r="W423" s="273"/>
      <c r="X423" s="273"/>
      <c r="Y423" s="273"/>
      <c r="Z423" s="273"/>
      <c r="AA423" s="273"/>
      <c r="AB423" s="273"/>
      <c r="AC423" s="273"/>
    </row>
    <row r="424" ht="75.0" customHeight="1">
      <c r="A424" s="273"/>
      <c r="B424" s="273"/>
      <c r="C424" s="273"/>
      <c r="D424" s="273"/>
      <c r="E424" s="273"/>
      <c r="F424" s="275"/>
      <c r="G424" s="273"/>
      <c r="H424" s="273"/>
      <c r="I424" s="275"/>
      <c r="J424" s="273"/>
      <c r="K424" s="273"/>
      <c r="L424" s="273"/>
      <c r="M424" s="273"/>
      <c r="N424" s="273"/>
      <c r="O424" s="273"/>
      <c r="P424" s="275"/>
      <c r="Q424" s="273"/>
      <c r="R424" s="273"/>
      <c r="S424" s="273"/>
      <c r="T424" s="273"/>
      <c r="U424" s="273"/>
      <c r="V424" s="273"/>
      <c r="W424" s="273"/>
      <c r="X424" s="273"/>
      <c r="Y424" s="273"/>
      <c r="Z424" s="273"/>
      <c r="AA424" s="273"/>
      <c r="AB424" s="273"/>
      <c r="AC424" s="273"/>
    </row>
    <row r="425" ht="75.0" customHeight="1">
      <c r="A425" s="273"/>
      <c r="B425" s="273"/>
      <c r="C425" s="273"/>
      <c r="D425" s="273"/>
      <c r="E425" s="273"/>
      <c r="F425" s="275"/>
      <c r="G425" s="273"/>
      <c r="H425" s="273"/>
      <c r="I425" s="275"/>
      <c r="J425" s="273"/>
      <c r="K425" s="273"/>
      <c r="L425" s="273"/>
      <c r="M425" s="273"/>
      <c r="N425" s="273"/>
      <c r="O425" s="273"/>
      <c r="P425" s="275"/>
      <c r="Q425" s="273"/>
      <c r="R425" s="273"/>
      <c r="S425" s="273"/>
      <c r="T425" s="273"/>
      <c r="U425" s="273"/>
      <c r="V425" s="273"/>
      <c r="W425" s="273"/>
      <c r="X425" s="273"/>
      <c r="Y425" s="273"/>
      <c r="Z425" s="273"/>
      <c r="AA425" s="273"/>
      <c r="AB425" s="273"/>
      <c r="AC425" s="273"/>
    </row>
    <row r="426" ht="75.0" customHeight="1">
      <c r="A426" s="273"/>
      <c r="B426" s="273"/>
      <c r="C426" s="273"/>
      <c r="D426" s="273"/>
      <c r="E426" s="273"/>
      <c r="F426" s="275"/>
      <c r="G426" s="273"/>
      <c r="H426" s="273"/>
      <c r="I426" s="275"/>
      <c r="J426" s="273"/>
      <c r="K426" s="273"/>
      <c r="L426" s="273"/>
      <c r="M426" s="273"/>
      <c r="N426" s="273"/>
      <c r="O426" s="273"/>
      <c r="P426" s="275"/>
      <c r="Q426" s="273"/>
      <c r="R426" s="273"/>
      <c r="S426" s="273"/>
      <c r="T426" s="273"/>
      <c r="U426" s="273"/>
      <c r="V426" s="273"/>
      <c r="W426" s="273"/>
      <c r="X426" s="273"/>
      <c r="Y426" s="273"/>
      <c r="Z426" s="273"/>
      <c r="AA426" s="273"/>
      <c r="AB426" s="273"/>
      <c r="AC426" s="273"/>
    </row>
    <row r="427" ht="75.0" customHeight="1">
      <c r="A427" s="273"/>
      <c r="B427" s="273"/>
      <c r="C427" s="273"/>
      <c r="D427" s="273"/>
      <c r="E427" s="273"/>
      <c r="F427" s="275"/>
      <c r="G427" s="273"/>
      <c r="H427" s="273"/>
      <c r="I427" s="275"/>
      <c r="J427" s="273"/>
      <c r="K427" s="273"/>
      <c r="L427" s="273"/>
      <c r="M427" s="273"/>
      <c r="N427" s="273"/>
      <c r="O427" s="273"/>
      <c r="P427" s="275"/>
      <c r="Q427" s="273"/>
      <c r="R427" s="273"/>
      <c r="S427" s="273"/>
      <c r="T427" s="273"/>
      <c r="U427" s="273"/>
      <c r="V427" s="273"/>
      <c r="W427" s="273"/>
      <c r="X427" s="273"/>
      <c r="Y427" s="273"/>
      <c r="Z427" s="273"/>
      <c r="AA427" s="273"/>
      <c r="AB427" s="273"/>
      <c r="AC427" s="273"/>
    </row>
    <row r="428" ht="75.0" customHeight="1">
      <c r="A428" s="273"/>
      <c r="B428" s="273"/>
      <c r="C428" s="273"/>
      <c r="D428" s="273"/>
      <c r="E428" s="273"/>
      <c r="F428" s="275"/>
      <c r="G428" s="273"/>
      <c r="H428" s="273"/>
      <c r="I428" s="275"/>
      <c r="J428" s="273"/>
      <c r="K428" s="273"/>
      <c r="L428" s="273"/>
      <c r="M428" s="273"/>
      <c r="N428" s="273"/>
      <c r="O428" s="273"/>
      <c r="P428" s="275"/>
      <c r="Q428" s="273"/>
      <c r="R428" s="273"/>
      <c r="S428" s="273"/>
      <c r="T428" s="273"/>
      <c r="U428" s="273"/>
      <c r="V428" s="273"/>
      <c r="W428" s="273"/>
      <c r="X428" s="273"/>
      <c r="Y428" s="273"/>
      <c r="Z428" s="273"/>
      <c r="AA428" s="273"/>
      <c r="AB428" s="273"/>
      <c r="AC428" s="273"/>
    </row>
    <row r="429" ht="75.0" customHeight="1">
      <c r="A429" s="273"/>
      <c r="B429" s="273"/>
      <c r="C429" s="273"/>
      <c r="D429" s="273"/>
      <c r="E429" s="273"/>
      <c r="F429" s="275"/>
      <c r="G429" s="273"/>
      <c r="H429" s="273"/>
      <c r="I429" s="275"/>
      <c r="J429" s="273"/>
      <c r="K429" s="273"/>
      <c r="L429" s="273"/>
      <c r="M429" s="273"/>
      <c r="N429" s="273"/>
      <c r="O429" s="273"/>
      <c r="P429" s="275"/>
      <c r="Q429" s="273"/>
      <c r="R429" s="273"/>
      <c r="S429" s="273"/>
      <c r="T429" s="273"/>
      <c r="U429" s="273"/>
      <c r="V429" s="273"/>
      <c r="W429" s="273"/>
      <c r="X429" s="273"/>
      <c r="Y429" s="273"/>
      <c r="Z429" s="273"/>
      <c r="AA429" s="273"/>
      <c r="AB429" s="273"/>
      <c r="AC429" s="273"/>
    </row>
    <row r="430" ht="75.0" customHeight="1">
      <c r="A430" s="273"/>
      <c r="B430" s="273"/>
      <c r="C430" s="273"/>
      <c r="D430" s="273"/>
      <c r="E430" s="273"/>
      <c r="F430" s="275"/>
      <c r="G430" s="273"/>
      <c r="H430" s="273"/>
      <c r="I430" s="275"/>
      <c r="J430" s="273"/>
      <c r="K430" s="273"/>
      <c r="L430" s="273"/>
      <c r="M430" s="273"/>
      <c r="N430" s="273"/>
      <c r="O430" s="273"/>
      <c r="P430" s="275"/>
      <c r="Q430" s="273"/>
      <c r="R430" s="273"/>
      <c r="S430" s="273"/>
      <c r="T430" s="273"/>
      <c r="U430" s="273"/>
      <c r="V430" s="273"/>
      <c r="W430" s="273"/>
      <c r="X430" s="273"/>
      <c r="Y430" s="273"/>
      <c r="Z430" s="273"/>
      <c r="AA430" s="273"/>
      <c r="AB430" s="273"/>
      <c r="AC430" s="273"/>
    </row>
    <row r="431" ht="75.0" customHeight="1">
      <c r="A431" s="273"/>
      <c r="B431" s="273"/>
      <c r="C431" s="273"/>
      <c r="D431" s="273"/>
      <c r="E431" s="273"/>
      <c r="F431" s="275"/>
      <c r="G431" s="273"/>
      <c r="H431" s="273"/>
      <c r="I431" s="275"/>
      <c r="J431" s="273"/>
      <c r="K431" s="273"/>
      <c r="L431" s="273"/>
      <c r="M431" s="273"/>
      <c r="N431" s="273"/>
      <c r="O431" s="273"/>
      <c r="P431" s="275"/>
      <c r="Q431" s="273"/>
      <c r="R431" s="273"/>
      <c r="S431" s="273"/>
      <c r="T431" s="273"/>
      <c r="U431" s="273"/>
      <c r="V431" s="273"/>
      <c r="W431" s="273"/>
      <c r="X431" s="273"/>
      <c r="Y431" s="273"/>
      <c r="Z431" s="273"/>
      <c r="AA431" s="273"/>
      <c r="AB431" s="273"/>
      <c r="AC431" s="273"/>
    </row>
    <row r="432" ht="75.0" customHeight="1">
      <c r="A432" s="273"/>
      <c r="B432" s="273"/>
      <c r="C432" s="273"/>
      <c r="D432" s="273"/>
      <c r="E432" s="273"/>
      <c r="F432" s="275"/>
      <c r="G432" s="273"/>
      <c r="H432" s="273"/>
      <c r="I432" s="275"/>
      <c r="J432" s="273"/>
      <c r="K432" s="273"/>
      <c r="L432" s="273"/>
      <c r="M432" s="273"/>
      <c r="N432" s="273"/>
      <c r="O432" s="273"/>
      <c r="P432" s="275"/>
      <c r="Q432" s="273"/>
      <c r="R432" s="273"/>
      <c r="S432" s="273"/>
      <c r="T432" s="273"/>
      <c r="U432" s="273"/>
      <c r="V432" s="273"/>
      <c r="W432" s="273"/>
      <c r="X432" s="273"/>
      <c r="Y432" s="273"/>
      <c r="Z432" s="273"/>
      <c r="AA432" s="273"/>
      <c r="AB432" s="273"/>
      <c r="AC432" s="273"/>
    </row>
    <row r="433" ht="75.0" customHeight="1">
      <c r="A433" s="273"/>
      <c r="B433" s="273"/>
      <c r="C433" s="273"/>
      <c r="D433" s="273"/>
      <c r="E433" s="273"/>
      <c r="F433" s="275"/>
      <c r="G433" s="273"/>
      <c r="H433" s="273"/>
      <c r="I433" s="275"/>
      <c r="J433" s="273"/>
      <c r="K433" s="273"/>
      <c r="L433" s="273"/>
      <c r="M433" s="273"/>
      <c r="N433" s="273"/>
      <c r="O433" s="273"/>
      <c r="P433" s="275"/>
      <c r="Q433" s="273"/>
      <c r="R433" s="273"/>
      <c r="S433" s="273"/>
      <c r="T433" s="273"/>
      <c r="U433" s="273"/>
      <c r="V433" s="273"/>
      <c r="W433" s="273"/>
      <c r="X433" s="273"/>
      <c r="Y433" s="273"/>
      <c r="Z433" s="273"/>
      <c r="AA433" s="273"/>
      <c r="AB433" s="273"/>
      <c r="AC433" s="273"/>
    </row>
    <row r="434" ht="75.0" customHeight="1">
      <c r="A434" s="273"/>
      <c r="B434" s="273"/>
      <c r="C434" s="273"/>
      <c r="D434" s="273"/>
      <c r="E434" s="273"/>
      <c r="F434" s="275"/>
      <c r="G434" s="273"/>
      <c r="H434" s="273"/>
      <c r="I434" s="275"/>
      <c r="J434" s="273"/>
      <c r="K434" s="273"/>
      <c r="L434" s="273"/>
      <c r="M434" s="273"/>
      <c r="N434" s="273"/>
      <c r="O434" s="273"/>
      <c r="P434" s="275"/>
      <c r="Q434" s="273"/>
      <c r="R434" s="273"/>
      <c r="S434" s="273"/>
      <c r="T434" s="273"/>
      <c r="U434" s="273"/>
      <c r="V434" s="273"/>
      <c r="W434" s="273"/>
      <c r="X434" s="273"/>
      <c r="Y434" s="273"/>
      <c r="Z434" s="273"/>
      <c r="AA434" s="273"/>
      <c r="AB434" s="273"/>
      <c r="AC434" s="273"/>
    </row>
    <row r="435" ht="75.0" customHeight="1">
      <c r="A435" s="273"/>
      <c r="B435" s="273"/>
      <c r="C435" s="273"/>
      <c r="D435" s="273"/>
      <c r="E435" s="273"/>
      <c r="F435" s="275"/>
      <c r="G435" s="273"/>
      <c r="H435" s="273"/>
      <c r="I435" s="275"/>
      <c r="J435" s="273"/>
      <c r="K435" s="273"/>
      <c r="L435" s="273"/>
      <c r="M435" s="273"/>
      <c r="N435" s="273"/>
      <c r="O435" s="273"/>
      <c r="P435" s="275"/>
      <c r="Q435" s="273"/>
      <c r="R435" s="273"/>
      <c r="S435" s="273"/>
      <c r="T435" s="273"/>
      <c r="U435" s="273"/>
      <c r="V435" s="273"/>
      <c r="W435" s="273"/>
      <c r="X435" s="273"/>
      <c r="Y435" s="273"/>
      <c r="Z435" s="273"/>
      <c r="AA435" s="273"/>
      <c r="AB435" s="273"/>
      <c r="AC435" s="273"/>
    </row>
    <row r="436" ht="75.0" customHeight="1">
      <c r="A436" s="273"/>
      <c r="B436" s="273"/>
      <c r="C436" s="273"/>
      <c r="D436" s="273"/>
      <c r="E436" s="273"/>
      <c r="F436" s="275"/>
      <c r="G436" s="273"/>
      <c r="H436" s="273"/>
      <c r="I436" s="275"/>
      <c r="J436" s="273"/>
      <c r="K436" s="273"/>
      <c r="L436" s="273"/>
      <c r="M436" s="273"/>
      <c r="N436" s="273"/>
      <c r="O436" s="273"/>
      <c r="P436" s="275"/>
      <c r="Q436" s="273"/>
      <c r="R436" s="273"/>
      <c r="S436" s="273"/>
      <c r="T436" s="273"/>
      <c r="U436" s="273"/>
      <c r="V436" s="273"/>
      <c r="W436" s="273"/>
      <c r="X436" s="273"/>
      <c r="Y436" s="273"/>
      <c r="Z436" s="273"/>
      <c r="AA436" s="273"/>
      <c r="AB436" s="273"/>
      <c r="AC436" s="273"/>
    </row>
    <row r="437" ht="75.0" customHeight="1">
      <c r="A437" s="273"/>
      <c r="B437" s="273"/>
      <c r="C437" s="273"/>
      <c r="D437" s="273"/>
      <c r="E437" s="273"/>
      <c r="F437" s="275"/>
      <c r="G437" s="273"/>
      <c r="H437" s="273"/>
      <c r="I437" s="275"/>
      <c r="J437" s="273"/>
      <c r="K437" s="273"/>
      <c r="L437" s="273"/>
      <c r="M437" s="273"/>
      <c r="N437" s="273"/>
      <c r="O437" s="273"/>
      <c r="P437" s="275"/>
      <c r="Q437" s="273"/>
      <c r="R437" s="273"/>
      <c r="S437" s="273"/>
      <c r="T437" s="273"/>
      <c r="U437" s="273"/>
      <c r="V437" s="273"/>
      <c r="W437" s="273"/>
      <c r="X437" s="273"/>
      <c r="Y437" s="273"/>
      <c r="Z437" s="273"/>
      <c r="AA437" s="273"/>
      <c r="AB437" s="273"/>
      <c r="AC437" s="273"/>
    </row>
    <row r="438" ht="75.0" customHeight="1">
      <c r="A438" s="273"/>
      <c r="B438" s="273"/>
      <c r="C438" s="273"/>
      <c r="D438" s="273"/>
      <c r="E438" s="273"/>
      <c r="F438" s="275"/>
      <c r="G438" s="273"/>
      <c r="H438" s="273"/>
      <c r="I438" s="275"/>
      <c r="J438" s="273"/>
      <c r="K438" s="273"/>
      <c r="L438" s="273"/>
      <c r="M438" s="273"/>
      <c r="N438" s="273"/>
      <c r="O438" s="273"/>
      <c r="P438" s="275"/>
      <c r="Q438" s="273"/>
      <c r="R438" s="273"/>
      <c r="S438" s="273"/>
      <c r="T438" s="273"/>
      <c r="U438" s="273"/>
      <c r="V438" s="273"/>
      <c r="W438" s="273"/>
      <c r="X438" s="273"/>
      <c r="Y438" s="273"/>
      <c r="Z438" s="273"/>
      <c r="AA438" s="273"/>
      <c r="AB438" s="273"/>
      <c r="AC438" s="273"/>
    </row>
    <row r="439" ht="75.0" customHeight="1">
      <c r="A439" s="273"/>
      <c r="B439" s="273"/>
      <c r="C439" s="273"/>
      <c r="D439" s="273"/>
      <c r="E439" s="273"/>
      <c r="F439" s="275"/>
      <c r="G439" s="273"/>
      <c r="H439" s="273"/>
      <c r="I439" s="275"/>
      <c r="J439" s="273"/>
      <c r="K439" s="273"/>
      <c r="L439" s="273"/>
      <c r="M439" s="273"/>
      <c r="N439" s="273"/>
      <c r="O439" s="273"/>
      <c r="P439" s="275"/>
      <c r="Q439" s="273"/>
      <c r="R439" s="273"/>
      <c r="S439" s="273"/>
      <c r="T439" s="273"/>
      <c r="U439" s="273"/>
      <c r="V439" s="273"/>
      <c r="W439" s="273"/>
      <c r="X439" s="273"/>
      <c r="Y439" s="273"/>
      <c r="Z439" s="273"/>
      <c r="AA439" s="273"/>
      <c r="AB439" s="273"/>
      <c r="AC439" s="273"/>
    </row>
    <row r="440" ht="75.0" customHeight="1">
      <c r="A440" s="273"/>
      <c r="B440" s="273"/>
      <c r="C440" s="273"/>
      <c r="D440" s="273"/>
      <c r="E440" s="273"/>
      <c r="F440" s="275"/>
      <c r="G440" s="273"/>
      <c r="H440" s="273"/>
      <c r="I440" s="275"/>
      <c r="J440" s="273"/>
      <c r="K440" s="273"/>
      <c r="L440" s="273"/>
      <c r="M440" s="273"/>
      <c r="N440" s="273"/>
      <c r="O440" s="273"/>
      <c r="P440" s="275"/>
      <c r="Q440" s="273"/>
      <c r="R440" s="273"/>
      <c r="S440" s="273"/>
      <c r="T440" s="273"/>
      <c r="U440" s="273"/>
      <c r="V440" s="273"/>
      <c r="W440" s="273"/>
      <c r="X440" s="273"/>
      <c r="Y440" s="273"/>
      <c r="Z440" s="273"/>
      <c r="AA440" s="273"/>
      <c r="AB440" s="273"/>
      <c r="AC440" s="273"/>
    </row>
    <row r="441" ht="75.0" customHeight="1">
      <c r="A441" s="273"/>
      <c r="B441" s="273"/>
      <c r="C441" s="273"/>
      <c r="D441" s="273"/>
      <c r="E441" s="273"/>
      <c r="F441" s="275"/>
      <c r="G441" s="273"/>
      <c r="H441" s="273"/>
      <c r="I441" s="275"/>
      <c r="J441" s="273"/>
      <c r="K441" s="273"/>
      <c r="L441" s="273"/>
      <c r="M441" s="273"/>
      <c r="N441" s="273"/>
      <c r="O441" s="273"/>
      <c r="P441" s="275"/>
      <c r="Q441" s="273"/>
      <c r="R441" s="273"/>
      <c r="S441" s="273"/>
      <c r="T441" s="273"/>
      <c r="U441" s="273"/>
      <c r="V441" s="273"/>
      <c r="W441" s="273"/>
      <c r="X441" s="273"/>
      <c r="Y441" s="273"/>
      <c r="Z441" s="273"/>
      <c r="AA441" s="273"/>
      <c r="AB441" s="273"/>
      <c r="AC441" s="273"/>
    </row>
    <row r="442" ht="75.0" customHeight="1">
      <c r="A442" s="273"/>
      <c r="B442" s="273"/>
      <c r="C442" s="273"/>
      <c r="D442" s="273"/>
      <c r="E442" s="273"/>
      <c r="F442" s="275"/>
      <c r="G442" s="273"/>
      <c r="H442" s="273"/>
      <c r="I442" s="275"/>
      <c r="J442" s="273"/>
      <c r="K442" s="273"/>
      <c r="L442" s="273"/>
      <c r="M442" s="273"/>
      <c r="N442" s="273"/>
      <c r="O442" s="273"/>
      <c r="P442" s="275"/>
      <c r="Q442" s="273"/>
      <c r="R442" s="273"/>
      <c r="S442" s="273"/>
      <c r="T442" s="273"/>
      <c r="U442" s="273"/>
      <c r="V442" s="273"/>
      <c r="W442" s="273"/>
      <c r="X442" s="273"/>
      <c r="Y442" s="273"/>
      <c r="Z442" s="273"/>
      <c r="AA442" s="273"/>
      <c r="AB442" s="273"/>
      <c r="AC442" s="273"/>
    </row>
    <row r="443" ht="75.0" customHeight="1">
      <c r="A443" s="273"/>
      <c r="B443" s="273"/>
      <c r="C443" s="273"/>
      <c r="D443" s="273"/>
      <c r="E443" s="273"/>
      <c r="F443" s="275"/>
      <c r="G443" s="273"/>
      <c r="H443" s="273"/>
      <c r="I443" s="275"/>
      <c r="J443" s="273"/>
      <c r="K443" s="273"/>
      <c r="L443" s="273"/>
      <c r="M443" s="273"/>
      <c r="N443" s="273"/>
      <c r="O443" s="273"/>
      <c r="P443" s="275"/>
      <c r="Q443" s="273"/>
      <c r="R443" s="273"/>
      <c r="S443" s="273"/>
      <c r="T443" s="273"/>
      <c r="U443" s="273"/>
      <c r="V443" s="273"/>
      <c r="W443" s="273"/>
      <c r="X443" s="273"/>
      <c r="Y443" s="273"/>
      <c r="Z443" s="273"/>
      <c r="AA443" s="273"/>
      <c r="AB443" s="273"/>
      <c r="AC443" s="273"/>
    </row>
    <row r="444" ht="75.0" customHeight="1">
      <c r="A444" s="273"/>
      <c r="B444" s="273"/>
      <c r="C444" s="273"/>
      <c r="D444" s="273"/>
      <c r="E444" s="273"/>
      <c r="F444" s="275"/>
      <c r="G444" s="273"/>
      <c r="H444" s="273"/>
      <c r="I444" s="275"/>
      <c r="J444" s="273"/>
      <c r="K444" s="273"/>
      <c r="L444" s="273"/>
      <c r="M444" s="273"/>
      <c r="N444" s="273"/>
      <c r="O444" s="273"/>
      <c r="P444" s="275"/>
      <c r="Q444" s="273"/>
      <c r="R444" s="273"/>
      <c r="S444" s="273"/>
      <c r="T444" s="273"/>
      <c r="U444" s="273"/>
      <c r="V444" s="273"/>
      <c r="W444" s="273"/>
      <c r="X444" s="273"/>
      <c r="Y444" s="273"/>
      <c r="Z444" s="273"/>
      <c r="AA444" s="273"/>
      <c r="AB444" s="273"/>
      <c r="AC444" s="273"/>
    </row>
    <row r="445" ht="75.0" customHeight="1">
      <c r="A445" s="273"/>
      <c r="B445" s="273"/>
      <c r="C445" s="273"/>
      <c r="D445" s="273"/>
      <c r="E445" s="273"/>
      <c r="F445" s="275"/>
      <c r="G445" s="273"/>
      <c r="H445" s="273"/>
      <c r="I445" s="275"/>
      <c r="J445" s="273"/>
      <c r="K445" s="273"/>
      <c r="L445" s="273"/>
      <c r="M445" s="273"/>
      <c r="N445" s="273"/>
      <c r="O445" s="273"/>
      <c r="P445" s="275"/>
      <c r="Q445" s="273"/>
      <c r="R445" s="273"/>
      <c r="S445" s="273"/>
      <c r="T445" s="273"/>
      <c r="U445" s="273"/>
      <c r="V445" s="273"/>
      <c r="W445" s="273"/>
      <c r="X445" s="273"/>
      <c r="Y445" s="273"/>
      <c r="Z445" s="273"/>
      <c r="AA445" s="273"/>
      <c r="AB445" s="273"/>
      <c r="AC445" s="273"/>
    </row>
    <row r="446" ht="75.0" customHeight="1">
      <c r="A446" s="273"/>
      <c r="B446" s="273"/>
      <c r="C446" s="273"/>
      <c r="D446" s="273"/>
      <c r="E446" s="273"/>
      <c r="F446" s="275"/>
      <c r="G446" s="273"/>
      <c r="H446" s="273"/>
      <c r="I446" s="275"/>
      <c r="J446" s="273"/>
      <c r="K446" s="273"/>
      <c r="L446" s="273"/>
      <c r="M446" s="273"/>
      <c r="N446" s="273"/>
      <c r="O446" s="273"/>
      <c r="P446" s="275"/>
      <c r="Q446" s="273"/>
      <c r="R446" s="273"/>
      <c r="S446" s="273"/>
      <c r="T446" s="273"/>
      <c r="U446" s="273"/>
      <c r="V446" s="273"/>
      <c r="W446" s="273"/>
      <c r="X446" s="273"/>
      <c r="Y446" s="273"/>
      <c r="Z446" s="273"/>
      <c r="AA446" s="273"/>
      <c r="AB446" s="273"/>
      <c r="AC446" s="273"/>
    </row>
    <row r="447" ht="75.0" customHeight="1">
      <c r="A447" s="273"/>
      <c r="B447" s="273"/>
      <c r="C447" s="273"/>
      <c r="D447" s="273"/>
      <c r="E447" s="273"/>
      <c r="F447" s="275"/>
      <c r="G447" s="273"/>
      <c r="H447" s="273"/>
      <c r="I447" s="275"/>
      <c r="J447" s="273"/>
      <c r="K447" s="273"/>
      <c r="L447" s="273"/>
      <c r="M447" s="273"/>
      <c r="N447" s="273"/>
      <c r="O447" s="273"/>
      <c r="P447" s="275"/>
      <c r="Q447" s="273"/>
      <c r="R447" s="273"/>
      <c r="S447" s="273"/>
      <c r="T447" s="273"/>
      <c r="U447" s="273"/>
      <c r="V447" s="273"/>
      <c r="W447" s="273"/>
      <c r="X447" s="273"/>
      <c r="Y447" s="273"/>
      <c r="Z447" s="273"/>
      <c r="AA447" s="273"/>
      <c r="AB447" s="273"/>
      <c r="AC447" s="273"/>
    </row>
    <row r="448" ht="75.0" customHeight="1">
      <c r="A448" s="273"/>
      <c r="B448" s="273"/>
      <c r="C448" s="273"/>
      <c r="D448" s="273"/>
      <c r="E448" s="273"/>
      <c r="F448" s="275"/>
      <c r="G448" s="273"/>
      <c r="H448" s="273"/>
      <c r="I448" s="275"/>
      <c r="J448" s="273"/>
      <c r="K448" s="273"/>
      <c r="L448" s="273"/>
      <c r="M448" s="273"/>
      <c r="N448" s="273"/>
      <c r="O448" s="273"/>
      <c r="P448" s="275"/>
      <c r="Q448" s="273"/>
      <c r="R448" s="273"/>
      <c r="S448" s="273"/>
      <c r="T448" s="273"/>
      <c r="U448" s="273"/>
      <c r="V448" s="273"/>
      <c r="W448" s="273"/>
      <c r="X448" s="273"/>
      <c r="Y448" s="273"/>
      <c r="Z448" s="273"/>
      <c r="AA448" s="273"/>
      <c r="AB448" s="273"/>
      <c r="AC448" s="273"/>
    </row>
    <row r="449" ht="75.0" customHeight="1">
      <c r="A449" s="273"/>
      <c r="B449" s="273"/>
      <c r="C449" s="273"/>
      <c r="D449" s="273"/>
      <c r="E449" s="273"/>
      <c r="F449" s="275"/>
      <c r="G449" s="273"/>
      <c r="H449" s="273"/>
      <c r="I449" s="275"/>
      <c r="J449" s="273"/>
      <c r="K449" s="273"/>
      <c r="L449" s="273"/>
      <c r="M449" s="273"/>
      <c r="N449" s="273"/>
      <c r="O449" s="273"/>
      <c r="P449" s="275"/>
      <c r="Q449" s="273"/>
      <c r="R449" s="273"/>
      <c r="S449" s="273"/>
      <c r="T449" s="273"/>
      <c r="U449" s="273"/>
      <c r="V449" s="273"/>
      <c r="W449" s="273"/>
      <c r="X449" s="273"/>
      <c r="Y449" s="273"/>
      <c r="Z449" s="273"/>
      <c r="AA449" s="273"/>
      <c r="AB449" s="273"/>
      <c r="AC449" s="273"/>
    </row>
    <row r="450" ht="75.0" customHeight="1">
      <c r="A450" s="273"/>
      <c r="B450" s="273"/>
      <c r="C450" s="273"/>
      <c r="D450" s="273"/>
      <c r="E450" s="273"/>
      <c r="F450" s="275"/>
      <c r="G450" s="273"/>
      <c r="H450" s="273"/>
      <c r="I450" s="275"/>
      <c r="J450" s="273"/>
      <c r="K450" s="273"/>
      <c r="L450" s="273"/>
      <c r="M450" s="273"/>
      <c r="N450" s="273"/>
      <c r="O450" s="273"/>
      <c r="P450" s="275"/>
      <c r="Q450" s="273"/>
      <c r="R450" s="273"/>
      <c r="S450" s="273"/>
      <c r="T450" s="273"/>
      <c r="U450" s="273"/>
      <c r="V450" s="273"/>
      <c r="W450" s="273"/>
      <c r="X450" s="273"/>
      <c r="Y450" s="273"/>
      <c r="Z450" s="273"/>
      <c r="AA450" s="273"/>
      <c r="AB450" s="273"/>
      <c r="AC450" s="273"/>
    </row>
    <row r="451" ht="75.0" customHeight="1">
      <c r="A451" s="273"/>
      <c r="B451" s="273"/>
      <c r="C451" s="273"/>
      <c r="D451" s="273"/>
      <c r="E451" s="273"/>
      <c r="F451" s="275"/>
      <c r="G451" s="273"/>
      <c r="H451" s="273"/>
      <c r="I451" s="275"/>
      <c r="J451" s="273"/>
      <c r="K451" s="273"/>
      <c r="L451" s="273"/>
      <c r="M451" s="273"/>
      <c r="N451" s="273"/>
      <c r="O451" s="273"/>
      <c r="P451" s="275"/>
      <c r="Q451" s="273"/>
      <c r="R451" s="273"/>
      <c r="S451" s="273"/>
      <c r="T451" s="273"/>
      <c r="U451" s="273"/>
      <c r="V451" s="273"/>
      <c r="W451" s="273"/>
      <c r="X451" s="273"/>
      <c r="Y451" s="273"/>
      <c r="Z451" s="273"/>
      <c r="AA451" s="273"/>
      <c r="AB451" s="273"/>
      <c r="AC451" s="273"/>
    </row>
    <row r="452" ht="75.0" customHeight="1">
      <c r="A452" s="273"/>
      <c r="B452" s="273"/>
      <c r="C452" s="273"/>
      <c r="D452" s="273"/>
      <c r="E452" s="273"/>
      <c r="F452" s="275"/>
      <c r="G452" s="273"/>
      <c r="H452" s="273"/>
      <c r="I452" s="275"/>
      <c r="J452" s="273"/>
      <c r="K452" s="273"/>
      <c r="L452" s="273"/>
      <c r="M452" s="273"/>
      <c r="N452" s="273"/>
      <c r="O452" s="273"/>
      <c r="P452" s="275"/>
      <c r="Q452" s="273"/>
      <c r="R452" s="273"/>
      <c r="S452" s="273"/>
      <c r="T452" s="273"/>
      <c r="U452" s="273"/>
      <c r="V452" s="273"/>
      <c r="W452" s="273"/>
      <c r="X452" s="273"/>
      <c r="Y452" s="273"/>
      <c r="Z452" s="273"/>
      <c r="AA452" s="273"/>
      <c r="AB452" s="273"/>
      <c r="AC452" s="273"/>
    </row>
    <row r="453" ht="75.0" customHeight="1">
      <c r="A453" s="273"/>
      <c r="B453" s="273"/>
      <c r="C453" s="273"/>
      <c r="D453" s="273"/>
      <c r="E453" s="273"/>
      <c r="F453" s="275"/>
      <c r="G453" s="273"/>
      <c r="H453" s="273"/>
      <c r="I453" s="275"/>
      <c r="J453" s="273"/>
      <c r="K453" s="273"/>
      <c r="L453" s="273"/>
      <c r="M453" s="273"/>
      <c r="N453" s="273"/>
      <c r="O453" s="273"/>
      <c r="P453" s="275"/>
      <c r="Q453" s="273"/>
      <c r="R453" s="273"/>
      <c r="S453" s="273"/>
      <c r="T453" s="273"/>
      <c r="U453" s="273"/>
      <c r="V453" s="273"/>
      <c r="W453" s="273"/>
      <c r="X453" s="273"/>
      <c r="Y453" s="273"/>
      <c r="Z453" s="273"/>
      <c r="AA453" s="273"/>
      <c r="AB453" s="273"/>
      <c r="AC453" s="273"/>
    </row>
    <row r="454" ht="75.0" customHeight="1">
      <c r="A454" s="273"/>
      <c r="B454" s="273"/>
      <c r="C454" s="273"/>
      <c r="D454" s="273"/>
      <c r="E454" s="273"/>
      <c r="F454" s="275"/>
      <c r="G454" s="273"/>
      <c r="H454" s="273"/>
      <c r="I454" s="275"/>
      <c r="J454" s="273"/>
      <c r="K454" s="273"/>
      <c r="L454" s="273"/>
      <c r="M454" s="273"/>
      <c r="N454" s="273"/>
      <c r="O454" s="273"/>
      <c r="P454" s="275"/>
      <c r="Q454" s="273"/>
      <c r="R454" s="273"/>
      <c r="S454" s="273"/>
      <c r="T454" s="273"/>
      <c r="U454" s="273"/>
      <c r="V454" s="273"/>
      <c r="W454" s="273"/>
      <c r="X454" s="273"/>
      <c r="Y454" s="273"/>
      <c r="Z454" s="273"/>
      <c r="AA454" s="273"/>
      <c r="AB454" s="273"/>
      <c r="AC454" s="273"/>
    </row>
    <row r="455" ht="75.0" customHeight="1">
      <c r="A455" s="273"/>
      <c r="B455" s="273"/>
      <c r="C455" s="273"/>
      <c r="D455" s="273"/>
      <c r="E455" s="273"/>
      <c r="F455" s="275"/>
      <c r="G455" s="273"/>
      <c r="H455" s="273"/>
      <c r="I455" s="275"/>
      <c r="J455" s="273"/>
      <c r="K455" s="273"/>
      <c r="L455" s="273"/>
      <c r="M455" s="273"/>
      <c r="N455" s="273"/>
      <c r="O455" s="273"/>
      <c r="P455" s="275"/>
      <c r="Q455" s="273"/>
      <c r="R455" s="273"/>
      <c r="S455" s="273"/>
      <c r="T455" s="273"/>
      <c r="U455" s="273"/>
      <c r="V455" s="273"/>
      <c r="W455" s="273"/>
      <c r="X455" s="273"/>
      <c r="Y455" s="273"/>
      <c r="Z455" s="273"/>
      <c r="AA455" s="273"/>
      <c r="AB455" s="273"/>
      <c r="AC455" s="273"/>
    </row>
    <row r="456" ht="75.0" customHeight="1">
      <c r="A456" s="273"/>
      <c r="B456" s="273"/>
      <c r="C456" s="273"/>
      <c r="D456" s="273"/>
      <c r="E456" s="273"/>
      <c r="F456" s="275"/>
      <c r="G456" s="273"/>
      <c r="H456" s="273"/>
      <c r="I456" s="275"/>
      <c r="J456" s="273"/>
      <c r="K456" s="273"/>
      <c r="L456" s="273"/>
      <c r="M456" s="273"/>
      <c r="N456" s="273"/>
      <c r="O456" s="273"/>
      <c r="P456" s="275"/>
      <c r="Q456" s="273"/>
      <c r="R456" s="273"/>
      <c r="S456" s="273"/>
      <c r="T456" s="273"/>
      <c r="U456" s="273"/>
      <c r="V456" s="273"/>
      <c r="W456" s="273"/>
      <c r="X456" s="273"/>
      <c r="Y456" s="273"/>
      <c r="Z456" s="273"/>
      <c r="AA456" s="273"/>
      <c r="AB456" s="273"/>
      <c r="AC456" s="273"/>
    </row>
    <row r="457" ht="75.0" customHeight="1">
      <c r="A457" s="273"/>
      <c r="B457" s="273"/>
      <c r="C457" s="273"/>
      <c r="D457" s="273"/>
      <c r="E457" s="273"/>
      <c r="F457" s="275"/>
      <c r="G457" s="273"/>
      <c r="H457" s="273"/>
      <c r="I457" s="275"/>
      <c r="J457" s="273"/>
      <c r="K457" s="273"/>
      <c r="L457" s="273"/>
      <c r="M457" s="273"/>
      <c r="N457" s="273"/>
      <c r="O457" s="273"/>
      <c r="P457" s="275"/>
      <c r="Q457" s="273"/>
      <c r="R457" s="273"/>
      <c r="S457" s="273"/>
      <c r="T457" s="273"/>
      <c r="U457" s="273"/>
      <c r="V457" s="273"/>
      <c r="W457" s="273"/>
      <c r="X457" s="273"/>
      <c r="Y457" s="273"/>
      <c r="Z457" s="273"/>
      <c r="AA457" s="273"/>
      <c r="AB457" s="273"/>
      <c r="AC457" s="273"/>
    </row>
    <row r="458" ht="75.0" customHeight="1">
      <c r="A458" s="273"/>
      <c r="B458" s="273"/>
      <c r="C458" s="273"/>
      <c r="D458" s="273"/>
      <c r="E458" s="273"/>
      <c r="F458" s="275"/>
      <c r="G458" s="273"/>
      <c r="H458" s="273"/>
      <c r="I458" s="275"/>
      <c r="J458" s="273"/>
      <c r="K458" s="273"/>
      <c r="L458" s="273"/>
      <c r="M458" s="273"/>
      <c r="N458" s="273"/>
      <c r="O458" s="273"/>
      <c r="P458" s="275"/>
      <c r="Q458" s="273"/>
      <c r="R458" s="273"/>
      <c r="S458" s="273"/>
      <c r="T458" s="273"/>
      <c r="U458" s="273"/>
      <c r="V458" s="273"/>
      <c r="W458" s="273"/>
      <c r="X458" s="273"/>
      <c r="Y458" s="273"/>
      <c r="Z458" s="273"/>
      <c r="AA458" s="273"/>
      <c r="AB458" s="273"/>
      <c r="AC458" s="273"/>
    </row>
    <row r="459" ht="75.0" customHeight="1">
      <c r="A459" s="273"/>
      <c r="B459" s="273"/>
      <c r="C459" s="273"/>
      <c r="D459" s="273"/>
      <c r="E459" s="273"/>
      <c r="F459" s="275"/>
      <c r="G459" s="273"/>
      <c r="H459" s="273"/>
      <c r="I459" s="275"/>
      <c r="J459" s="273"/>
      <c r="K459" s="273"/>
      <c r="L459" s="273"/>
      <c r="M459" s="273"/>
      <c r="N459" s="273"/>
      <c r="O459" s="273"/>
      <c r="P459" s="275"/>
      <c r="Q459" s="273"/>
      <c r="R459" s="273"/>
      <c r="S459" s="273"/>
      <c r="T459" s="273"/>
      <c r="U459" s="273"/>
      <c r="V459" s="273"/>
      <c r="W459" s="273"/>
      <c r="X459" s="273"/>
      <c r="Y459" s="273"/>
      <c r="Z459" s="273"/>
      <c r="AA459" s="273"/>
      <c r="AB459" s="273"/>
      <c r="AC459" s="273"/>
    </row>
    <row r="460" ht="75.0" customHeight="1">
      <c r="A460" s="273"/>
      <c r="B460" s="273"/>
      <c r="C460" s="273"/>
      <c r="D460" s="273"/>
      <c r="E460" s="273"/>
      <c r="F460" s="275"/>
      <c r="G460" s="273"/>
      <c r="H460" s="273"/>
      <c r="I460" s="275"/>
      <c r="J460" s="273"/>
      <c r="K460" s="273"/>
      <c r="L460" s="273"/>
      <c r="M460" s="273"/>
      <c r="N460" s="273"/>
      <c r="O460" s="273"/>
      <c r="P460" s="275"/>
      <c r="Q460" s="273"/>
      <c r="R460" s="273"/>
      <c r="S460" s="273"/>
      <c r="T460" s="273"/>
      <c r="U460" s="273"/>
      <c r="V460" s="273"/>
      <c r="W460" s="273"/>
      <c r="X460" s="273"/>
      <c r="Y460" s="273"/>
      <c r="Z460" s="273"/>
      <c r="AA460" s="273"/>
      <c r="AB460" s="273"/>
      <c r="AC460" s="273"/>
    </row>
    <row r="461" ht="75.0" customHeight="1">
      <c r="A461" s="273"/>
      <c r="B461" s="273"/>
      <c r="C461" s="273"/>
      <c r="D461" s="273"/>
      <c r="E461" s="273"/>
      <c r="F461" s="275"/>
      <c r="G461" s="273"/>
      <c r="H461" s="273"/>
      <c r="I461" s="275"/>
      <c r="J461" s="273"/>
      <c r="K461" s="273"/>
      <c r="L461" s="273"/>
      <c r="M461" s="273"/>
      <c r="N461" s="273"/>
      <c r="O461" s="273"/>
      <c r="P461" s="275"/>
      <c r="Q461" s="273"/>
      <c r="R461" s="273"/>
      <c r="S461" s="273"/>
      <c r="T461" s="273"/>
      <c r="U461" s="273"/>
      <c r="V461" s="273"/>
      <c r="W461" s="273"/>
      <c r="X461" s="273"/>
      <c r="Y461" s="273"/>
      <c r="Z461" s="273"/>
      <c r="AA461" s="273"/>
      <c r="AB461" s="273"/>
      <c r="AC461" s="273"/>
    </row>
    <row r="462" ht="75.0" customHeight="1">
      <c r="A462" s="273"/>
      <c r="B462" s="273"/>
      <c r="C462" s="273"/>
      <c r="D462" s="273"/>
      <c r="E462" s="273"/>
      <c r="F462" s="275"/>
      <c r="G462" s="273"/>
      <c r="H462" s="273"/>
      <c r="I462" s="275"/>
      <c r="J462" s="273"/>
      <c r="K462" s="273"/>
      <c r="L462" s="273"/>
      <c r="M462" s="273"/>
      <c r="N462" s="273"/>
      <c r="O462" s="273"/>
      <c r="P462" s="275"/>
      <c r="Q462" s="273"/>
      <c r="R462" s="273"/>
      <c r="S462" s="273"/>
      <c r="T462" s="273"/>
      <c r="U462" s="273"/>
      <c r="V462" s="273"/>
      <c r="W462" s="273"/>
      <c r="X462" s="273"/>
      <c r="Y462" s="273"/>
      <c r="Z462" s="273"/>
      <c r="AA462" s="273"/>
      <c r="AB462" s="273"/>
      <c r="AC462" s="273"/>
    </row>
    <row r="463" ht="75.0" customHeight="1">
      <c r="A463" s="273"/>
      <c r="B463" s="273"/>
      <c r="C463" s="273"/>
      <c r="D463" s="273"/>
      <c r="E463" s="273"/>
      <c r="F463" s="275"/>
      <c r="G463" s="273"/>
      <c r="H463" s="273"/>
      <c r="I463" s="275"/>
      <c r="J463" s="273"/>
      <c r="K463" s="273"/>
      <c r="L463" s="273"/>
      <c r="M463" s="273"/>
      <c r="N463" s="273"/>
      <c r="O463" s="273"/>
      <c r="P463" s="275"/>
      <c r="Q463" s="273"/>
      <c r="R463" s="273"/>
      <c r="S463" s="273"/>
      <c r="T463" s="273"/>
      <c r="U463" s="273"/>
      <c r="V463" s="273"/>
      <c r="W463" s="273"/>
      <c r="X463" s="273"/>
      <c r="Y463" s="273"/>
      <c r="Z463" s="273"/>
      <c r="AA463" s="273"/>
      <c r="AB463" s="273"/>
      <c r="AC463" s="273"/>
    </row>
    <row r="464" ht="75.0" customHeight="1">
      <c r="A464" s="273"/>
      <c r="B464" s="273"/>
      <c r="C464" s="273"/>
      <c r="D464" s="273"/>
      <c r="E464" s="273"/>
      <c r="F464" s="275"/>
      <c r="G464" s="273"/>
      <c r="H464" s="273"/>
      <c r="I464" s="275"/>
      <c r="J464" s="273"/>
      <c r="K464" s="273"/>
      <c r="L464" s="273"/>
      <c r="M464" s="273"/>
      <c r="N464" s="273"/>
      <c r="O464" s="273"/>
      <c r="P464" s="275"/>
      <c r="Q464" s="273"/>
      <c r="R464" s="273"/>
      <c r="S464" s="273"/>
      <c r="T464" s="273"/>
      <c r="U464" s="273"/>
      <c r="V464" s="273"/>
      <c r="W464" s="273"/>
      <c r="X464" s="273"/>
      <c r="Y464" s="273"/>
      <c r="Z464" s="273"/>
      <c r="AA464" s="273"/>
      <c r="AB464" s="273"/>
      <c r="AC464" s="273"/>
    </row>
    <row r="465" ht="75.0" customHeight="1">
      <c r="A465" s="273"/>
      <c r="B465" s="273"/>
      <c r="C465" s="273"/>
      <c r="D465" s="273"/>
      <c r="E465" s="273"/>
      <c r="F465" s="275"/>
      <c r="G465" s="273"/>
      <c r="H465" s="273"/>
      <c r="I465" s="275"/>
      <c r="J465" s="273"/>
      <c r="K465" s="273"/>
      <c r="L465" s="273"/>
      <c r="M465" s="273"/>
      <c r="N465" s="273"/>
      <c r="O465" s="273"/>
      <c r="P465" s="275"/>
      <c r="Q465" s="273"/>
      <c r="R465" s="273"/>
      <c r="S465" s="273"/>
      <c r="T465" s="273"/>
      <c r="U465" s="273"/>
      <c r="V465" s="273"/>
      <c r="W465" s="273"/>
      <c r="X465" s="273"/>
      <c r="Y465" s="273"/>
      <c r="Z465" s="273"/>
      <c r="AA465" s="273"/>
      <c r="AB465" s="273"/>
      <c r="AC465" s="273"/>
    </row>
    <row r="466" ht="75.0" customHeight="1">
      <c r="A466" s="273"/>
      <c r="B466" s="273"/>
      <c r="C466" s="273"/>
      <c r="D466" s="273"/>
      <c r="E466" s="273"/>
      <c r="F466" s="275"/>
      <c r="G466" s="273"/>
      <c r="H466" s="273"/>
      <c r="I466" s="275"/>
      <c r="J466" s="273"/>
      <c r="K466" s="273"/>
      <c r="L466" s="273"/>
      <c r="M466" s="273"/>
      <c r="N466" s="273"/>
      <c r="O466" s="273"/>
      <c r="P466" s="275"/>
      <c r="Q466" s="273"/>
      <c r="R466" s="273"/>
      <c r="S466" s="273"/>
      <c r="T466" s="273"/>
      <c r="U466" s="273"/>
      <c r="V466" s="273"/>
      <c r="W466" s="273"/>
      <c r="X466" s="273"/>
      <c r="Y466" s="273"/>
      <c r="Z466" s="273"/>
      <c r="AA466" s="273"/>
      <c r="AB466" s="273"/>
      <c r="AC466" s="273"/>
    </row>
    <row r="467" ht="75.0" customHeight="1">
      <c r="A467" s="273"/>
      <c r="B467" s="273"/>
      <c r="C467" s="273"/>
      <c r="D467" s="273"/>
      <c r="E467" s="273"/>
      <c r="F467" s="275"/>
      <c r="G467" s="273"/>
      <c r="H467" s="273"/>
      <c r="I467" s="275"/>
      <c r="J467" s="273"/>
      <c r="K467" s="273"/>
      <c r="L467" s="273"/>
      <c r="M467" s="273"/>
      <c r="N467" s="273"/>
      <c r="O467" s="273"/>
      <c r="P467" s="275"/>
      <c r="Q467" s="273"/>
      <c r="R467" s="273"/>
      <c r="S467" s="273"/>
      <c r="T467" s="273"/>
      <c r="U467" s="273"/>
      <c r="V467" s="273"/>
      <c r="W467" s="273"/>
      <c r="X467" s="273"/>
      <c r="Y467" s="273"/>
      <c r="Z467" s="273"/>
      <c r="AA467" s="273"/>
      <c r="AB467" s="273"/>
      <c r="AC467" s="273"/>
    </row>
    <row r="468" ht="75.0" customHeight="1">
      <c r="A468" s="273"/>
      <c r="B468" s="273"/>
      <c r="C468" s="273"/>
      <c r="D468" s="273"/>
      <c r="E468" s="273"/>
      <c r="F468" s="275"/>
      <c r="G468" s="273"/>
      <c r="H468" s="273"/>
      <c r="I468" s="275"/>
      <c r="J468" s="273"/>
      <c r="K468" s="273"/>
      <c r="L468" s="273"/>
      <c r="M468" s="273"/>
      <c r="N468" s="273"/>
      <c r="O468" s="273"/>
      <c r="P468" s="275"/>
      <c r="Q468" s="273"/>
      <c r="R468" s="273"/>
      <c r="S468" s="273"/>
      <c r="T468" s="273"/>
      <c r="U468" s="273"/>
      <c r="V468" s="273"/>
      <c r="W468" s="273"/>
      <c r="X468" s="273"/>
      <c r="Y468" s="273"/>
      <c r="Z468" s="273"/>
      <c r="AA468" s="273"/>
      <c r="AB468" s="273"/>
      <c r="AC468" s="273"/>
    </row>
    <row r="469" ht="75.0" customHeight="1">
      <c r="A469" s="273"/>
      <c r="B469" s="273"/>
      <c r="C469" s="273"/>
      <c r="D469" s="273"/>
      <c r="E469" s="273"/>
      <c r="F469" s="275"/>
      <c r="G469" s="273"/>
      <c r="H469" s="273"/>
      <c r="I469" s="275"/>
      <c r="J469" s="273"/>
      <c r="K469" s="273"/>
      <c r="L469" s="273"/>
      <c r="M469" s="273"/>
      <c r="N469" s="273"/>
      <c r="O469" s="273"/>
      <c r="P469" s="275"/>
      <c r="Q469" s="273"/>
      <c r="R469" s="273"/>
      <c r="S469" s="273"/>
      <c r="T469" s="273"/>
      <c r="U469" s="273"/>
      <c r="V469" s="273"/>
      <c r="W469" s="273"/>
      <c r="X469" s="273"/>
      <c r="Y469" s="273"/>
      <c r="Z469" s="273"/>
      <c r="AA469" s="273"/>
      <c r="AB469" s="273"/>
      <c r="AC469" s="273"/>
    </row>
    <row r="470" ht="75.0" customHeight="1">
      <c r="A470" s="273"/>
      <c r="B470" s="273"/>
      <c r="C470" s="273"/>
      <c r="D470" s="273"/>
      <c r="E470" s="273"/>
      <c r="F470" s="275"/>
      <c r="G470" s="273"/>
      <c r="H470" s="273"/>
      <c r="I470" s="275"/>
      <c r="J470" s="273"/>
      <c r="K470" s="273"/>
      <c r="L470" s="273"/>
      <c r="M470" s="273"/>
      <c r="N470" s="273"/>
      <c r="O470" s="273"/>
      <c r="P470" s="275"/>
      <c r="Q470" s="273"/>
      <c r="R470" s="273"/>
      <c r="S470" s="273"/>
      <c r="T470" s="273"/>
      <c r="U470" s="273"/>
      <c r="V470" s="273"/>
      <c r="W470" s="273"/>
      <c r="X470" s="273"/>
      <c r="Y470" s="273"/>
      <c r="Z470" s="273"/>
      <c r="AA470" s="273"/>
      <c r="AB470" s="273"/>
      <c r="AC470" s="273"/>
    </row>
    <row r="471" ht="75.0" customHeight="1">
      <c r="A471" s="273"/>
      <c r="B471" s="273"/>
      <c r="C471" s="273"/>
      <c r="D471" s="273"/>
      <c r="E471" s="273"/>
      <c r="F471" s="275"/>
      <c r="G471" s="273"/>
      <c r="H471" s="273"/>
      <c r="I471" s="275"/>
      <c r="J471" s="273"/>
      <c r="K471" s="273"/>
      <c r="L471" s="273"/>
      <c r="M471" s="273"/>
      <c r="N471" s="273"/>
      <c r="O471" s="273"/>
      <c r="P471" s="275"/>
      <c r="Q471" s="273"/>
      <c r="R471" s="273"/>
      <c r="S471" s="273"/>
      <c r="T471" s="273"/>
      <c r="U471" s="273"/>
      <c r="V471" s="273"/>
      <c r="W471" s="273"/>
      <c r="X471" s="273"/>
      <c r="Y471" s="273"/>
      <c r="Z471" s="273"/>
      <c r="AA471" s="273"/>
      <c r="AB471" s="273"/>
      <c r="AC471" s="273"/>
    </row>
    <row r="472" ht="75.0" customHeight="1">
      <c r="A472" s="273"/>
      <c r="B472" s="273"/>
      <c r="C472" s="273"/>
      <c r="D472" s="273"/>
      <c r="E472" s="273"/>
      <c r="F472" s="275"/>
      <c r="G472" s="273"/>
      <c r="H472" s="273"/>
      <c r="I472" s="275"/>
      <c r="J472" s="273"/>
      <c r="K472" s="273"/>
      <c r="L472" s="273"/>
      <c r="M472" s="273"/>
      <c r="N472" s="273"/>
      <c r="O472" s="273"/>
      <c r="P472" s="275"/>
      <c r="Q472" s="273"/>
      <c r="R472" s="273"/>
      <c r="S472" s="273"/>
      <c r="T472" s="273"/>
      <c r="U472" s="273"/>
      <c r="V472" s="273"/>
      <c r="W472" s="273"/>
      <c r="X472" s="273"/>
      <c r="Y472" s="273"/>
      <c r="Z472" s="273"/>
      <c r="AA472" s="273"/>
      <c r="AB472" s="273"/>
      <c r="AC472" s="273"/>
    </row>
    <row r="473" ht="75.0" customHeight="1">
      <c r="A473" s="273"/>
      <c r="B473" s="273"/>
      <c r="C473" s="273"/>
      <c r="D473" s="273"/>
      <c r="E473" s="273"/>
      <c r="F473" s="275"/>
      <c r="G473" s="273"/>
      <c r="H473" s="273"/>
      <c r="I473" s="275"/>
      <c r="J473" s="273"/>
      <c r="K473" s="273"/>
      <c r="L473" s="273"/>
      <c r="M473" s="273"/>
      <c r="N473" s="273"/>
      <c r="O473" s="273"/>
      <c r="P473" s="275"/>
      <c r="Q473" s="273"/>
      <c r="R473" s="273"/>
      <c r="S473" s="273"/>
      <c r="T473" s="273"/>
      <c r="U473" s="273"/>
      <c r="V473" s="273"/>
      <c r="W473" s="273"/>
      <c r="X473" s="273"/>
      <c r="Y473" s="273"/>
      <c r="Z473" s="273"/>
      <c r="AA473" s="273"/>
      <c r="AB473" s="273"/>
      <c r="AC473" s="273"/>
    </row>
    <row r="474" ht="75.0" customHeight="1">
      <c r="A474" s="273"/>
      <c r="B474" s="273"/>
      <c r="C474" s="273"/>
      <c r="D474" s="273"/>
      <c r="E474" s="273"/>
      <c r="F474" s="275"/>
      <c r="G474" s="273"/>
      <c r="H474" s="273"/>
      <c r="I474" s="275"/>
      <c r="J474" s="273"/>
      <c r="K474" s="273"/>
      <c r="L474" s="273"/>
      <c r="M474" s="273"/>
      <c r="N474" s="273"/>
      <c r="O474" s="273"/>
      <c r="P474" s="275"/>
      <c r="Q474" s="273"/>
      <c r="R474" s="273"/>
      <c r="S474" s="273"/>
      <c r="T474" s="273"/>
      <c r="U474" s="273"/>
      <c r="V474" s="273"/>
      <c r="W474" s="273"/>
      <c r="X474" s="273"/>
      <c r="Y474" s="273"/>
      <c r="Z474" s="273"/>
      <c r="AA474" s="273"/>
      <c r="AB474" s="273"/>
      <c r="AC474" s="273"/>
    </row>
    <row r="475" ht="75.0" customHeight="1">
      <c r="A475" s="273"/>
      <c r="B475" s="273"/>
      <c r="C475" s="273"/>
      <c r="D475" s="273"/>
      <c r="E475" s="273"/>
      <c r="F475" s="275"/>
      <c r="G475" s="273"/>
      <c r="H475" s="273"/>
      <c r="I475" s="275"/>
      <c r="J475" s="273"/>
      <c r="K475" s="273"/>
      <c r="L475" s="273"/>
      <c r="M475" s="273"/>
      <c r="N475" s="273"/>
      <c r="O475" s="273"/>
      <c r="P475" s="275"/>
      <c r="Q475" s="273"/>
      <c r="R475" s="273"/>
      <c r="S475" s="273"/>
      <c r="T475" s="273"/>
      <c r="U475" s="273"/>
      <c r="V475" s="273"/>
      <c r="W475" s="273"/>
      <c r="X475" s="273"/>
      <c r="Y475" s="273"/>
      <c r="Z475" s="273"/>
      <c r="AA475" s="273"/>
      <c r="AB475" s="273"/>
      <c r="AC475" s="273"/>
    </row>
    <row r="476" ht="75.0" customHeight="1">
      <c r="A476" s="273"/>
      <c r="B476" s="273"/>
      <c r="C476" s="273"/>
      <c r="D476" s="273"/>
      <c r="E476" s="273"/>
      <c r="F476" s="275"/>
      <c r="G476" s="273"/>
      <c r="H476" s="273"/>
      <c r="I476" s="275"/>
      <c r="J476" s="273"/>
      <c r="K476" s="273"/>
      <c r="L476" s="273"/>
      <c r="M476" s="273"/>
      <c r="N476" s="273"/>
      <c r="O476" s="273"/>
      <c r="P476" s="275"/>
      <c r="Q476" s="273"/>
      <c r="R476" s="273"/>
      <c r="S476" s="273"/>
      <c r="T476" s="273"/>
      <c r="U476" s="273"/>
      <c r="V476" s="273"/>
      <c r="W476" s="273"/>
      <c r="X476" s="273"/>
      <c r="Y476" s="273"/>
      <c r="Z476" s="273"/>
      <c r="AA476" s="273"/>
      <c r="AB476" s="273"/>
      <c r="AC476" s="273"/>
    </row>
    <row r="477" ht="75.0" customHeight="1">
      <c r="A477" s="273"/>
      <c r="B477" s="273"/>
      <c r="C477" s="273"/>
      <c r="D477" s="273"/>
      <c r="E477" s="273"/>
      <c r="F477" s="275"/>
      <c r="G477" s="273"/>
      <c r="H477" s="273"/>
      <c r="I477" s="275"/>
      <c r="J477" s="273"/>
      <c r="K477" s="273"/>
      <c r="L477" s="273"/>
      <c r="M477" s="273"/>
      <c r="N477" s="273"/>
      <c r="O477" s="273"/>
      <c r="P477" s="275"/>
      <c r="Q477" s="273"/>
      <c r="R477" s="273"/>
      <c r="S477" s="273"/>
      <c r="T477" s="273"/>
      <c r="U477" s="273"/>
      <c r="V477" s="273"/>
      <c r="W477" s="273"/>
      <c r="X477" s="273"/>
      <c r="Y477" s="273"/>
      <c r="Z477" s="273"/>
      <c r="AA477" s="273"/>
      <c r="AB477" s="273"/>
      <c r="AC477" s="273"/>
    </row>
    <row r="478" ht="75.0" customHeight="1">
      <c r="A478" s="273"/>
      <c r="B478" s="273"/>
      <c r="C478" s="273"/>
      <c r="D478" s="273"/>
      <c r="E478" s="273"/>
      <c r="F478" s="275"/>
      <c r="G478" s="273"/>
      <c r="H478" s="273"/>
      <c r="I478" s="275"/>
      <c r="J478" s="273"/>
      <c r="K478" s="273"/>
      <c r="L478" s="273"/>
      <c r="M478" s="273"/>
      <c r="N478" s="273"/>
      <c r="O478" s="273"/>
      <c r="P478" s="275"/>
      <c r="Q478" s="273"/>
      <c r="R478" s="273"/>
      <c r="S478" s="273"/>
      <c r="T478" s="273"/>
      <c r="U478" s="273"/>
      <c r="V478" s="273"/>
      <c r="W478" s="273"/>
      <c r="X478" s="273"/>
      <c r="Y478" s="273"/>
      <c r="Z478" s="273"/>
      <c r="AA478" s="273"/>
      <c r="AB478" s="273"/>
      <c r="AC478" s="273"/>
    </row>
    <row r="479" ht="75.0" customHeight="1">
      <c r="A479" s="273"/>
      <c r="B479" s="273"/>
      <c r="C479" s="273"/>
      <c r="D479" s="273"/>
      <c r="E479" s="273"/>
      <c r="F479" s="275"/>
      <c r="G479" s="273"/>
      <c r="H479" s="273"/>
      <c r="I479" s="275"/>
      <c r="J479" s="273"/>
      <c r="K479" s="273"/>
      <c r="L479" s="273"/>
      <c r="M479" s="273"/>
      <c r="N479" s="273"/>
      <c r="O479" s="273"/>
      <c r="P479" s="275"/>
      <c r="Q479" s="273"/>
      <c r="R479" s="273"/>
      <c r="S479" s="273"/>
      <c r="T479" s="273"/>
      <c r="U479" s="273"/>
      <c r="V479" s="273"/>
      <c r="W479" s="273"/>
      <c r="X479" s="273"/>
      <c r="Y479" s="273"/>
      <c r="Z479" s="273"/>
      <c r="AA479" s="273"/>
      <c r="AB479" s="273"/>
      <c r="AC479" s="273"/>
    </row>
    <row r="480" ht="75.0" customHeight="1">
      <c r="A480" s="273"/>
      <c r="B480" s="273"/>
      <c r="C480" s="273"/>
      <c r="D480" s="273"/>
      <c r="E480" s="273"/>
      <c r="F480" s="275"/>
      <c r="G480" s="273"/>
      <c r="H480" s="273"/>
      <c r="I480" s="275"/>
      <c r="J480" s="273"/>
      <c r="K480" s="273"/>
      <c r="L480" s="273"/>
      <c r="M480" s="273"/>
      <c r="N480" s="273"/>
      <c r="O480" s="273"/>
      <c r="P480" s="275"/>
      <c r="Q480" s="273"/>
      <c r="R480" s="273"/>
      <c r="S480" s="273"/>
      <c r="T480" s="273"/>
      <c r="U480" s="273"/>
      <c r="V480" s="273"/>
      <c r="W480" s="273"/>
      <c r="X480" s="273"/>
      <c r="Y480" s="273"/>
      <c r="Z480" s="273"/>
      <c r="AA480" s="273"/>
      <c r="AB480" s="273"/>
      <c r="AC480" s="273"/>
    </row>
    <row r="481" ht="75.0" customHeight="1">
      <c r="A481" s="273"/>
      <c r="B481" s="273"/>
      <c r="C481" s="273"/>
      <c r="D481" s="273"/>
      <c r="E481" s="273"/>
      <c r="F481" s="275"/>
      <c r="G481" s="273"/>
      <c r="H481" s="273"/>
      <c r="I481" s="275"/>
      <c r="J481" s="273"/>
      <c r="K481" s="273"/>
      <c r="L481" s="273"/>
      <c r="M481" s="273"/>
      <c r="N481" s="273"/>
      <c r="O481" s="273"/>
      <c r="P481" s="275"/>
      <c r="Q481" s="273"/>
      <c r="R481" s="273"/>
      <c r="S481" s="273"/>
      <c r="T481" s="273"/>
      <c r="U481" s="273"/>
      <c r="V481" s="273"/>
      <c r="W481" s="273"/>
      <c r="X481" s="273"/>
      <c r="Y481" s="273"/>
      <c r="Z481" s="273"/>
      <c r="AA481" s="273"/>
      <c r="AB481" s="273"/>
      <c r="AC481" s="273"/>
    </row>
    <row r="482" ht="75.0" customHeight="1">
      <c r="A482" s="273"/>
      <c r="B482" s="273"/>
      <c r="C482" s="273"/>
      <c r="D482" s="273"/>
      <c r="E482" s="273"/>
      <c r="F482" s="275"/>
      <c r="G482" s="273"/>
      <c r="H482" s="273"/>
      <c r="I482" s="275"/>
      <c r="J482" s="273"/>
      <c r="K482" s="273"/>
      <c r="L482" s="273"/>
      <c r="M482" s="273"/>
      <c r="N482" s="273"/>
      <c r="O482" s="273"/>
      <c r="P482" s="275"/>
      <c r="Q482" s="273"/>
      <c r="R482" s="273"/>
      <c r="S482" s="273"/>
      <c r="T482" s="273"/>
      <c r="U482" s="273"/>
      <c r="V482" s="273"/>
      <c r="W482" s="273"/>
      <c r="X482" s="273"/>
      <c r="Y482" s="273"/>
      <c r="Z482" s="273"/>
      <c r="AA482" s="273"/>
      <c r="AB482" s="273"/>
      <c r="AC482" s="273"/>
    </row>
    <row r="483" ht="75.0" customHeight="1">
      <c r="A483" s="273"/>
      <c r="B483" s="273"/>
      <c r="C483" s="273"/>
      <c r="D483" s="273"/>
      <c r="E483" s="273"/>
      <c r="F483" s="275"/>
      <c r="G483" s="273"/>
      <c r="H483" s="273"/>
      <c r="I483" s="275"/>
      <c r="J483" s="273"/>
      <c r="K483" s="273"/>
      <c r="L483" s="273"/>
      <c r="M483" s="273"/>
      <c r="N483" s="273"/>
      <c r="O483" s="273"/>
      <c r="P483" s="275"/>
      <c r="Q483" s="273"/>
      <c r="R483" s="273"/>
      <c r="S483" s="273"/>
      <c r="T483" s="273"/>
      <c r="U483" s="273"/>
      <c r="V483" s="273"/>
      <c r="W483" s="273"/>
      <c r="X483" s="273"/>
      <c r="Y483" s="273"/>
      <c r="Z483" s="273"/>
      <c r="AA483" s="273"/>
      <c r="AB483" s="273"/>
      <c r="AC483" s="273"/>
    </row>
    <row r="484" ht="75.0" customHeight="1">
      <c r="A484" s="273"/>
      <c r="B484" s="273"/>
      <c r="C484" s="273"/>
      <c r="D484" s="273"/>
      <c r="E484" s="273"/>
      <c r="F484" s="275"/>
      <c r="G484" s="273"/>
      <c r="H484" s="273"/>
      <c r="I484" s="275"/>
      <c r="J484" s="273"/>
      <c r="K484" s="273"/>
      <c r="L484" s="273"/>
      <c r="M484" s="273"/>
      <c r="N484" s="273"/>
      <c r="O484" s="273"/>
      <c r="P484" s="275"/>
      <c r="Q484" s="273"/>
      <c r="R484" s="273"/>
      <c r="S484" s="273"/>
      <c r="T484" s="273"/>
      <c r="U484" s="273"/>
      <c r="V484" s="273"/>
      <c r="W484" s="273"/>
      <c r="X484" s="273"/>
      <c r="Y484" s="273"/>
      <c r="Z484" s="273"/>
      <c r="AA484" s="273"/>
      <c r="AB484" s="273"/>
      <c r="AC484" s="273"/>
    </row>
    <row r="485" ht="75.0" customHeight="1">
      <c r="A485" s="273"/>
      <c r="B485" s="273"/>
      <c r="C485" s="273"/>
      <c r="D485" s="273"/>
      <c r="E485" s="273"/>
      <c r="F485" s="275"/>
      <c r="G485" s="273"/>
      <c r="H485" s="273"/>
      <c r="I485" s="275"/>
      <c r="J485" s="273"/>
      <c r="K485" s="273"/>
      <c r="L485" s="273"/>
      <c r="M485" s="273"/>
      <c r="N485" s="273"/>
      <c r="O485" s="273"/>
      <c r="P485" s="275"/>
      <c r="Q485" s="273"/>
      <c r="R485" s="273"/>
      <c r="S485" s="273"/>
      <c r="T485" s="273"/>
      <c r="U485" s="273"/>
      <c r="V485" s="273"/>
      <c r="W485" s="273"/>
      <c r="X485" s="273"/>
      <c r="Y485" s="273"/>
      <c r="Z485" s="273"/>
      <c r="AA485" s="273"/>
      <c r="AB485" s="273"/>
      <c r="AC485" s="273"/>
    </row>
    <row r="486" ht="75.0" customHeight="1">
      <c r="A486" s="273"/>
      <c r="B486" s="273"/>
      <c r="C486" s="273"/>
      <c r="D486" s="273"/>
      <c r="E486" s="273"/>
      <c r="F486" s="275"/>
      <c r="G486" s="273"/>
      <c r="H486" s="273"/>
      <c r="I486" s="275"/>
      <c r="J486" s="273"/>
      <c r="K486" s="273"/>
      <c r="L486" s="273"/>
      <c r="M486" s="273"/>
      <c r="N486" s="273"/>
      <c r="O486" s="273"/>
      <c r="P486" s="275"/>
      <c r="Q486" s="273"/>
      <c r="R486" s="273"/>
      <c r="S486" s="273"/>
      <c r="T486" s="273"/>
      <c r="U486" s="273"/>
      <c r="V486" s="273"/>
      <c r="W486" s="273"/>
      <c r="X486" s="273"/>
      <c r="Y486" s="273"/>
      <c r="Z486" s="273"/>
      <c r="AA486" s="273"/>
      <c r="AB486" s="273"/>
      <c r="AC486" s="273"/>
    </row>
    <row r="487" ht="75.0" customHeight="1">
      <c r="A487" s="273"/>
      <c r="B487" s="273"/>
      <c r="C487" s="273"/>
      <c r="D487" s="273"/>
      <c r="E487" s="273"/>
      <c r="F487" s="275"/>
      <c r="G487" s="273"/>
      <c r="H487" s="273"/>
      <c r="I487" s="275"/>
      <c r="J487" s="273"/>
      <c r="K487" s="273"/>
      <c r="L487" s="273"/>
      <c r="M487" s="273"/>
      <c r="N487" s="273"/>
      <c r="O487" s="273"/>
      <c r="P487" s="275"/>
      <c r="Q487" s="273"/>
      <c r="R487" s="273"/>
      <c r="S487" s="273"/>
      <c r="T487" s="273"/>
      <c r="U487" s="273"/>
      <c r="V487" s="273"/>
      <c r="W487" s="273"/>
      <c r="X487" s="273"/>
      <c r="Y487" s="273"/>
      <c r="Z487" s="273"/>
      <c r="AA487" s="273"/>
      <c r="AB487" s="273"/>
      <c r="AC487" s="273"/>
    </row>
    <row r="488" ht="75.0" customHeight="1">
      <c r="A488" s="273"/>
      <c r="B488" s="273"/>
      <c r="C488" s="273"/>
      <c r="D488" s="273"/>
      <c r="E488" s="273"/>
      <c r="F488" s="275"/>
      <c r="G488" s="273"/>
      <c r="H488" s="273"/>
      <c r="I488" s="275"/>
      <c r="J488" s="273"/>
      <c r="K488" s="273"/>
      <c r="L488" s="273"/>
      <c r="M488" s="273"/>
      <c r="N488" s="273"/>
      <c r="O488" s="273"/>
      <c r="P488" s="275"/>
      <c r="Q488" s="273"/>
      <c r="R488" s="273"/>
      <c r="S488" s="273"/>
      <c r="T488" s="273"/>
      <c r="U488" s="273"/>
      <c r="V488" s="273"/>
      <c r="W488" s="273"/>
      <c r="X488" s="273"/>
      <c r="Y488" s="273"/>
      <c r="Z488" s="273"/>
      <c r="AA488" s="273"/>
      <c r="AB488" s="273"/>
      <c r="AC488" s="273"/>
    </row>
    <row r="489" ht="75.0" customHeight="1">
      <c r="A489" s="273"/>
      <c r="B489" s="273"/>
      <c r="C489" s="273"/>
      <c r="D489" s="273"/>
      <c r="E489" s="273"/>
      <c r="F489" s="275"/>
      <c r="G489" s="273"/>
      <c r="H489" s="273"/>
      <c r="I489" s="275"/>
      <c r="J489" s="273"/>
      <c r="K489" s="273"/>
      <c r="L489" s="273"/>
      <c r="M489" s="273"/>
      <c r="N489" s="273"/>
      <c r="O489" s="273"/>
      <c r="P489" s="275"/>
      <c r="Q489" s="273"/>
      <c r="R489" s="273"/>
      <c r="S489" s="273"/>
      <c r="T489" s="273"/>
      <c r="U489" s="273"/>
      <c r="V489" s="273"/>
      <c r="W489" s="273"/>
      <c r="X489" s="273"/>
      <c r="Y489" s="273"/>
      <c r="Z489" s="273"/>
      <c r="AA489" s="273"/>
      <c r="AB489" s="273"/>
      <c r="AC489" s="273"/>
    </row>
    <row r="490" ht="75.0" customHeight="1">
      <c r="A490" s="273"/>
      <c r="B490" s="273"/>
      <c r="C490" s="273"/>
      <c r="D490" s="273"/>
      <c r="E490" s="273"/>
      <c r="F490" s="275"/>
      <c r="G490" s="273"/>
      <c r="H490" s="273"/>
      <c r="I490" s="275"/>
      <c r="J490" s="273"/>
      <c r="K490" s="273"/>
      <c r="L490" s="273"/>
      <c r="M490" s="273"/>
      <c r="N490" s="273"/>
      <c r="O490" s="273"/>
      <c r="P490" s="275"/>
      <c r="Q490" s="273"/>
      <c r="R490" s="273"/>
      <c r="S490" s="273"/>
      <c r="T490" s="273"/>
      <c r="U490" s="273"/>
      <c r="V490" s="273"/>
      <c r="W490" s="273"/>
      <c r="X490" s="273"/>
      <c r="Y490" s="273"/>
      <c r="Z490" s="273"/>
      <c r="AA490" s="273"/>
      <c r="AB490" s="273"/>
      <c r="AC490" s="273"/>
    </row>
    <row r="491" ht="75.0" customHeight="1">
      <c r="A491" s="273"/>
      <c r="B491" s="273"/>
      <c r="C491" s="273"/>
      <c r="D491" s="273"/>
      <c r="E491" s="273"/>
      <c r="F491" s="275"/>
      <c r="G491" s="273"/>
      <c r="H491" s="273"/>
      <c r="I491" s="275"/>
      <c r="J491" s="273"/>
      <c r="K491" s="273"/>
      <c r="L491" s="273"/>
      <c r="M491" s="273"/>
      <c r="N491" s="273"/>
      <c r="O491" s="273"/>
      <c r="P491" s="275"/>
      <c r="Q491" s="273"/>
      <c r="R491" s="273"/>
      <c r="S491" s="273"/>
      <c r="T491" s="273"/>
      <c r="U491" s="273"/>
      <c r="V491" s="273"/>
      <c r="W491" s="273"/>
      <c r="X491" s="273"/>
      <c r="Y491" s="273"/>
      <c r="Z491" s="273"/>
      <c r="AA491" s="273"/>
      <c r="AB491" s="273"/>
      <c r="AC491" s="273"/>
    </row>
    <row r="492" ht="75.0" customHeight="1">
      <c r="A492" s="273"/>
      <c r="B492" s="273"/>
      <c r="C492" s="273"/>
      <c r="D492" s="273"/>
      <c r="E492" s="273"/>
      <c r="F492" s="275"/>
      <c r="G492" s="273"/>
      <c r="H492" s="273"/>
      <c r="I492" s="275"/>
      <c r="J492" s="273"/>
      <c r="K492" s="273"/>
      <c r="L492" s="273"/>
      <c r="M492" s="273"/>
      <c r="N492" s="273"/>
      <c r="O492" s="273"/>
      <c r="P492" s="275"/>
      <c r="Q492" s="273"/>
      <c r="R492" s="273"/>
      <c r="S492" s="273"/>
      <c r="T492" s="273"/>
      <c r="U492" s="273"/>
      <c r="V492" s="273"/>
      <c r="W492" s="273"/>
      <c r="X492" s="273"/>
      <c r="Y492" s="273"/>
      <c r="Z492" s="273"/>
      <c r="AA492" s="273"/>
      <c r="AB492" s="273"/>
      <c r="AC492" s="273"/>
    </row>
    <row r="493" ht="75.0" customHeight="1">
      <c r="A493" s="273"/>
      <c r="B493" s="273"/>
      <c r="C493" s="273"/>
      <c r="D493" s="273"/>
      <c r="E493" s="273"/>
      <c r="F493" s="275"/>
      <c r="G493" s="273"/>
      <c r="H493" s="273"/>
      <c r="I493" s="275"/>
      <c r="J493" s="273"/>
      <c r="K493" s="273"/>
      <c r="L493" s="273"/>
      <c r="M493" s="273"/>
      <c r="N493" s="273"/>
      <c r="O493" s="273"/>
      <c r="P493" s="275"/>
      <c r="Q493" s="273"/>
      <c r="R493" s="273"/>
      <c r="S493" s="273"/>
      <c r="T493" s="273"/>
      <c r="U493" s="273"/>
      <c r="V493" s="273"/>
      <c r="W493" s="273"/>
      <c r="X493" s="273"/>
      <c r="Y493" s="273"/>
      <c r="Z493" s="273"/>
      <c r="AA493" s="273"/>
      <c r="AB493" s="273"/>
      <c r="AC493" s="273"/>
    </row>
    <row r="494" ht="75.0" customHeight="1">
      <c r="A494" s="273"/>
      <c r="B494" s="273"/>
      <c r="C494" s="273"/>
      <c r="D494" s="273"/>
      <c r="E494" s="273"/>
      <c r="F494" s="275"/>
      <c r="G494" s="273"/>
      <c r="H494" s="273"/>
      <c r="I494" s="275"/>
      <c r="J494" s="273"/>
      <c r="K494" s="273"/>
      <c r="L494" s="273"/>
      <c r="M494" s="273"/>
      <c r="N494" s="273"/>
      <c r="O494" s="273"/>
      <c r="P494" s="275"/>
      <c r="Q494" s="273"/>
      <c r="R494" s="273"/>
      <c r="S494" s="273"/>
      <c r="T494" s="273"/>
      <c r="U494" s="273"/>
      <c r="V494" s="273"/>
      <c r="W494" s="273"/>
      <c r="X494" s="273"/>
      <c r="Y494" s="273"/>
      <c r="Z494" s="273"/>
      <c r="AA494" s="273"/>
      <c r="AB494" s="273"/>
      <c r="AC494" s="273"/>
    </row>
    <row r="495" ht="75.0" customHeight="1">
      <c r="A495" s="273"/>
      <c r="B495" s="273"/>
      <c r="C495" s="273"/>
      <c r="D495" s="273"/>
      <c r="E495" s="273"/>
      <c r="F495" s="275"/>
      <c r="G495" s="273"/>
      <c r="H495" s="273"/>
      <c r="I495" s="275"/>
      <c r="J495" s="273"/>
      <c r="K495" s="273"/>
      <c r="L495" s="273"/>
      <c r="M495" s="273"/>
      <c r="N495" s="273"/>
      <c r="O495" s="273"/>
      <c r="P495" s="275"/>
      <c r="Q495" s="273"/>
      <c r="R495" s="273"/>
      <c r="S495" s="273"/>
      <c r="T495" s="273"/>
      <c r="U495" s="273"/>
      <c r="V495" s="273"/>
      <c r="W495" s="273"/>
      <c r="X495" s="273"/>
      <c r="Y495" s="273"/>
      <c r="Z495" s="273"/>
      <c r="AA495" s="273"/>
      <c r="AB495" s="273"/>
      <c r="AC495" s="273"/>
    </row>
    <row r="496" ht="75.0" customHeight="1">
      <c r="A496" s="273"/>
      <c r="B496" s="273"/>
      <c r="C496" s="273"/>
      <c r="D496" s="273"/>
      <c r="E496" s="273"/>
      <c r="F496" s="275"/>
      <c r="G496" s="273"/>
      <c r="H496" s="273"/>
      <c r="I496" s="275"/>
      <c r="J496" s="273"/>
      <c r="K496" s="273"/>
      <c r="L496" s="273"/>
      <c r="M496" s="273"/>
      <c r="N496" s="273"/>
      <c r="O496" s="273"/>
      <c r="P496" s="275"/>
      <c r="Q496" s="273"/>
      <c r="R496" s="273"/>
      <c r="S496" s="273"/>
      <c r="T496" s="273"/>
      <c r="U496" s="273"/>
      <c r="V496" s="273"/>
      <c r="W496" s="273"/>
      <c r="X496" s="273"/>
      <c r="Y496" s="273"/>
      <c r="Z496" s="273"/>
      <c r="AA496" s="273"/>
      <c r="AB496" s="273"/>
      <c r="AC496" s="273"/>
    </row>
    <row r="497" ht="75.0" customHeight="1">
      <c r="A497" s="273"/>
      <c r="B497" s="273"/>
      <c r="C497" s="273"/>
      <c r="D497" s="273"/>
      <c r="E497" s="273"/>
      <c r="F497" s="275"/>
      <c r="G497" s="273"/>
      <c r="H497" s="273"/>
      <c r="I497" s="275"/>
      <c r="J497" s="273"/>
      <c r="K497" s="273"/>
      <c r="L497" s="273"/>
      <c r="M497" s="273"/>
      <c r="N497" s="273"/>
      <c r="O497" s="273"/>
      <c r="P497" s="275"/>
      <c r="Q497" s="273"/>
      <c r="R497" s="273"/>
      <c r="S497" s="273"/>
      <c r="T497" s="273"/>
      <c r="U497" s="273"/>
      <c r="V497" s="273"/>
      <c r="W497" s="273"/>
      <c r="X497" s="273"/>
      <c r="Y497" s="273"/>
      <c r="Z497" s="273"/>
      <c r="AA497" s="273"/>
      <c r="AB497" s="273"/>
      <c r="AC497" s="273"/>
    </row>
    <row r="498" ht="75.0" customHeight="1">
      <c r="A498" s="273"/>
      <c r="B498" s="273"/>
      <c r="C498" s="273"/>
      <c r="D498" s="273"/>
      <c r="E498" s="273"/>
      <c r="F498" s="275"/>
      <c r="G498" s="273"/>
      <c r="H498" s="273"/>
      <c r="I498" s="275"/>
      <c r="J498" s="273"/>
      <c r="K498" s="273"/>
      <c r="L498" s="273"/>
      <c r="M498" s="273"/>
      <c r="N498" s="273"/>
      <c r="O498" s="273"/>
      <c r="P498" s="275"/>
      <c r="Q498" s="273"/>
      <c r="R498" s="273"/>
      <c r="S498" s="273"/>
      <c r="T498" s="273"/>
      <c r="U498" s="273"/>
      <c r="V498" s="273"/>
      <c r="W498" s="273"/>
      <c r="X498" s="273"/>
      <c r="Y498" s="273"/>
      <c r="Z498" s="273"/>
      <c r="AA498" s="273"/>
      <c r="AB498" s="273"/>
      <c r="AC498" s="273"/>
    </row>
    <row r="499" ht="75.0" customHeight="1">
      <c r="A499" s="273"/>
      <c r="B499" s="273"/>
      <c r="C499" s="273"/>
      <c r="D499" s="273"/>
      <c r="E499" s="273"/>
      <c r="F499" s="275"/>
      <c r="G499" s="273"/>
      <c r="H499" s="273"/>
      <c r="I499" s="275"/>
      <c r="J499" s="273"/>
      <c r="K499" s="273"/>
      <c r="L499" s="273"/>
      <c r="M499" s="273"/>
      <c r="N499" s="273"/>
      <c r="O499" s="273"/>
      <c r="P499" s="275"/>
      <c r="Q499" s="273"/>
      <c r="R499" s="273"/>
      <c r="S499" s="273"/>
      <c r="T499" s="273"/>
      <c r="U499" s="273"/>
      <c r="V499" s="273"/>
      <c r="W499" s="273"/>
      <c r="X499" s="273"/>
      <c r="Y499" s="273"/>
      <c r="Z499" s="273"/>
      <c r="AA499" s="273"/>
      <c r="AB499" s="273"/>
      <c r="AC499" s="273"/>
    </row>
    <row r="500" ht="75.0" customHeight="1">
      <c r="A500" s="273"/>
      <c r="B500" s="273"/>
      <c r="C500" s="273"/>
      <c r="D500" s="273"/>
      <c r="E500" s="273"/>
      <c r="F500" s="275"/>
      <c r="G500" s="273"/>
      <c r="H500" s="273"/>
      <c r="I500" s="275"/>
      <c r="J500" s="273"/>
      <c r="K500" s="273"/>
      <c r="L500" s="273"/>
      <c r="M500" s="273"/>
      <c r="N500" s="273"/>
      <c r="O500" s="273"/>
      <c r="P500" s="275"/>
      <c r="Q500" s="273"/>
      <c r="R500" s="273"/>
      <c r="S500" s="273"/>
      <c r="T500" s="273"/>
      <c r="U500" s="273"/>
      <c r="V500" s="273"/>
      <c r="W500" s="273"/>
      <c r="X500" s="273"/>
      <c r="Y500" s="273"/>
      <c r="Z500" s="273"/>
      <c r="AA500" s="273"/>
      <c r="AB500" s="273"/>
      <c r="AC500" s="273"/>
    </row>
    <row r="501" ht="75.0" customHeight="1">
      <c r="A501" s="273"/>
      <c r="B501" s="273"/>
      <c r="C501" s="273"/>
      <c r="D501" s="273"/>
      <c r="E501" s="273"/>
      <c r="F501" s="275"/>
      <c r="G501" s="273"/>
      <c r="H501" s="273"/>
      <c r="I501" s="275"/>
      <c r="J501" s="273"/>
      <c r="K501" s="273"/>
      <c r="L501" s="273"/>
      <c r="M501" s="273"/>
      <c r="N501" s="273"/>
      <c r="O501" s="273"/>
      <c r="P501" s="275"/>
      <c r="Q501" s="273"/>
      <c r="R501" s="273"/>
      <c r="S501" s="273"/>
      <c r="T501" s="273"/>
      <c r="U501" s="273"/>
      <c r="V501" s="273"/>
      <c r="W501" s="273"/>
      <c r="X501" s="273"/>
      <c r="Y501" s="273"/>
      <c r="Z501" s="273"/>
      <c r="AA501" s="273"/>
      <c r="AB501" s="273"/>
      <c r="AC501" s="273"/>
    </row>
    <row r="502" ht="75.0" customHeight="1">
      <c r="A502" s="273"/>
      <c r="B502" s="273"/>
      <c r="C502" s="273"/>
      <c r="D502" s="273"/>
      <c r="E502" s="273"/>
      <c r="F502" s="275"/>
      <c r="G502" s="273"/>
      <c r="H502" s="273"/>
      <c r="I502" s="275"/>
      <c r="J502" s="273"/>
      <c r="K502" s="273"/>
      <c r="L502" s="273"/>
      <c r="M502" s="273"/>
      <c r="N502" s="273"/>
      <c r="O502" s="273"/>
      <c r="P502" s="275"/>
      <c r="Q502" s="273"/>
      <c r="R502" s="273"/>
      <c r="S502" s="273"/>
      <c r="T502" s="273"/>
      <c r="U502" s="273"/>
      <c r="V502" s="273"/>
      <c r="W502" s="273"/>
      <c r="X502" s="273"/>
      <c r="Y502" s="273"/>
      <c r="Z502" s="273"/>
      <c r="AA502" s="273"/>
      <c r="AB502" s="273"/>
      <c r="AC502" s="273"/>
    </row>
    <row r="503" ht="75.0" customHeight="1">
      <c r="A503" s="273"/>
      <c r="B503" s="273"/>
      <c r="C503" s="273"/>
      <c r="D503" s="273"/>
      <c r="E503" s="273"/>
      <c r="F503" s="275"/>
      <c r="G503" s="273"/>
      <c r="H503" s="273"/>
      <c r="I503" s="275"/>
      <c r="J503" s="273"/>
      <c r="K503" s="273"/>
      <c r="L503" s="273"/>
      <c r="M503" s="273"/>
      <c r="N503" s="273"/>
      <c r="O503" s="273"/>
      <c r="P503" s="275"/>
      <c r="Q503" s="273"/>
      <c r="R503" s="273"/>
      <c r="S503" s="273"/>
      <c r="T503" s="273"/>
      <c r="U503" s="273"/>
      <c r="V503" s="273"/>
      <c r="W503" s="273"/>
      <c r="X503" s="273"/>
      <c r="Y503" s="273"/>
      <c r="Z503" s="273"/>
      <c r="AA503" s="273"/>
      <c r="AB503" s="273"/>
      <c r="AC503" s="273"/>
    </row>
    <row r="504" ht="75.0" customHeight="1">
      <c r="A504" s="273"/>
      <c r="B504" s="273"/>
      <c r="C504" s="273"/>
      <c r="D504" s="273"/>
      <c r="E504" s="273"/>
      <c r="F504" s="275"/>
      <c r="G504" s="273"/>
      <c r="H504" s="273"/>
      <c r="I504" s="275"/>
      <c r="J504" s="273"/>
      <c r="K504" s="273"/>
      <c r="L504" s="273"/>
      <c r="M504" s="273"/>
      <c r="N504" s="273"/>
      <c r="O504" s="273"/>
      <c r="P504" s="275"/>
      <c r="Q504" s="273"/>
      <c r="R504" s="273"/>
      <c r="S504" s="273"/>
      <c r="T504" s="273"/>
      <c r="U504" s="273"/>
      <c r="V504" s="273"/>
      <c r="W504" s="273"/>
      <c r="X504" s="273"/>
      <c r="Y504" s="273"/>
      <c r="Z504" s="273"/>
      <c r="AA504" s="273"/>
      <c r="AB504" s="273"/>
      <c r="AC504" s="273"/>
    </row>
    <row r="505" ht="75.0" customHeight="1">
      <c r="A505" s="273"/>
      <c r="B505" s="273"/>
      <c r="C505" s="273"/>
      <c r="D505" s="273"/>
      <c r="E505" s="273"/>
      <c r="F505" s="275"/>
      <c r="G505" s="273"/>
      <c r="H505" s="273"/>
      <c r="I505" s="275"/>
      <c r="J505" s="273"/>
      <c r="K505" s="273"/>
      <c r="L505" s="273"/>
      <c r="M505" s="273"/>
      <c r="N505" s="273"/>
      <c r="O505" s="273"/>
      <c r="P505" s="275"/>
      <c r="Q505" s="273"/>
      <c r="R505" s="273"/>
      <c r="S505" s="273"/>
      <c r="T505" s="273"/>
      <c r="U505" s="273"/>
      <c r="V505" s="273"/>
      <c r="W505" s="273"/>
      <c r="X505" s="273"/>
      <c r="Y505" s="273"/>
      <c r="Z505" s="273"/>
      <c r="AA505" s="273"/>
      <c r="AB505" s="273"/>
      <c r="AC505" s="273"/>
    </row>
    <row r="506" ht="75.0" customHeight="1">
      <c r="A506" s="273"/>
      <c r="B506" s="273"/>
      <c r="C506" s="273"/>
      <c r="D506" s="273"/>
      <c r="E506" s="273"/>
      <c r="F506" s="275"/>
      <c r="G506" s="273"/>
      <c r="H506" s="273"/>
      <c r="I506" s="275"/>
      <c r="J506" s="273"/>
      <c r="K506" s="273"/>
      <c r="L506" s="273"/>
      <c r="M506" s="273"/>
      <c r="N506" s="273"/>
      <c r="O506" s="273"/>
      <c r="P506" s="275"/>
      <c r="Q506" s="273"/>
      <c r="R506" s="273"/>
      <c r="S506" s="273"/>
      <c r="T506" s="273"/>
      <c r="U506" s="273"/>
      <c r="V506" s="273"/>
      <c r="W506" s="273"/>
      <c r="X506" s="273"/>
      <c r="Y506" s="273"/>
      <c r="Z506" s="273"/>
      <c r="AA506" s="273"/>
      <c r="AB506" s="273"/>
      <c r="AC506" s="273"/>
    </row>
    <row r="507" ht="75.0" customHeight="1">
      <c r="A507" s="273"/>
      <c r="B507" s="273"/>
      <c r="C507" s="273"/>
      <c r="D507" s="273"/>
      <c r="E507" s="273"/>
      <c r="F507" s="275"/>
      <c r="G507" s="273"/>
      <c r="H507" s="273"/>
      <c r="I507" s="275"/>
      <c r="J507" s="273"/>
      <c r="K507" s="273"/>
      <c r="L507" s="273"/>
      <c r="M507" s="273"/>
      <c r="N507" s="273"/>
      <c r="O507" s="273"/>
      <c r="P507" s="275"/>
      <c r="Q507" s="273"/>
      <c r="R507" s="273"/>
      <c r="S507" s="273"/>
      <c r="T507" s="273"/>
      <c r="U507" s="273"/>
      <c r="V507" s="273"/>
      <c r="W507" s="273"/>
      <c r="X507" s="273"/>
      <c r="Y507" s="273"/>
      <c r="Z507" s="273"/>
      <c r="AA507" s="273"/>
      <c r="AB507" s="273"/>
      <c r="AC507" s="273"/>
    </row>
    <row r="508" ht="75.0" customHeight="1">
      <c r="A508" s="273"/>
      <c r="B508" s="273"/>
      <c r="C508" s="273"/>
      <c r="D508" s="273"/>
      <c r="E508" s="273"/>
      <c r="F508" s="275"/>
      <c r="G508" s="273"/>
      <c r="H508" s="273"/>
      <c r="I508" s="275"/>
      <c r="J508" s="273"/>
      <c r="K508" s="273"/>
      <c r="L508" s="273"/>
      <c r="M508" s="273"/>
      <c r="N508" s="273"/>
      <c r="O508" s="273"/>
      <c r="P508" s="275"/>
      <c r="Q508" s="273"/>
      <c r="R508" s="273"/>
      <c r="S508" s="273"/>
      <c r="T508" s="273"/>
      <c r="U508" s="273"/>
      <c r="V508" s="273"/>
      <c r="W508" s="273"/>
      <c r="X508" s="273"/>
      <c r="Y508" s="273"/>
      <c r="Z508" s="273"/>
      <c r="AA508" s="273"/>
      <c r="AB508" s="273"/>
      <c r="AC508" s="273"/>
    </row>
    <row r="509" ht="75.0" customHeight="1">
      <c r="A509" s="273"/>
      <c r="B509" s="273"/>
      <c r="C509" s="273"/>
      <c r="D509" s="273"/>
      <c r="E509" s="273"/>
      <c r="F509" s="275"/>
      <c r="G509" s="273"/>
      <c r="H509" s="273"/>
      <c r="I509" s="275"/>
      <c r="J509" s="273"/>
      <c r="K509" s="273"/>
      <c r="L509" s="273"/>
      <c r="M509" s="273"/>
      <c r="N509" s="273"/>
      <c r="O509" s="273"/>
      <c r="P509" s="275"/>
      <c r="Q509" s="273"/>
      <c r="R509" s="273"/>
      <c r="S509" s="273"/>
      <c r="T509" s="273"/>
      <c r="U509" s="273"/>
      <c r="V509" s="273"/>
      <c r="W509" s="273"/>
      <c r="X509" s="273"/>
      <c r="Y509" s="273"/>
      <c r="Z509" s="273"/>
      <c r="AA509" s="273"/>
      <c r="AB509" s="273"/>
      <c r="AC509" s="273"/>
    </row>
    <row r="510" ht="75.0" customHeight="1">
      <c r="A510" s="273"/>
      <c r="B510" s="273"/>
      <c r="C510" s="273"/>
      <c r="D510" s="273"/>
      <c r="E510" s="273"/>
      <c r="F510" s="275"/>
      <c r="G510" s="273"/>
      <c r="H510" s="273"/>
      <c r="I510" s="275"/>
      <c r="J510" s="273"/>
      <c r="K510" s="273"/>
      <c r="L510" s="273"/>
      <c r="M510" s="273"/>
      <c r="N510" s="273"/>
      <c r="O510" s="273"/>
      <c r="P510" s="275"/>
      <c r="Q510" s="273"/>
      <c r="R510" s="273"/>
      <c r="S510" s="273"/>
      <c r="T510" s="273"/>
      <c r="U510" s="273"/>
      <c r="V510" s="273"/>
      <c r="W510" s="273"/>
      <c r="X510" s="273"/>
      <c r="Y510" s="273"/>
      <c r="Z510" s="273"/>
      <c r="AA510" s="273"/>
      <c r="AB510" s="273"/>
      <c r="AC510" s="273"/>
    </row>
    <row r="511" ht="75.0" customHeight="1">
      <c r="A511" s="273"/>
      <c r="B511" s="273"/>
      <c r="C511" s="273"/>
      <c r="D511" s="273"/>
      <c r="E511" s="273"/>
      <c r="F511" s="275"/>
      <c r="G511" s="273"/>
      <c r="H511" s="273"/>
      <c r="I511" s="275"/>
      <c r="J511" s="273"/>
      <c r="K511" s="273"/>
      <c r="L511" s="273"/>
      <c r="M511" s="273"/>
      <c r="N511" s="273"/>
      <c r="O511" s="273"/>
      <c r="P511" s="275"/>
      <c r="Q511" s="273"/>
      <c r="R511" s="273"/>
      <c r="S511" s="273"/>
      <c r="T511" s="273"/>
      <c r="U511" s="273"/>
      <c r="V511" s="273"/>
      <c r="W511" s="273"/>
      <c r="X511" s="273"/>
      <c r="Y511" s="273"/>
      <c r="Z511" s="273"/>
      <c r="AA511" s="273"/>
      <c r="AB511" s="273"/>
      <c r="AC511" s="273"/>
    </row>
    <row r="512" ht="75.0" customHeight="1">
      <c r="A512" s="273"/>
      <c r="B512" s="273"/>
      <c r="C512" s="273"/>
      <c r="D512" s="273"/>
      <c r="E512" s="273"/>
      <c r="F512" s="275"/>
      <c r="G512" s="273"/>
      <c r="H512" s="273"/>
      <c r="I512" s="275"/>
      <c r="J512" s="273"/>
      <c r="K512" s="273"/>
      <c r="L512" s="273"/>
      <c r="M512" s="273"/>
      <c r="N512" s="273"/>
      <c r="O512" s="273"/>
      <c r="P512" s="275"/>
      <c r="Q512" s="273"/>
      <c r="R512" s="273"/>
      <c r="S512" s="273"/>
      <c r="T512" s="273"/>
      <c r="U512" s="273"/>
      <c r="V512" s="273"/>
      <c r="W512" s="273"/>
      <c r="X512" s="273"/>
      <c r="Y512" s="273"/>
      <c r="Z512" s="273"/>
      <c r="AA512" s="273"/>
      <c r="AB512" s="273"/>
      <c r="AC512" s="273"/>
    </row>
    <row r="513" ht="75.0" customHeight="1">
      <c r="A513" s="273"/>
      <c r="B513" s="273"/>
      <c r="C513" s="273"/>
      <c r="D513" s="273"/>
      <c r="E513" s="273"/>
      <c r="F513" s="275"/>
      <c r="G513" s="273"/>
      <c r="H513" s="273"/>
      <c r="I513" s="275"/>
      <c r="J513" s="273"/>
      <c r="K513" s="273"/>
      <c r="L513" s="273"/>
      <c r="M513" s="273"/>
      <c r="N513" s="273"/>
      <c r="O513" s="273"/>
      <c r="P513" s="275"/>
      <c r="Q513" s="273"/>
      <c r="R513" s="273"/>
      <c r="S513" s="273"/>
      <c r="T513" s="273"/>
      <c r="U513" s="273"/>
      <c r="V513" s="273"/>
      <c r="W513" s="273"/>
      <c r="X513" s="273"/>
      <c r="Y513" s="273"/>
      <c r="Z513" s="273"/>
      <c r="AA513" s="273"/>
      <c r="AB513" s="273"/>
      <c r="AC513" s="273"/>
    </row>
    <row r="514" ht="75.0" customHeight="1">
      <c r="A514" s="273"/>
      <c r="B514" s="273"/>
      <c r="C514" s="273"/>
      <c r="D514" s="273"/>
      <c r="E514" s="273"/>
      <c r="F514" s="275"/>
      <c r="G514" s="273"/>
      <c r="H514" s="273"/>
      <c r="I514" s="275"/>
      <c r="J514" s="273"/>
      <c r="K514" s="273"/>
      <c r="L514" s="273"/>
      <c r="M514" s="273"/>
      <c r="N514" s="273"/>
      <c r="O514" s="273"/>
      <c r="P514" s="275"/>
      <c r="Q514" s="273"/>
      <c r="R514" s="273"/>
      <c r="S514" s="273"/>
      <c r="T514" s="273"/>
      <c r="U514" s="273"/>
      <c r="V514" s="273"/>
      <c r="W514" s="273"/>
      <c r="X514" s="273"/>
      <c r="Y514" s="273"/>
      <c r="Z514" s="273"/>
      <c r="AA514" s="273"/>
      <c r="AB514" s="273"/>
      <c r="AC514" s="273"/>
    </row>
    <row r="515" ht="75.0" customHeight="1">
      <c r="A515" s="273"/>
      <c r="B515" s="273"/>
      <c r="C515" s="273"/>
      <c r="D515" s="273"/>
      <c r="E515" s="273"/>
      <c r="F515" s="275"/>
      <c r="G515" s="273"/>
      <c r="H515" s="273"/>
      <c r="I515" s="275"/>
      <c r="J515" s="273"/>
      <c r="K515" s="273"/>
      <c r="L515" s="273"/>
      <c r="M515" s="273"/>
      <c r="N515" s="273"/>
      <c r="O515" s="273"/>
      <c r="P515" s="275"/>
      <c r="Q515" s="273"/>
      <c r="R515" s="273"/>
      <c r="S515" s="273"/>
      <c r="T515" s="273"/>
      <c r="U515" s="273"/>
      <c r="V515" s="273"/>
      <c r="W515" s="273"/>
      <c r="X515" s="273"/>
      <c r="Y515" s="273"/>
      <c r="Z515" s="273"/>
      <c r="AA515" s="273"/>
      <c r="AB515" s="273"/>
      <c r="AC515" s="273"/>
    </row>
    <row r="516" ht="75.0" customHeight="1">
      <c r="A516" s="273"/>
      <c r="B516" s="273"/>
      <c r="C516" s="273"/>
      <c r="D516" s="273"/>
      <c r="E516" s="273"/>
      <c r="F516" s="275"/>
      <c r="G516" s="273"/>
      <c r="H516" s="273"/>
      <c r="I516" s="275"/>
      <c r="J516" s="273"/>
      <c r="K516" s="273"/>
      <c r="L516" s="273"/>
      <c r="M516" s="273"/>
      <c r="N516" s="273"/>
      <c r="O516" s="273"/>
      <c r="P516" s="275"/>
      <c r="Q516" s="273"/>
      <c r="R516" s="273"/>
      <c r="S516" s="273"/>
      <c r="T516" s="273"/>
      <c r="U516" s="273"/>
      <c r="V516" s="273"/>
      <c r="W516" s="273"/>
      <c r="X516" s="273"/>
      <c r="Y516" s="273"/>
      <c r="Z516" s="273"/>
      <c r="AA516" s="273"/>
      <c r="AB516" s="273"/>
      <c r="AC516" s="273"/>
    </row>
    <row r="517" ht="75.0" customHeight="1">
      <c r="A517" s="273"/>
      <c r="B517" s="273"/>
      <c r="C517" s="273"/>
      <c r="D517" s="273"/>
      <c r="E517" s="273"/>
      <c r="F517" s="275"/>
      <c r="G517" s="273"/>
      <c r="H517" s="273"/>
      <c r="I517" s="275"/>
      <c r="J517" s="273"/>
      <c r="K517" s="273"/>
      <c r="L517" s="273"/>
      <c r="M517" s="273"/>
      <c r="N517" s="273"/>
      <c r="O517" s="273"/>
      <c r="P517" s="275"/>
      <c r="Q517" s="273"/>
      <c r="R517" s="273"/>
      <c r="S517" s="273"/>
      <c r="T517" s="273"/>
      <c r="U517" s="273"/>
      <c r="V517" s="273"/>
      <c r="W517" s="273"/>
      <c r="X517" s="273"/>
      <c r="Y517" s="273"/>
      <c r="Z517" s="273"/>
      <c r="AA517" s="273"/>
      <c r="AB517" s="273"/>
      <c r="AC517" s="273"/>
    </row>
    <row r="518" ht="75.0" customHeight="1">
      <c r="A518" s="273"/>
      <c r="B518" s="273"/>
      <c r="C518" s="273"/>
      <c r="D518" s="273"/>
      <c r="E518" s="273"/>
      <c r="F518" s="275"/>
      <c r="G518" s="273"/>
      <c r="H518" s="273"/>
      <c r="I518" s="275"/>
      <c r="J518" s="273"/>
      <c r="K518" s="273"/>
      <c r="L518" s="273"/>
      <c r="M518" s="273"/>
      <c r="N518" s="273"/>
      <c r="O518" s="273"/>
      <c r="P518" s="275"/>
      <c r="Q518" s="273"/>
      <c r="R518" s="273"/>
      <c r="S518" s="273"/>
      <c r="T518" s="273"/>
      <c r="U518" s="273"/>
      <c r="V518" s="273"/>
      <c r="W518" s="273"/>
      <c r="X518" s="273"/>
      <c r="Y518" s="273"/>
      <c r="Z518" s="273"/>
      <c r="AA518" s="273"/>
      <c r="AB518" s="273"/>
      <c r="AC518" s="273"/>
    </row>
    <row r="519" ht="75.0" customHeight="1">
      <c r="A519" s="273"/>
      <c r="B519" s="273"/>
      <c r="C519" s="273"/>
      <c r="D519" s="273"/>
      <c r="E519" s="273"/>
      <c r="F519" s="275"/>
      <c r="G519" s="273"/>
      <c r="H519" s="273"/>
      <c r="I519" s="275"/>
      <c r="J519" s="273"/>
      <c r="K519" s="273"/>
      <c r="L519" s="273"/>
      <c r="M519" s="273"/>
      <c r="N519" s="273"/>
      <c r="O519" s="273"/>
      <c r="P519" s="275"/>
      <c r="Q519" s="273"/>
      <c r="R519" s="273"/>
      <c r="S519" s="273"/>
      <c r="T519" s="273"/>
      <c r="U519" s="273"/>
      <c r="V519" s="273"/>
      <c r="W519" s="273"/>
      <c r="X519" s="273"/>
      <c r="Y519" s="273"/>
      <c r="Z519" s="273"/>
      <c r="AA519" s="273"/>
      <c r="AB519" s="273"/>
      <c r="AC519" s="273"/>
    </row>
    <row r="520" ht="75.0" customHeight="1">
      <c r="A520" s="273"/>
      <c r="B520" s="273"/>
      <c r="C520" s="273"/>
      <c r="D520" s="273"/>
      <c r="E520" s="273"/>
      <c r="F520" s="275"/>
      <c r="G520" s="273"/>
      <c r="H520" s="273"/>
      <c r="I520" s="275"/>
      <c r="J520" s="273"/>
      <c r="K520" s="273"/>
      <c r="L520" s="273"/>
      <c r="M520" s="273"/>
      <c r="N520" s="273"/>
      <c r="O520" s="273"/>
      <c r="P520" s="275"/>
      <c r="Q520" s="273"/>
      <c r="R520" s="273"/>
      <c r="S520" s="273"/>
      <c r="T520" s="273"/>
      <c r="U520" s="273"/>
      <c r="V520" s="273"/>
      <c r="W520" s="273"/>
      <c r="X520" s="273"/>
      <c r="Y520" s="273"/>
      <c r="Z520" s="273"/>
      <c r="AA520" s="273"/>
      <c r="AB520" s="273"/>
      <c r="AC520" s="273"/>
    </row>
    <row r="521" ht="75.0" customHeight="1">
      <c r="A521" s="273"/>
      <c r="B521" s="273"/>
      <c r="C521" s="273"/>
      <c r="D521" s="273"/>
      <c r="E521" s="273"/>
      <c r="F521" s="275"/>
      <c r="G521" s="273"/>
      <c r="H521" s="273"/>
      <c r="I521" s="275"/>
      <c r="J521" s="273"/>
      <c r="K521" s="273"/>
      <c r="L521" s="273"/>
      <c r="M521" s="273"/>
      <c r="N521" s="273"/>
      <c r="O521" s="273"/>
      <c r="P521" s="275"/>
      <c r="Q521" s="273"/>
      <c r="R521" s="273"/>
      <c r="S521" s="273"/>
      <c r="T521" s="273"/>
      <c r="U521" s="273"/>
      <c r="V521" s="273"/>
      <c r="W521" s="273"/>
      <c r="X521" s="273"/>
      <c r="Y521" s="273"/>
      <c r="Z521" s="273"/>
      <c r="AA521" s="273"/>
      <c r="AB521" s="273"/>
      <c r="AC521" s="273"/>
    </row>
    <row r="522" ht="75.0" customHeight="1">
      <c r="A522" s="273"/>
      <c r="B522" s="273"/>
      <c r="C522" s="273"/>
      <c r="D522" s="273"/>
      <c r="E522" s="273"/>
      <c r="F522" s="275"/>
      <c r="G522" s="273"/>
      <c r="H522" s="273"/>
      <c r="I522" s="275"/>
      <c r="J522" s="273"/>
      <c r="K522" s="273"/>
      <c r="L522" s="273"/>
      <c r="M522" s="273"/>
      <c r="N522" s="273"/>
      <c r="O522" s="273"/>
      <c r="P522" s="275"/>
      <c r="Q522" s="273"/>
      <c r="R522" s="273"/>
      <c r="S522" s="273"/>
      <c r="T522" s="273"/>
      <c r="U522" s="273"/>
      <c r="V522" s="273"/>
      <c r="W522" s="273"/>
      <c r="X522" s="273"/>
      <c r="Y522" s="273"/>
      <c r="Z522" s="273"/>
      <c r="AA522" s="273"/>
      <c r="AB522" s="273"/>
      <c r="AC522" s="273"/>
    </row>
    <row r="523" ht="75.0" customHeight="1">
      <c r="A523" s="273"/>
      <c r="B523" s="273"/>
      <c r="C523" s="273"/>
      <c r="D523" s="273"/>
      <c r="E523" s="273"/>
      <c r="F523" s="275"/>
      <c r="G523" s="273"/>
      <c r="H523" s="273"/>
      <c r="I523" s="275"/>
      <c r="J523" s="273"/>
      <c r="K523" s="273"/>
      <c r="L523" s="273"/>
      <c r="M523" s="273"/>
      <c r="N523" s="273"/>
      <c r="O523" s="273"/>
      <c r="P523" s="275"/>
      <c r="Q523" s="273"/>
      <c r="R523" s="273"/>
      <c r="S523" s="273"/>
      <c r="T523" s="273"/>
      <c r="U523" s="273"/>
      <c r="V523" s="273"/>
      <c r="W523" s="273"/>
      <c r="X523" s="273"/>
      <c r="Y523" s="273"/>
      <c r="Z523" s="273"/>
      <c r="AA523" s="273"/>
      <c r="AB523" s="273"/>
      <c r="AC523" s="273"/>
    </row>
    <row r="524" ht="75.0" customHeight="1">
      <c r="A524" s="273"/>
      <c r="B524" s="273"/>
      <c r="C524" s="273"/>
      <c r="D524" s="273"/>
      <c r="E524" s="273"/>
      <c r="F524" s="275"/>
      <c r="G524" s="273"/>
      <c r="H524" s="273"/>
      <c r="I524" s="275"/>
      <c r="J524" s="273"/>
      <c r="K524" s="273"/>
      <c r="L524" s="273"/>
      <c r="M524" s="273"/>
      <c r="N524" s="273"/>
      <c r="O524" s="273"/>
      <c r="P524" s="275"/>
      <c r="Q524" s="273"/>
      <c r="R524" s="273"/>
      <c r="S524" s="273"/>
      <c r="T524" s="273"/>
      <c r="U524" s="273"/>
      <c r="V524" s="273"/>
      <c r="W524" s="273"/>
      <c r="X524" s="273"/>
      <c r="Y524" s="273"/>
      <c r="Z524" s="273"/>
      <c r="AA524" s="273"/>
      <c r="AB524" s="273"/>
      <c r="AC524" s="273"/>
    </row>
    <row r="525" ht="75.0" customHeight="1">
      <c r="A525" s="273"/>
      <c r="B525" s="273"/>
      <c r="C525" s="273"/>
      <c r="D525" s="273"/>
      <c r="E525" s="273"/>
      <c r="F525" s="275"/>
      <c r="G525" s="273"/>
      <c r="H525" s="273"/>
      <c r="I525" s="275"/>
      <c r="J525" s="273"/>
      <c r="K525" s="273"/>
      <c r="L525" s="273"/>
      <c r="M525" s="273"/>
      <c r="N525" s="273"/>
      <c r="O525" s="273"/>
      <c r="P525" s="275"/>
      <c r="Q525" s="273"/>
      <c r="R525" s="273"/>
      <c r="S525" s="273"/>
      <c r="T525" s="273"/>
      <c r="U525" s="273"/>
      <c r="V525" s="273"/>
      <c r="W525" s="273"/>
      <c r="X525" s="273"/>
      <c r="Y525" s="273"/>
      <c r="Z525" s="273"/>
      <c r="AA525" s="273"/>
      <c r="AB525" s="273"/>
      <c r="AC525" s="273"/>
    </row>
    <row r="526" ht="75.0" customHeight="1">
      <c r="A526" s="273"/>
      <c r="B526" s="273"/>
      <c r="C526" s="273"/>
      <c r="D526" s="273"/>
      <c r="E526" s="273"/>
      <c r="F526" s="275"/>
      <c r="G526" s="273"/>
      <c r="H526" s="273"/>
      <c r="I526" s="275"/>
      <c r="J526" s="273"/>
      <c r="K526" s="273"/>
      <c r="L526" s="273"/>
      <c r="M526" s="273"/>
      <c r="N526" s="273"/>
      <c r="O526" s="273"/>
      <c r="P526" s="275"/>
      <c r="Q526" s="273"/>
      <c r="R526" s="273"/>
      <c r="S526" s="273"/>
      <c r="T526" s="273"/>
      <c r="U526" s="273"/>
      <c r="V526" s="273"/>
      <c r="W526" s="273"/>
      <c r="X526" s="273"/>
      <c r="Y526" s="273"/>
      <c r="Z526" s="273"/>
      <c r="AA526" s="273"/>
      <c r="AB526" s="273"/>
      <c r="AC526" s="273"/>
    </row>
    <row r="527" ht="75.0" customHeight="1">
      <c r="A527" s="273"/>
      <c r="B527" s="273"/>
      <c r="C527" s="273"/>
      <c r="D527" s="273"/>
      <c r="E527" s="273"/>
      <c r="F527" s="275"/>
      <c r="G527" s="273"/>
      <c r="H527" s="273"/>
      <c r="I527" s="275"/>
      <c r="J527" s="273"/>
      <c r="K527" s="273"/>
      <c r="L527" s="273"/>
      <c r="M527" s="273"/>
      <c r="N527" s="273"/>
      <c r="O527" s="273"/>
      <c r="P527" s="275"/>
      <c r="Q527" s="273"/>
      <c r="R527" s="273"/>
      <c r="S527" s="273"/>
      <c r="T527" s="273"/>
      <c r="U527" s="273"/>
      <c r="V527" s="273"/>
      <c r="W527" s="273"/>
      <c r="X527" s="273"/>
      <c r="Y527" s="273"/>
      <c r="Z527" s="273"/>
      <c r="AA527" s="273"/>
      <c r="AB527" s="273"/>
      <c r="AC527" s="273"/>
    </row>
    <row r="528" ht="75.0" customHeight="1">
      <c r="A528" s="273"/>
      <c r="B528" s="273"/>
      <c r="C528" s="273"/>
      <c r="D528" s="273"/>
      <c r="E528" s="273"/>
      <c r="F528" s="275"/>
      <c r="G528" s="273"/>
      <c r="H528" s="273"/>
      <c r="I528" s="275"/>
      <c r="J528" s="273"/>
      <c r="K528" s="273"/>
      <c r="L528" s="273"/>
      <c r="M528" s="273"/>
      <c r="N528" s="273"/>
      <c r="O528" s="273"/>
      <c r="P528" s="275"/>
      <c r="Q528" s="273"/>
      <c r="R528" s="273"/>
      <c r="S528" s="273"/>
      <c r="T528" s="273"/>
      <c r="U528" s="273"/>
      <c r="V528" s="273"/>
      <c r="W528" s="273"/>
      <c r="X528" s="273"/>
      <c r="Y528" s="273"/>
      <c r="Z528" s="273"/>
      <c r="AA528" s="273"/>
      <c r="AB528" s="273"/>
      <c r="AC528" s="273"/>
    </row>
    <row r="529" ht="75.0" customHeight="1">
      <c r="A529" s="273"/>
      <c r="B529" s="273"/>
      <c r="C529" s="273"/>
      <c r="D529" s="273"/>
      <c r="E529" s="273"/>
      <c r="F529" s="275"/>
      <c r="G529" s="273"/>
      <c r="H529" s="273"/>
      <c r="I529" s="275"/>
      <c r="J529" s="273"/>
      <c r="K529" s="273"/>
      <c r="L529" s="273"/>
      <c r="M529" s="273"/>
      <c r="N529" s="273"/>
      <c r="O529" s="273"/>
      <c r="P529" s="275"/>
      <c r="Q529" s="273"/>
      <c r="R529" s="273"/>
      <c r="S529" s="273"/>
      <c r="T529" s="273"/>
      <c r="U529" s="273"/>
      <c r="V529" s="273"/>
      <c r="W529" s="273"/>
      <c r="X529" s="273"/>
      <c r="Y529" s="273"/>
      <c r="Z529" s="273"/>
      <c r="AA529" s="273"/>
      <c r="AB529" s="273"/>
      <c r="AC529" s="273"/>
    </row>
    <row r="530" ht="75.0" customHeight="1">
      <c r="A530" s="273"/>
      <c r="B530" s="273"/>
      <c r="C530" s="273"/>
      <c r="D530" s="273"/>
      <c r="E530" s="273"/>
      <c r="F530" s="275"/>
      <c r="G530" s="273"/>
      <c r="H530" s="273"/>
      <c r="I530" s="275"/>
      <c r="J530" s="273"/>
      <c r="K530" s="273"/>
      <c r="L530" s="273"/>
      <c r="M530" s="273"/>
      <c r="N530" s="273"/>
      <c r="O530" s="273"/>
      <c r="P530" s="275"/>
      <c r="Q530" s="273"/>
      <c r="R530" s="273"/>
      <c r="S530" s="273"/>
      <c r="T530" s="273"/>
      <c r="U530" s="273"/>
      <c r="V530" s="273"/>
      <c r="W530" s="273"/>
      <c r="X530" s="273"/>
      <c r="Y530" s="273"/>
      <c r="Z530" s="273"/>
      <c r="AA530" s="273"/>
      <c r="AB530" s="273"/>
      <c r="AC530" s="273"/>
    </row>
    <row r="531" ht="75.0" customHeight="1">
      <c r="A531" s="273"/>
      <c r="B531" s="273"/>
      <c r="C531" s="273"/>
      <c r="D531" s="273"/>
      <c r="E531" s="273"/>
      <c r="F531" s="275"/>
      <c r="G531" s="273"/>
      <c r="H531" s="273"/>
      <c r="I531" s="275"/>
      <c r="J531" s="273"/>
      <c r="K531" s="273"/>
      <c r="L531" s="273"/>
      <c r="M531" s="273"/>
      <c r="N531" s="273"/>
      <c r="O531" s="273"/>
      <c r="P531" s="275"/>
      <c r="Q531" s="273"/>
      <c r="R531" s="273"/>
      <c r="S531" s="273"/>
      <c r="T531" s="273"/>
      <c r="U531" s="273"/>
      <c r="V531" s="273"/>
      <c r="W531" s="273"/>
      <c r="X531" s="273"/>
      <c r="Y531" s="273"/>
      <c r="Z531" s="273"/>
      <c r="AA531" s="273"/>
      <c r="AB531" s="273"/>
      <c r="AC531" s="273"/>
    </row>
    <row r="532" ht="75.0" customHeight="1">
      <c r="A532" s="273"/>
      <c r="B532" s="273"/>
      <c r="C532" s="273"/>
      <c r="D532" s="273"/>
      <c r="E532" s="273"/>
      <c r="F532" s="275"/>
      <c r="G532" s="273"/>
      <c r="H532" s="273"/>
      <c r="I532" s="275"/>
      <c r="J532" s="273"/>
      <c r="K532" s="273"/>
      <c r="L532" s="273"/>
      <c r="M532" s="273"/>
      <c r="N532" s="273"/>
      <c r="O532" s="273"/>
      <c r="P532" s="275"/>
      <c r="Q532" s="273"/>
      <c r="R532" s="273"/>
      <c r="S532" s="273"/>
      <c r="T532" s="273"/>
      <c r="U532" s="273"/>
      <c r="V532" s="273"/>
      <c r="W532" s="273"/>
      <c r="X532" s="273"/>
      <c r="Y532" s="273"/>
      <c r="Z532" s="273"/>
      <c r="AA532" s="273"/>
      <c r="AB532" s="273"/>
      <c r="AC532" s="273"/>
    </row>
    <row r="533" ht="75.0" customHeight="1">
      <c r="A533" s="273"/>
      <c r="B533" s="273"/>
      <c r="C533" s="273"/>
      <c r="D533" s="273"/>
      <c r="E533" s="273"/>
      <c r="F533" s="275"/>
      <c r="G533" s="273"/>
      <c r="H533" s="273"/>
      <c r="I533" s="275"/>
      <c r="J533" s="273"/>
      <c r="K533" s="273"/>
      <c r="L533" s="273"/>
      <c r="M533" s="273"/>
      <c r="N533" s="273"/>
      <c r="O533" s="273"/>
      <c r="P533" s="275"/>
      <c r="Q533" s="273"/>
      <c r="R533" s="273"/>
      <c r="S533" s="273"/>
      <c r="T533" s="273"/>
      <c r="U533" s="273"/>
      <c r="V533" s="273"/>
      <c r="W533" s="273"/>
      <c r="X533" s="273"/>
      <c r="Y533" s="273"/>
      <c r="Z533" s="273"/>
      <c r="AA533" s="273"/>
      <c r="AB533" s="273"/>
      <c r="AC533" s="273"/>
    </row>
    <row r="534" ht="75.0" customHeight="1">
      <c r="A534" s="273"/>
      <c r="B534" s="273"/>
      <c r="C534" s="273"/>
      <c r="D534" s="273"/>
      <c r="E534" s="273"/>
      <c r="F534" s="275"/>
      <c r="G534" s="273"/>
      <c r="H534" s="273"/>
      <c r="I534" s="275"/>
      <c r="J534" s="273"/>
      <c r="K534" s="273"/>
      <c r="L534" s="273"/>
      <c r="M534" s="273"/>
      <c r="N534" s="273"/>
      <c r="O534" s="273"/>
      <c r="P534" s="275"/>
      <c r="Q534" s="273"/>
      <c r="R534" s="273"/>
      <c r="S534" s="273"/>
      <c r="T534" s="273"/>
      <c r="U534" s="273"/>
      <c r="V534" s="273"/>
      <c r="W534" s="273"/>
      <c r="X534" s="273"/>
      <c r="Y534" s="273"/>
      <c r="Z534" s="273"/>
      <c r="AA534" s="273"/>
      <c r="AB534" s="273"/>
      <c r="AC534" s="273"/>
    </row>
    <row r="535" ht="75.0" customHeight="1">
      <c r="A535" s="273"/>
      <c r="B535" s="273"/>
      <c r="C535" s="273"/>
      <c r="D535" s="273"/>
      <c r="E535" s="273"/>
      <c r="F535" s="275"/>
      <c r="G535" s="273"/>
      <c r="H535" s="273"/>
      <c r="I535" s="275"/>
      <c r="J535" s="273"/>
      <c r="K535" s="273"/>
      <c r="L535" s="273"/>
      <c r="M535" s="273"/>
      <c r="N535" s="273"/>
      <c r="O535" s="273"/>
      <c r="P535" s="275"/>
      <c r="Q535" s="273"/>
      <c r="R535" s="273"/>
      <c r="S535" s="273"/>
      <c r="T535" s="273"/>
      <c r="U535" s="273"/>
      <c r="V535" s="273"/>
      <c r="W535" s="273"/>
      <c r="X535" s="273"/>
      <c r="Y535" s="273"/>
      <c r="Z535" s="273"/>
      <c r="AA535" s="273"/>
      <c r="AB535" s="273"/>
      <c r="AC535" s="273"/>
    </row>
    <row r="536" ht="75.0" customHeight="1">
      <c r="A536" s="273"/>
      <c r="B536" s="273"/>
      <c r="C536" s="273"/>
      <c r="D536" s="273"/>
      <c r="E536" s="273"/>
      <c r="F536" s="275"/>
      <c r="G536" s="273"/>
      <c r="H536" s="273"/>
      <c r="I536" s="275"/>
      <c r="J536" s="273"/>
      <c r="K536" s="273"/>
      <c r="L536" s="273"/>
      <c r="M536" s="273"/>
      <c r="N536" s="273"/>
      <c r="O536" s="273"/>
      <c r="P536" s="275"/>
      <c r="Q536" s="273"/>
      <c r="R536" s="273"/>
      <c r="S536" s="273"/>
      <c r="T536" s="273"/>
      <c r="U536" s="273"/>
      <c r="V536" s="273"/>
      <c r="W536" s="273"/>
      <c r="X536" s="273"/>
      <c r="Y536" s="273"/>
      <c r="Z536" s="273"/>
      <c r="AA536" s="273"/>
      <c r="AB536" s="273"/>
      <c r="AC536" s="273"/>
    </row>
    <row r="537" ht="75.0" customHeight="1">
      <c r="A537" s="273"/>
      <c r="B537" s="273"/>
      <c r="C537" s="273"/>
      <c r="D537" s="273"/>
      <c r="E537" s="273"/>
      <c r="F537" s="275"/>
      <c r="G537" s="273"/>
      <c r="H537" s="273"/>
      <c r="I537" s="275"/>
      <c r="J537" s="273"/>
      <c r="K537" s="273"/>
      <c r="L537" s="273"/>
      <c r="M537" s="273"/>
      <c r="N537" s="273"/>
      <c r="O537" s="273"/>
      <c r="P537" s="275"/>
      <c r="Q537" s="273"/>
      <c r="R537" s="273"/>
      <c r="S537" s="273"/>
      <c r="T537" s="273"/>
      <c r="U537" s="273"/>
      <c r="V537" s="273"/>
      <c r="W537" s="273"/>
      <c r="X537" s="273"/>
      <c r="Y537" s="273"/>
      <c r="Z537" s="273"/>
      <c r="AA537" s="273"/>
      <c r="AB537" s="273"/>
      <c r="AC537" s="273"/>
    </row>
    <row r="538" ht="75.0" customHeight="1">
      <c r="A538" s="273"/>
      <c r="B538" s="273"/>
      <c r="C538" s="273"/>
      <c r="D538" s="273"/>
      <c r="E538" s="273"/>
      <c r="F538" s="275"/>
      <c r="G538" s="273"/>
      <c r="H538" s="273"/>
      <c r="I538" s="275"/>
      <c r="J538" s="273"/>
      <c r="K538" s="273"/>
      <c r="L538" s="273"/>
      <c r="M538" s="273"/>
      <c r="N538" s="273"/>
      <c r="O538" s="273"/>
      <c r="P538" s="275"/>
      <c r="Q538" s="273"/>
      <c r="R538" s="273"/>
      <c r="S538" s="273"/>
      <c r="T538" s="273"/>
      <c r="U538" s="273"/>
      <c r="V538" s="273"/>
      <c r="W538" s="273"/>
      <c r="X538" s="273"/>
      <c r="Y538" s="273"/>
      <c r="Z538" s="273"/>
      <c r="AA538" s="273"/>
      <c r="AB538" s="273"/>
      <c r="AC538" s="273"/>
    </row>
    <row r="539" ht="75.0" customHeight="1">
      <c r="A539" s="273"/>
      <c r="B539" s="273"/>
      <c r="C539" s="273"/>
      <c r="D539" s="273"/>
      <c r="E539" s="273"/>
      <c r="F539" s="275"/>
      <c r="G539" s="273"/>
      <c r="H539" s="273"/>
      <c r="I539" s="275"/>
      <c r="J539" s="273"/>
      <c r="K539" s="273"/>
      <c r="L539" s="273"/>
      <c r="M539" s="273"/>
      <c r="N539" s="273"/>
      <c r="O539" s="273"/>
      <c r="P539" s="275"/>
      <c r="Q539" s="273"/>
      <c r="R539" s="273"/>
      <c r="S539" s="273"/>
      <c r="T539" s="273"/>
      <c r="U539" s="273"/>
      <c r="V539" s="273"/>
      <c r="W539" s="273"/>
      <c r="X539" s="273"/>
      <c r="Y539" s="273"/>
      <c r="Z539" s="273"/>
      <c r="AA539" s="273"/>
      <c r="AB539" s="273"/>
      <c r="AC539" s="273"/>
    </row>
    <row r="540" ht="75.0" customHeight="1">
      <c r="A540" s="273"/>
      <c r="B540" s="273"/>
      <c r="C540" s="273"/>
      <c r="D540" s="273"/>
      <c r="E540" s="273"/>
      <c r="F540" s="275"/>
      <c r="G540" s="273"/>
      <c r="H540" s="273"/>
      <c r="I540" s="275"/>
      <c r="J540" s="273"/>
      <c r="K540" s="273"/>
      <c r="L540" s="273"/>
      <c r="M540" s="273"/>
      <c r="N540" s="273"/>
      <c r="O540" s="273"/>
      <c r="P540" s="275"/>
      <c r="Q540" s="273"/>
      <c r="R540" s="273"/>
      <c r="S540" s="273"/>
      <c r="T540" s="273"/>
      <c r="U540" s="273"/>
      <c r="V540" s="273"/>
      <c r="W540" s="273"/>
      <c r="X540" s="273"/>
      <c r="Y540" s="273"/>
      <c r="Z540" s="273"/>
      <c r="AA540" s="273"/>
      <c r="AB540" s="273"/>
      <c r="AC540" s="273"/>
    </row>
    <row r="541" ht="75.0" customHeight="1">
      <c r="A541" s="273"/>
      <c r="B541" s="273"/>
      <c r="C541" s="273"/>
      <c r="D541" s="273"/>
      <c r="E541" s="273"/>
      <c r="F541" s="275"/>
      <c r="G541" s="273"/>
      <c r="H541" s="273"/>
      <c r="I541" s="275"/>
      <c r="J541" s="273"/>
      <c r="K541" s="273"/>
      <c r="L541" s="273"/>
      <c r="M541" s="273"/>
      <c r="N541" s="273"/>
      <c r="O541" s="273"/>
      <c r="P541" s="275"/>
      <c r="Q541" s="273"/>
      <c r="R541" s="273"/>
      <c r="S541" s="273"/>
      <c r="T541" s="273"/>
      <c r="U541" s="273"/>
      <c r="V541" s="273"/>
      <c r="W541" s="273"/>
      <c r="X541" s="273"/>
      <c r="Y541" s="273"/>
      <c r="Z541" s="273"/>
      <c r="AA541" s="273"/>
      <c r="AB541" s="273"/>
      <c r="AC541" s="273"/>
    </row>
    <row r="542" ht="75.0" customHeight="1">
      <c r="A542" s="273"/>
      <c r="B542" s="273"/>
      <c r="C542" s="273"/>
      <c r="D542" s="273"/>
      <c r="E542" s="273"/>
      <c r="F542" s="275"/>
      <c r="G542" s="273"/>
      <c r="H542" s="273"/>
      <c r="I542" s="275"/>
      <c r="J542" s="273"/>
      <c r="K542" s="273"/>
      <c r="L542" s="273"/>
      <c r="M542" s="273"/>
      <c r="N542" s="273"/>
      <c r="O542" s="273"/>
      <c r="P542" s="275"/>
      <c r="Q542" s="273"/>
      <c r="R542" s="273"/>
      <c r="S542" s="273"/>
      <c r="T542" s="273"/>
      <c r="U542" s="273"/>
      <c r="V542" s="273"/>
      <c r="W542" s="273"/>
      <c r="X542" s="273"/>
      <c r="Y542" s="273"/>
      <c r="Z542" s="273"/>
      <c r="AA542" s="273"/>
      <c r="AB542" s="273"/>
      <c r="AC542" s="273"/>
    </row>
    <row r="543" ht="75.0" customHeight="1">
      <c r="A543" s="273"/>
      <c r="B543" s="273"/>
      <c r="C543" s="273"/>
      <c r="D543" s="273"/>
      <c r="E543" s="273"/>
      <c r="F543" s="275"/>
      <c r="G543" s="273"/>
      <c r="H543" s="273"/>
      <c r="I543" s="275"/>
      <c r="J543" s="273"/>
      <c r="K543" s="273"/>
      <c r="L543" s="273"/>
      <c r="M543" s="273"/>
      <c r="N543" s="273"/>
      <c r="O543" s="273"/>
      <c r="P543" s="275"/>
      <c r="Q543" s="273"/>
      <c r="R543" s="273"/>
      <c r="S543" s="273"/>
      <c r="T543" s="273"/>
      <c r="U543" s="273"/>
      <c r="V543" s="273"/>
      <c r="W543" s="273"/>
      <c r="X543" s="273"/>
      <c r="Y543" s="273"/>
      <c r="Z543" s="273"/>
      <c r="AA543" s="273"/>
      <c r="AB543" s="273"/>
      <c r="AC543" s="273"/>
    </row>
    <row r="544" ht="75.0" customHeight="1">
      <c r="A544" s="273"/>
      <c r="B544" s="273"/>
      <c r="C544" s="273"/>
      <c r="D544" s="273"/>
      <c r="E544" s="273"/>
      <c r="F544" s="275"/>
      <c r="G544" s="273"/>
      <c r="H544" s="273"/>
      <c r="I544" s="275"/>
      <c r="J544" s="273"/>
      <c r="K544" s="273"/>
      <c r="L544" s="273"/>
      <c r="M544" s="273"/>
      <c r="N544" s="273"/>
      <c r="O544" s="273"/>
      <c r="P544" s="275"/>
      <c r="Q544" s="273"/>
      <c r="R544" s="273"/>
      <c r="S544" s="273"/>
      <c r="T544" s="273"/>
      <c r="U544" s="273"/>
      <c r="V544" s="273"/>
      <c r="W544" s="273"/>
      <c r="X544" s="273"/>
      <c r="Y544" s="273"/>
      <c r="Z544" s="273"/>
      <c r="AA544" s="273"/>
      <c r="AB544" s="273"/>
      <c r="AC544" s="273"/>
    </row>
    <row r="545" ht="75.0" customHeight="1">
      <c r="A545" s="273"/>
      <c r="B545" s="273"/>
      <c r="C545" s="273"/>
      <c r="D545" s="273"/>
      <c r="E545" s="273"/>
      <c r="F545" s="275"/>
      <c r="G545" s="273"/>
      <c r="H545" s="273"/>
      <c r="I545" s="275"/>
      <c r="J545" s="273"/>
      <c r="K545" s="273"/>
      <c r="L545" s="273"/>
      <c r="M545" s="273"/>
      <c r="N545" s="273"/>
      <c r="O545" s="273"/>
      <c r="P545" s="275"/>
      <c r="Q545" s="273"/>
      <c r="R545" s="273"/>
      <c r="S545" s="273"/>
      <c r="T545" s="273"/>
      <c r="U545" s="273"/>
      <c r="V545" s="273"/>
      <c r="W545" s="273"/>
      <c r="X545" s="273"/>
      <c r="Y545" s="273"/>
      <c r="Z545" s="273"/>
      <c r="AA545" s="273"/>
      <c r="AB545" s="273"/>
      <c r="AC545" s="273"/>
    </row>
    <row r="546" ht="75.0" customHeight="1">
      <c r="A546" s="273"/>
      <c r="B546" s="273"/>
      <c r="C546" s="273"/>
      <c r="D546" s="273"/>
      <c r="E546" s="273"/>
      <c r="F546" s="275"/>
      <c r="G546" s="273"/>
      <c r="H546" s="273"/>
      <c r="I546" s="275"/>
      <c r="J546" s="273"/>
      <c r="K546" s="273"/>
      <c r="L546" s="273"/>
      <c r="M546" s="273"/>
      <c r="N546" s="273"/>
      <c r="O546" s="273"/>
      <c r="P546" s="275"/>
      <c r="Q546" s="273"/>
      <c r="R546" s="273"/>
      <c r="S546" s="273"/>
      <c r="T546" s="273"/>
      <c r="U546" s="273"/>
      <c r="V546" s="273"/>
      <c r="W546" s="273"/>
      <c r="X546" s="273"/>
      <c r="Y546" s="273"/>
      <c r="Z546" s="273"/>
      <c r="AA546" s="273"/>
      <c r="AB546" s="273"/>
      <c r="AC546" s="273"/>
    </row>
    <row r="547" ht="75.0" customHeight="1">
      <c r="A547" s="273"/>
      <c r="B547" s="273"/>
      <c r="C547" s="273"/>
      <c r="D547" s="273"/>
      <c r="E547" s="273"/>
      <c r="F547" s="275"/>
      <c r="G547" s="273"/>
      <c r="H547" s="273"/>
      <c r="I547" s="275"/>
      <c r="J547" s="273"/>
      <c r="K547" s="273"/>
      <c r="L547" s="273"/>
      <c r="M547" s="273"/>
      <c r="N547" s="273"/>
      <c r="O547" s="273"/>
      <c r="P547" s="275"/>
      <c r="Q547" s="273"/>
      <c r="R547" s="273"/>
      <c r="S547" s="273"/>
      <c r="T547" s="273"/>
      <c r="U547" s="273"/>
      <c r="V547" s="273"/>
      <c r="W547" s="273"/>
      <c r="X547" s="273"/>
      <c r="Y547" s="273"/>
      <c r="Z547" s="273"/>
      <c r="AA547" s="273"/>
      <c r="AB547" s="273"/>
      <c r="AC547" s="273"/>
    </row>
    <row r="548" ht="75.0" customHeight="1">
      <c r="A548" s="273"/>
      <c r="B548" s="273"/>
      <c r="C548" s="273"/>
      <c r="D548" s="273"/>
      <c r="E548" s="273"/>
      <c r="F548" s="275"/>
      <c r="G548" s="273"/>
      <c r="H548" s="273"/>
      <c r="I548" s="275"/>
      <c r="J548" s="273"/>
      <c r="K548" s="273"/>
      <c r="L548" s="273"/>
      <c r="M548" s="273"/>
      <c r="N548" s="273"/>
      <c r="O548" s="273"/>
      <c r="P548" s="275"/>
      <c r="Q548" s="273"/>
      <c r="R548" s="273"/>
      <c r="S548" s="273"/>
      <c r="T548" s="273"/>
      <c r="U548" s="273"/>
      <c r="V548" s="273"/>
      <c r="W548" s="273"/>
      <c r="X548" s="273"/>
      <c r="Y548" s="273"/>
      <c r="Z548" s="273"/>
      <c r="AA548" s="273"/>
      <c r="AB548" s="273"/>
      <c r="AC548" s="273"/>
    </row>
    <row r="549" ht="75.0" customHeight="1">
      <c r="A549" s="273"/>
      <c r="B549" s="273"/>
      <c r="C549" s="273"/>
      <c r="D549" s="273"/>
      <c r="E549" s="273"/>
      <c r="F549" s="275"/>
      <c r="G549" s="273"/>
      <c r="H549" s="273"/>
      <c r="I549" s="275"/>
      <c r="J549" s="273"/>
      <c r="K549" s="273"/>
      <c r="L549" s="273"/>
      <c r="M549" s="273"/>
      <c r="N549" s="273"/>
      <c r="O549" s="273"/>
      <c r="P549" s="275"/>
      <c r="Q549" s="273"/>
      <c r="R549" s="273"/>
      <c r="S549" s="273"/>
      <c r="T549" s="273"/>
      <c r="U549" s="273"/>
      <c r="V549" s="273"/>
      <c r="W549" s="273"/>
      <c r="X549" s="273"/>
      <c r="Y549" s="273"/>
      <c r="Z549" s="273"/>
      <c r="AA549" s="273"/>
      <c r="AB549" s="273"/>
      <c r="AC549" s="273"/>
    </row>
    <row r="550" ht="75.0" customHeight="1">
      <c r="A550" s="273"/>
      <c r="B550" s="273"/>
      <c r="C550" s="273"/>
      <c r="D550" s="273"/>
      <c r="E550" s="273"/>
      <c r="F550" s="275"/>
      <c r="G550" s="273"/>
      <c r="H550" s="273"/>
      <c r="I550" s="275"/>
      <c r="J550" s="273"/>
      <c r="K550" s="273"/>
      <c r="L550" s="273"/>
      <c r="M550" s="273"/>
      <c r="N550" s="273"/>
      <c r="O550" s="273"/>
      <c r="P550" s="275"/>
      <c r="Q550" s="273"/>
      <c r="R550" s="273"/>
      <c r="S550" s="273"/>
      <c r="T550" s="273"/>
      <c r="U550" s="273"/>
      <c r="V550" s="273"/>
      <c r="W550" s="273"/>
      <c r="X550" s="273"/>
      <c r="Y550" s="273"/>
      <c r="Z550" s="273"/>
      <c r="AA550" s="273"/>
      <c r="AB550" s="273"/>
      <c r="AC550" s="273"/>
    </row>
    <row r="551" ht="75.0" customHeight="1">
      <c r="A551" s="273"/>
      <c r="B551" s="273"/>
      <c r="C551" s="273"/>
      <c r="D551" s="273"/>
      <c r="E551" s="273"/>
      <c r="F551" s="275"/>
      <c r="G551" s="273"/>
      <c r="H551" s="273"/>
      <c r="I551" s="275"/>
      <c r="J551" s="273"/>
      <c r="K551" s="273"/>
      <c r="L551" s="273"/>
      <c r="M551" s="273"/>
      <c r="N551" s="273"/>
      <c r="O551" s="273"/>
      <c r="P551" s="275"/>
      <c r="Q551" s="273"/>
      <c r="R551" s="273"/>
      <c r="S551" s="273"/>
      <c r="T551" s="273"/>
      <c r="U551" s="273"/>
      <c r="V551" s="273"/>
      <c r="W551" s="273"/>
      <c r="X551" s="273"/>
      <c r="Y551" s="273"/>
      <c r="Z551" s="273"/>
      <c r="AA551" s="273"/>
      <c r="AB551" s="273"/>
      <c r="AC551" s="273"/>
    </row>
    <row r="552" ht="75.0" customHeight="1">
      <c r="A552" s="273"/>
      <c r="B552" s="273"/>
      <c r="C552" s="273"/>
      <c r="D552" s="273"/>
      <c r="E552" s="273"/>
      <c r="F552" s="275"/>
      <c r="G552" s="273"/>
      <c r="H552" s="273"/>
      <c r="I552" s="275"/>
      <c r="J552" s="273"/>
      <c r="K552" s="273"/>
      <c r="L552" s="273"/>
      <c r="M552" s="273"/>
      <c r="N552" s="273"/>
      <c r="O552" s="273"/>
      <c r="P552" s="275"/>
      <c r="Q552" s="273"/>
      <c r="R552" s="273"/>
      <c r="S552" s="273"/>
      <c r="T552" s="273"/>
      <c r="U552" s="273"/>
      <c r="V552" s="273"/>
      <c r="W552" s="273"/>
      <c r="X552" s="273"/>
      <c r="Y552" s="273"/>
      <c r="Z552" s="273"/>
      <c r="AA552" s="273"/>
      <c r="AB552" s="273"/>
      <c r="AC552" s="273"/>
    </row>
    <row r="553" ht="75.0" customHeight="1">
      <c r="A553" s="273"/>
      <c r="B553" s="273"/>
      <c r="C553" s="273"/>
      <c r="D553" s="273"/>
      <c r="E553" s="273"/>
      <c r="F553" s="275"/>
      <c r="G553" s="273"/>
      <c r="H553" s="273"/>
      <c r="I553" s="275"/>
      <c r="J553" s="273"/>
      <c r="K553" s="273"/>
      <c r="L553" s="273"/>
      <c r="M553" s="273"/>
      <c r="N553" s="273"/>
      <c r="O553" s="273"/>
      <c r="P553" s="275"/>
      <c r="Q553" s="273"/>
      <c r="R553" s="273"/>
      <c r="S553" s="273"/>
      <c r="T553" s="273"/>
      <c r="U553" s="273"/>
      <c r="V553" s="273"/>
      <c r="W553" s="273"/>
      <c r="X553" s="273"/>
      <c r="Y553" s="273"/>
      <c r="Z553" s="273"/>
      <c r="AA553" s="273"/>
      <c r="AB553" s="273"/>
      <c r="AC553" s="273"/>
    </row>
    <row r="554" ht="75.0" customHeight="1">
      <c r="A554" s="273"/>
      <c r="B554" s="273"/>
      <c r="C554" s="273"/>
      <c r="D554" s="273"/>
      <c r="E554" s="273"/>
      <c r="F554" s="275"/>
      <c r="G554" s="273"/>
      <c r="H554" s="273"/>
      <c r="I554" s="275"/>
      <c r="J554" s="273"/>
      <c r="K554" s="273"/>
      <c r="L554" s="273"/>
      <c r="M554" s="273"/>
      <c r="N554" s="273"/>
      <c r="O554" s="273"/>
      <c r="P554" s="275"/>
      <c r="Q554" s="273"/>
      <c r="R554" s="273"/>
      <c r="S554" s="273"/>
      <c r="T554" s="273"/>
      <c r="U554" s="273"/>
      <c r="V554" s="273"/>
      <c r="W554" s="273"/>
      <c r="X554" s="273"/>
      <c r="Y554" s="273"/>
      <c r="Z554" s="273"/>
      <c r="AA554" s="273"/>
      <c r="AB554" s="273"/>
      <c r="AC554" s="273"/>
    </row>
    <row r="555" ht="75.0" customHeight="1">
      <c r="A555" s="273"/>
      <c r="B555" s="273"/>
      <c r="C555" s="273"/>
      <c r="D555" s="273"/>
      <c r="E555" s="273"/>
      <c r="F555" s="275"/>
      <c r="G555" s="273"/>
      <c r="H555" s="273"/>
      <c r="I555" s="275"/>
      <c r="J555" s="273"/>
      <c r="K555" s="273"/>
      <c r="L555" s="273"/>
      <c r="M555" s="273"/>
      <c r="N555" s="273"/>
      <c r="O555" s="273"/>
      <c r="P555" s="275"/>
      <c r="Q555" s="273"/>
      <c r="R555" s="273"/>
      <c r="S555" s="273"/>
      <c r="T555" s="273"/>
      <c r="U555" s="273"/>
      <c r="V555" s="273"/>
      <c r="W555" s="273"/>
      <c r="X555" s="273"/>
      <c r="Y555" s="273"/>
      <c r="Z555" s="273"/>
      <c r="AA555" s="273"/>
      <c r="AB555" s="273"/>
      <c r="AC555" s="273"/>
    </row>
    <row r="556" ht="75.0" customHeight="1">
      <c r="A556" s="273"/>
      <c r="B556" s="273"/>
      <c r="C556" s="273"/>
      <c r="D556" s="273"/>
      <c r="E556" s="273"/>
      <c r="F556" s="275"/>
      <c r="G556" s="273"/>
      <c r="H556" s="273"/>
      <c r="I556" s="275"/>
      <c r="J556" s="273"/>
      <c r="K556" s="273"/>
      <c r="L556" s="273"/>
      <c r="M556" s="273"/>
      <c r="N556" s="273"/>
      <c r="O556" s="273"/>
      <c r="P556" s="275"/>
      <c r="Q556" s="273"/>
      <c r="R556" s="273"/>
      <c r="S556" s="273"/>
      <c r="T556" s="273"/>
      <c r="U556" s="273"/>
      <c r="V556" s="273"/>
      <c r="W556" s="273"/>
      <c r="X556" s="273"/>
      <c r="Y556" s="273"/>
      <c r="Z556" s="273"/>
      <c r="AA556" s="273"/>
      <c r="AB556" s="273"/>
      <c r="AC556" s="273"/>
    </row>
    <row r="557" ht="75.0" customHeight="1">
      <c r="A557" s="273"/>
      <c r="B557" s="273"/>
      <c r="C557" s="273"/>
      <c r="D557" s="273"/>
      <c r="E557" s="273"/>
      <c r="F557" s="275"/>
      <c r="G557" s="273"/>
      <c r="H557" s="273"/>
      <c r="I557" s="275"/>
      <c r="J557" s="273"/>
      <c r="K557" s="273"/>
      <c r="L557" s="273"/>
      <c r="M557" s="273"/>
      <c r="N557" s="273"/>
      <c r="O557" s="273"/>
      <c r="P557" s="275"/>
      <c r="Q557" s="273"/>
      <c r="R557" s="273"/>
      <c r="S557" s="273"/>
      <c r="T557" s="273"/>
      <c r="U557" s="273"/>
      <c r="V557" s="273"/>
      <c r="W557" s="273"/>
      <c r="X557" s="273"/>
      <c r="Y557" s="273"/>
      <c r="Z557" s="273"/>
      <c r="AA557" s="273"/>
      <c r="AB557" s="273"/>
      <c r="AC557" s="273"/>
    </row>
    <row r="558" ht="75.0" customHeight="1">
      <c r="A558" s="273"/>
      <c r="B558" s="273"/>
      <c r="C558" s="273"/>
      <c r="D558" s="273"/>
      <c r="E558" s="273"/>
      <c r="F558" s="275"/>
      <c r="G558" s="273"/>
      <c r="H558" s="273"/>
      <c r="I558" s="275"/>
      <c r="J558" s="273"/>
      <c r="K558" s="273"/>
      <c r="L558" s="273"/>
      <c r="M558" s="273"/>
      <c r="N558" s="273"/>
      <c r="O558" s="273"/>
      <c r="P558" s="275"/>
      <c r="Q558" s="273"/>
      <c r="R558" s="273"/>
      <c r="S558" s="273"/>
      <c r="T558" s="273"/>
      <c r="U558" s="273"/>
      <c r="V558" s="273"/>
      <c r="W558" s="273"/>
      <c r="X558" s="273"/>
      <c r="Y558" s="273"/>
      <c r="Z558" s="273"/>
      <c r="AA558" s="273"/>
      <c r="AB558" s="273"/>
      <c r="AC558" s="273"/>
    </row>
    <row r="559" ht="75.0" customHeight="1">
      <c r="A559" s="273"/>
      <c r="B559" s="273"/>
      <c r="C559" s="273"/>
      <c r="D559" s="273"/>
      <c r="E559" s="273"/>
      <c r="F559" s="275"/>
      <c r="G559" s="273"/>
      <c r="H559" s="273"/>
      <c r="I559" s="275"/>
      <c r="J559" s="273"/>
      <c r="K559" s="273"/>
      <c r="L559" s="273"/>
      <c r="M559" s="273"/>
      <c r="N559" s="273"/>
      <c r="O559" s="273"/>
      <c r="P559" s="275"/>
      <c r="Q559" s="273"/>
      <c r="R559" s="273"/>
      <c r="S559" s="273"/>
      <c r="T559" s="273"/>
      <c r="U559" s="273"/>
      <c r="V559" s="273"/>
      <c r="W559" s="273"/>
      <c r="X559" s="273"/>
      <c r="Y559" s="273"/>
      <c r="Z559" s="273"/>
      <c r="AA559" s="273"/>
      <c r="AB559" s="273"/>
      <c r="AC559" s="273"/>
    </row>
    <row r="560" ht="75.0" customHeight="1">
      <c r="A560" s="273"/>
      <c r="B560" s="273"/>
      <c r="C560" s="273"/>
      <c r="D560" s="273"/>
      <c r="E560" s="273"/>
      <c r="F560" s="275"/>
      <c r="G560" s="273"/>
      <c r="H560" s="273"/>
      <c r="I560" s="275"/>
      <c r="J560" s="273"/>
      <c r="K560" s="273"/>
      <c r="L560" s="273"/>
      <c r="M560" s="273"/>
      <c r="N560" s="273"/>
      <c r="O560" s="273"/>
      <c r="P560" s="275"/>
      <c r="Q560" s="273"/>
      <c r="R560" s="273"/>
      <c r="S560" s="273"/>
      <c r="T560" s="273"/>
      <c r="U560" s="273"/>
      <c r="V560" s="273"/>
      <c r="W560" s="273"/>
      <c r="X560" s="273"/>
      <c r="Y560" s="273"/>
      <c r="Z560" s="273"/>
      <c r="AA560" s="273"/>
      <c r="AB560" s="273"/>
      <c r="AC560" s="273"/>
    </row>
    <row r="561" ht="75.0" customHeight="1">
      <c r="A561" s="273"/>
      <c r="B561" s="273"/>
      <c r="C561" s="273"/>
      <c r="D561" s="273"/>
      <c r="E561" s="273"/>
      <c r="F561" s="275"/>
      <c r="G561" s="273"/>
      <c r="H561" s="273"/>
      <c r="I561" s="275"/>
      <c r="J561" s="273"/>
      <c r="K561" s="273"/>
      <c r="L561" s="273"/>
      <c r="M561" s="273"/>
      <c r="N561" s="273"/>
      <c r="O561" s="273"/>
      <c r="P561" s="275"/>
      <c r="Q561" s="273"/>
      <c r="R561" s="273"/>
      <c r="S561" s="273"/>
      <c r="T561" s="273"/>
      <c r="U561" s="273"/>
      <c r="V561" s="273"/>
      <c r="W561" s="273"/>
      <c r="X561" s="273"/>
      <c r="Y561" s="273"/>
      <c r="Z561" s="273"/>
      <c r="AA561" s="273"/>
      <c r="AB561" s="273"/>
      <c r="AC561" s="273"/>
    </row>
    <row r="562" ht="75.0" customHeight="1">
      <c r="A562" s="273"/>
      <c r="B562" s="273"/>
      <c r="C562" s="273"/>
      <c r="D562" s="273"/>
      <c r="E562" s="273"/>
      <c r="F562" s="275"/>
      <c r="G562" s="273"/>
      <c r="H562" s="273"/>
      <c r="I562" s="275"/>
      <c r="J562" s="273"/>
      <c r="K562" s="273"/>
      <c r="L562" s="273"/>
      <c r="M562" s="273"/>
      <c r="N562" s="273"/>
      <c r="O562" s="273"/>
      <c r="P562" s="275"/>
      <c r="Q562" s="273"/>
      <c r="R562" s="273"/>
      <c r="S562" s="273"/>
      <c r="T562" s="273"/>
      <c r="U562" s="273"/>
      <c r="V562" s="273"/>
      <c r="W562" s="273"/>
      <c r="X562" s="273"/>
      <c r="Y562" s="273"/>
      <c r="Z562" s="273"/>
      <c r="AA562" s="273"/>
      <c r="AB562" s="273"/>
      <c r="AC562" s="273"/>
    </row>
    <row r="563" ht="75.0" customHeight="1">
      <c r="A563" s="273"/>
      <c r="B563" s="273"/>
      <c r="C563" s="273"/>
      <c r="D563" s="273"/>
      <c r="E563" s="273"/>
      <c r="F563" s="275"/>
      <c r="G563" s="273"/>
      <c r="H563" s="273"/>
      <c r="I563" s="275"/>
      <c r="J563" s="273"/>
      <c r="K563" s="273"/>
      <c r="L563" s="273"/>
      <c r="M563" s="273"/>
      <c r="N563" s="273"/>
      <c r="O563" s="273"/>
      <c r="P563" s="275"/>
      <c r="Q563" s="273"/>
      <c r="R563" s="273"/>
      <c r="S563" s="273"/>
      <c r="T563" s="273"/>
      <c r="U563" s="273"/>
      <c r="V563" s="273"/>
      <c r="W563" s="273"/>
      <c r="X563" s="273"/>
      <c r="Y563" s="273"/>
      <c r="Z563" s="273"/>
      <c r="AA563" s="273"/>
      <c r="AB563" s="273"/>
      <c r="AC563" s="273"/>
    </row>
    <row r="564" ht="75.0" customHeight="1">
      <c r="A564" s="273"/>
      <c r="B564" s="273"/>
      <c r="C564" s="273"/>
      <c r="D564" s="273"/>
      <c r="E564" s="273"/>
      <c r="F564" s="275"/>
      <c r="G564" s="273"/>
      <c r="H564" s="273"/>
      <c r="I564" s="275"/>
      <c r="J564" s="273"/>
      <c r="K564" s="273"/>
      <c r="L564" s="273"/>
      <c r="M564" s="273"/>
      <c r="N564" s="273"/>
      <c r="O564" s="273"/>
      <c r="P564" s="275"/>
      <c r="Q564" s="273"/>
      <c r="R564" s="273"/>
      <c r="S564" s="273"/>
      <c r="T564" s="273"/>
      <c r="U564" s="273"/>
      <c r="V564" s="273"/>
      <c r="W564" s="273"/>
      <c r="X564" s="273"/>
      <c r="Y564" s="273"/>
      <c r="Z564" s="273"/>
      <c r="AA564" s="273"/>
      <c r="AB564" s="273"/>
      <c r="AC564" s="273"/>
    </row>
    <row r="565" ht="75.0" customHeight="1">
      <c r="A565" s="273"/>
      <c r="B565" s="273"/>
      <c r="C565" s="273"/>
      <c r="D565" s="273"/>
      <c r="E565" s="273"/>
      <c r="F565" s="275"/>
      <c r="G565" s="273"/>
      <c r="H565" s="273"/>
      <c r="I565" s="275"/>
      <c r="J565" s="273"/>
      <c r="K565" s="273"/>
      <c r="L565" s="273"/>
      <c r="M565" s="273"/>
      <c r="N565" s="273"/>
      <c r="O565" s="273"/>
      <c r="P565" s="275"/>
      <c r="Q565" s="273"/>
      <c r="R565" s="273"/>
      <c r="S565" s="273"/>
      <c r="T565" s="273"/>
      <c r="U565" s="273"/>
      <c r="V565" s="273"/>
      <c r="W565" s="273"/>
      <c r="X565" s="273"/>
      <c r="Y565" s="273"/>
      <c r="Z565" s="273"/>
      <c r="AA565" s="273"/>
      <c r="AB565" s="273"/>
      <c r="AC565" s="273"/>
    </row>
    <row r="566" ht="75.0" customHeight="1">
      <c r="A566" s="273"/>
      <c r="B566" s="273"/>
      <c r="C566" s="273"/>
      <c r="D566" s="273"/>
      <c r="E566" s="273"/>
      <c r="F566" s="275"/>
      <c r="G566" s="273"/>
      <c r="H566" s="273"/>
      <c r="I566" s="275"/>
      <c r="J566" s="273"/>
      <c r="K566" s="273"/>
      <c r="L566" s="273"/>
      <c r="M566" s="273"/>
      <c r="N566" s="273"/>
      <c r="O566" s="273"/>
      <c r="P566" s="275"/>
      <c r="Q566" s="273"/>
      <c r="R566" s="273"/>
      <c r="S566" s="273"/>
      <c r="T566" s="273"/>
      <c r="U566" s="273"/>
      <c r="V566" s="273"/>
      <c r="W566" s="273"/>
      <c r="X566" s="273"/>
      <c r="Y566" s="273"/>
      <c r="Z566" s="273"/>
      <c r="AA566" s="273"/>
      <c r="AB566" s="273"/>
      <c r="AC566" s="273"/>
    </row>
    <row r="567" ht="75.0" customHeight="1">
      <c r="A567" s="273"/>
      <c r="B567" s="273"/>
      <c r="C567" s="273"/>
      <c r="D567" s="273"/>
      <c r="E567" s="273"/>
      <c r="F567" s="275"/>
      <c r="G567" s="273"/>
      <c r="H567" s="273"/>
      <c r="I567" s="275"/>
      <c r="J567" s="273"/>
      <c r="K567" s="273"/>
      <c r="L567" s="273"/>
      <c r="M567" s="273"/>
      <c r="N567" s="273"/>
      <c r="O567" s="273"/>
      <c r="P567" s="275"/>
      <c r="Q567" s="273"/>
      <c r="R567" s="273"/>
      <c r="S567" s="273"/>
      <c r="T567" s="273"/>
      <c r="U567" s="273"/>
      <c r="V567" s="273"/>
      <c r="W567" s="273"/>
      <c r="X567" s="273"/>
      <c r="Y567" s="273"/>
      <c r="Z567" s="273"/>
      <c r="AA567" s="273"/>
      <c r="AB567" s="273"/>
      <c r="AC567" s="273"/>
    </row>
    <row r="568" ht="75.0" customHeight="1">
      <c r="A568" s="273"/>
      <c r="B568" s="273"/>
      <c r="C568" s="273"/>
      <c r="D568" s="273"/>
      <c r="E568" s="273"/>
      <c r="F568" s="275"/>
      <c r="G568" s="273"/>
      <c r="H568" s="273"/>
      <c r="I568" s="275"/>
      <c r="J568" s="273"/>
      <c r="K568" s="273"/>
      <c r="L568" s="273"/>
      <c r="M568" s="273"/>
      <c r="N568" s="273"/>
      <c r="O568" s="273"/>
      <c r="P568" s="275"/>
      <c r="Q568" s="273"/>
      <c r="R568" s="273"/>
      <c r="S568" s="273"/>
      <c r="T568" s="273"/>
      <c r="U568" s="273"/>
      <c r="V568" s="273"/>
      <c r="W568" s="273"/>
      <c r="X568" s="273"/>
      <c r="Y568" s="273"/>
      <c r="Z568" s="273"/>
      <c r="AA568" s="273"/>
      <c r="AB568" s="273"/>
      <c r="AC568" s="273"/>
    </row>
    <row r="569" ht="75.0" customHeight="1">
      <c r="A569" s="273"/>
      <c r="B569" s="273"/>
      <c r="C569" s="273"/>
      <c r="D569" s="273"/>
      <c r="E569" s="273"/>
      <c r="F569" s="275"/>
      <c r="G569" s="273"/>
      <c r="H569" s="273"/>
      <c r="I569" s="275"/>
      <c r="J569" s="273"/>
      <c r="K569" s="273"/>
      <c r="L569" s="273"/>
      <c r="M569" s="273"/>
      <c r="N569" s="273"/>
      <c r="O569" s="273"/>
      <c r="P569" s="275"/>
      <c r="Q569" s="273"/>
      <c r="R569" s="273"/>
      <c r="S569" s="273"/>
      <c r="T569" s="273"/>
      <c r="U569" s="273"/>
      <c r="V569" s="273"/>
      <c r="W569" s="273"/>
      <c r="X569" s="273"/>
      <c r="Y569" s="273"/>
      <c r="Z569" s="273"/>
      <c r="AA569" s="273"/>
      <c r="AB569" s="273"/>
      <c r="AC569" s="273"/>
    </row>
    <row r="570" ht="75.0" customHeight="1">
      <c r="A570" s="273"/>
      <c r="B570" s="273"/>
      <c r="C570" s="273"/>
      <c r="D570" s="273"/>
      <c r="E570" s="273"/>
      <c r="F570" s="275"/>
      <c r="G570" s="273"/>
      <c r="H570" s="273"/>
      <c r="I570" s="275"/>
      <c r="J570" s="273"/>
      <c r="K570" s="273"/>
      <c r="L570" s="273"/>
      <c r="M570" s="273"/>
      <c r="N570" s="273"/>
      <c r="O570" s="273"/>
      <c r="P570" s="275"/>
      <c r="Q570" s="273"/>
      <c r="R570" s="273"/>
      <c r="S570" s="273"/>
      <c r="T570" s="273"/>
      <c r="U570" s="273"/>
      <c r="V570" s="273"/>
      <c r="W570" s="273"/>
      <c r="X570" s="273"/>
      <c r="Y570" s="273"/>
      <c r="Z570" s="273"/>
      <c r="AA570" s="273"/>
      <c r="AB570" s="273"/>
      <c r="AC570" s="273"/>
    </row>
    <row r="571" ht="75.0" customHeight="1">
      <c r="A571" s="273"/>
      <c r="B571" s="273"/>
      <c r="C571" s="273"/>
      <c r="D571" s="273"/>
      <c r="E571" s="273"/>
      <c r="F571" s="275"/>
      <c r="G571" s="273"/>
      <c r="H571" s="273"/>
      <c r="I571" s="275"/>
      <c r="J571" s="273"/>
      <c r="K571" s="273"/>
      <c r="L571" s="273"/>
      <c r="M571" s="273"/>
      <c r="N571" s="273"/>
      <c r="O571" s="273"/>
      <c r="P571" s="275"/>
      <c r="Q571" s="273"/>
      <c r="R571" s="273"/>
      <c r="S571" s="273"/>
      <c r="T571" s="273"/>
      <c r="U571" s="273"/>
      <c r="V571" s="273"/>
      <c r="W571" s="273"/>
      <c r="X571" s="273"/>
      <c r="Y571" s="273"/>
      <c r="Z571" s="273"/>
      <c r="AA571" s="273"/>
      <c r="AB571" s="273"/>
      <c r="AC571" s="273"/>
    </row>
    <row r="572" ht="75.0" customHeight="1">
      <c r="A572" s="273"/>
      <c r="B572" s="273"/>
      <c r="C572" s="273"/>
      <c r="D572" s="273"/>
      <c r="E572" s="273"/>
      <c r="F572" s="275"/>
      <c r="G572" s="273"/>
      <c r="H572" s="273"/>
      <c r="I572" s="275"/>
      <c r="J572" s="273"/>
      <c r="K572" s="273"/>
      <c r="L572" s="273"/>
      <c r="M572" s="273"/>
      <c r="N572" s="273"/>
      <c r="O572" s="273"/>
      <c r="P572" s="275"/>
      <c r="Q572" s="273"/>
      <c r="R572" s="273"/>
      <c r="S572" s="273"/>
      <c r="T572" s="273"/>
      <c r="U572" s="273"/>
      <c r="V572" s="273"/>
      <c r="W572" s="273"/>
      <c r="X572" s="273"/>
      <c r="Y572" s="273"/>
      <c r="Z572" s="273"/>
      <c r="AA572" s="273"/>
      <c r="AB572" s="273"/>
      <c r="AC572" s="273"/>
    </row>
    <row r="573" ht="75.0" customHeight="1">
      <c r="A573" s="273"/>
      <c r="B573" s="273"/>
      <c r="C573" s="273"/>
      <c r="D573" s="273"/>
      <c r="E573" s="273"/>
      <c r="F573" s="275"/>
      <c r="G573" s="273"/>
      <c r="H573" s="273"/>
      <c r="I573" s="275"/>
      <c r="J573" s="273"/>
      <c r="K573" s="273"/>
      <c r="L573" s="273"/>
      <c r="M573" s="273"/>
      <c r="N573" s="273"/>
      <c r="O573" s="273"/>
      <c r="P573" s="275"/>
      <c r="Q573" s="273"/>
      <c r="R573" s="273"/>
      <c r="S573" s="273"/>
      <c r="T573" s="273"/>
      <c r="U573" s="273"/>
      <c r="V573" s="273"/>
      <c r="W573" s="273"/>
      <c r="X573" s="273"/>
      <c r="Y573" s="273"/>
      <c r="Z573" s="273"/>
      <c r="AA573" s="273"/>
      <c r="AB573" s="273"/>
      <c r="AC573" s="273"/>
    </row>
    <row r="574" ht="75.0" customHeight="1">
      <c r="A574" s="273"/>
      <c r="B574" s="273"/>
      <c r="C574" s="273"/>
      <c r="D574" s="273"/>
      <c r="E574" s="273"/>
      <c r="F574" s="275"/>
      <c r="G574" s="273"/>
      <c r="H574" s="273"/>
      <c r="I574" s="275"/>
      <c r="J574" s="273"/>
      <c r="K574" s="273"/>
      <c r="L574" s="273"/>
      <c r="M574" s="273"/>
      <c r="N574" s="273"/>
      <c r="O574" s="273"/>
      <c r="P574" s="275"/>
      <c r="Q574" s="273"/>
      <c r="R574" s="273"/>
      <c r="S574" s="273"/>
      <c r="T574" s="273"/>
      <c r="U574" s="273"/>
      <c r="V574" s="273"/>
      <c r="W574" s="273"/>
      <c r="X574" s="273"/>
      <c r="Y574" s="273"/>
      <c r="Z574" s="273"/>
      <c r="AA574" s="273"/>
      <c r="AB574" s="273"/>
      <c r="AC574" s="273"/>
    </row>
    <row r="575" ht="75.0" customHeight="1">
      <c r="A575" s="273"/>
      <c r="B575" s="273"/>
      <c r="C575" s="273"/>
      <c r="D575" s="273"/>
      <c r="E575" s="273"/>
      <c r="F575" s="275"/>
      <c r="G575" s="273"/>
      <c r="H575" s="273"/>
      <c r="I575" s="275"/>
      <c r="J575" s="273"/>
      <c r="K575" s="273"/>
      <c r="L575" s="273"/>
      <c r="M575" s="273"/>
      <c r="N575" s="273"/>
      <c r="O575" s="273"/>
      <c r="P575" s="275"/>
      <c r="Q575" s="273"/>
      <c r="R575" s="273"/>
      <c r="S575" s="273"/>
      <c r="T575" s="273"/>
      <c r="U575" s="273"/>
      <c r="V575" s="273"/>
      <c r="W575" s="273"/>
      <c r="X575" s="273"/>
      <c r="Y575" s="273"/>
      <c r="Z575" s="273"/>
      <c r="AA575" s="273"/>
      <c r="AB575" s="273"/>
      <c r="AC575" s="273"/>
    </row>
    <row r="576" ht="75.0" customHeight="1">
      <c r="A576" s="273"/>
      <c r="B576" s="273"/>
      <c r="C576" s="273"/>
      <c r="D576" s="273"/>
      <c r="E576" s="273"/>
      <c r="F576" s="275"/>
      <c r="G576" s="273"/>
      <c r="H576" s="273"/>
      <c r="I576" s="275"/>
      <c r="J576" s="273"/>
      <c r="K576" s="273"/>
      <c r="L576" s="273"/>
      <c r="M576" s="273"/>
      <c r="N576" s="273"/>
      <c r="O576" s="273"/>
      <c r="P576" s="275"/>
      <c r="Q576" s="273"/>
      <c r="R576" s="273"/>
      <c r="S576" s="273"/>
      <c r="T576" s="273"/>
      <c r="U576" s="273"/>
      <c r="V576" s="273"/>
      <c r="W576" s="273"/>
      <c r="X576" s="273"/>
      <c r="Y576" s="273"/>
      <c r="Z576" s="273"/>
      <c r="AA576" s="273"/>
      <c r="AB576" s="273"/>
      <c r="AC576" s="273"/>
    </row>
    <row r="577" ht="75.0" customHeight="1">
      <c r="A577" s="273"/>
      <c r="B577" s="273"/>
      <c r="C577" s="273"/>
      <c r="D577" s="273"/>
      <c r="E577" s="273"/>
      <c r="F577" s="275"/>
      <c r="G577" s="273"/>
      <c r="H577" s="273"/>
      <c r="I577" s="275"/>
      <c r="J577" s="273"/>
      <c r="K577" s="273"/>
      <c r="L577" s="273"/>
      <c r="M577" s="273"/>
      <c r="N577" s="273"/>
      <c r="O577" s="273"/>
      <c r="P577" s="275"/>
      <c r="Q577" s="273"/>
      <c r="R577" s="273"/>
      <c r="S577" s="273"/>
      <c r="T577" s="273"/>
      <c r="U577" s="273"/>
      <c r="V577" s="273"/>
      <c r="W577" s="273"/>
      <c r="X577" s="273"/>
      <c r="Y577" s="273"/>
      <c r="Z577" s="273"/>
      <c r="AA577" s="273"/>
      <c r="AB577" s="273"/>
      <c r="AC577" s="273"/>
    </row>
    <row r="578" ht="75.0" customHeight="1">
      <c r="A578" s="273"/>
      <c r="B578" s="273"/>
      <c r="C578" s="273"/>
      <c r="D578" s="273"/>
      <c r="E578" s="273"/>
      <c r="F578" s="275"/>
      <c r="G578" s="273"/>
      <c r="H578" s="273"/>
      <c r="I578" s="275"/>
      <c r="J578" s="273"/>
      <c r="K578" s="273"/>
      <c r="L578" s="273"/>
      <c r="M578" s="273"/>
      <c r="N578" s="273"/>
      <c r="O578" s="273"/>
      <c r="P578" s="275"/>
      <c r="Q578" s="273"/>
      <c r="R578" s="273"/>
      <c r="S578" s="273"/>
      <c r="T578" s="273"/>
      <c r="U578" s="273"/>
      <c r="V578" s="273"/>
      <c r="W578" s="273"/>
      <c r="X578" s="273"/>
      <c r="Y578" s="273"/>
      <c r="Z578" s="273"/>
      <c r="AA578" s="273"/>
      <c r="AB578" s="273"/>
      <c r="AC578" s="273"/>
    </row>
    <row r="579" ht="75.0" customHeight="1">
      <c r="A579" s="273"/>
      <c r="B579" s="273"/>
      <c r="C579" s="273"/>
      <c r="D579" s="273"/>
      <c r="E579" s="273"/>
      <c r="F579" s="275"/>
      <c r="G579" s="273"/>
      <c r="H579" s="273"/>
      <c r="I579" s="275"/>
      <c r="J579" s="273"/>
      <c r="K579" s="273"/>
      <c r="L579" s="273"/>
      <c r="M579" s="273"/>
      <c r="N579" s="273"/>
      <c r="O579" s="273"/>
      <c r="P579" s="275"/>
      <c r="Q579" s="273"/>
      <c r="R579" s="273"/>
      <c r="S579" s="273"/>
      <c r="T579" s="273"/>
      <c r="U579" s="273"/>
      <c r="V579" s="273"/>
      <c r="W579" s="273"/>
      <c r="X579" s="273"/>
      <c r="Y579" s="273"/>
      <c r="Z579" s="273"/>
      <c r="AA579" s="273"/>
      <c r="AB579" s="273"/>
      <c r="AC579" s="273"/>
    </row>
    <row r="580" ht="75.0" customHeight="1">
      <c r="A580" s="273"/>
      <c r="B580" s="273"/>
      <c r="C580" s="273"/>
      <c r="D580" s="273"/>
      <c r="E580" s="273"/>
      <c r="F580" s="275"/>
      <c r="G580" s="273"/>
      <c r="H580" s="273"/>
      <c r="I580" s="275"/>
      <c r="J580" s="273"/>
      <c r="K580" s="273"/>
      <c r="L580" s="273"/>
      <c r="M580" s="273"/>
      <c r="N580" s="273"/>
      <c r="O580" s="273"/>
      <c r="P580" s="275"/>
      <c r="Q580" s="273"/>
      <c r="R580" s="273"/>
      <c r="S580" s="273"/>
      <c r="T580" s="273"/>
      <c r="U580" s="273"/>
      <c r="V580" s="273"/>
      <c r="W580" s="273"/>
      <c r="X580" s="273"/>
      <c r="Y580" s="273"/>
      <c r="Z580" s="273"/>
      <c r="AA580" s="273"/>
      <c r="AB580" s="273"/>
      <c r="AC580" s="273"/>
    </row>
    <row r="581" ht="75.0" customHeight="1">
      <c r="A581" s="273"/>
      <c r="B581" s="273"/>
      <c r="C581" s="273"/>
      <c r="D581" s="273"/>
      <c r="E581" s="273"/>
      <c r="F581" s="275"/>
      <c r="G581" s="273"/>
      <c r="H581" s="273"/>
      <c r="I581" s="275"/>
      <c r="J581" s="273"/>
      <c r="K581" s="273"/>
      <c r="L581" s="273"/>
      <c r="M581" s="273"/>
      <c r="N581" s="273"/>
      <c r="O581" s="273"/>
      <c r="P581" s="275"/>
      <c r="Q581" s="273"/>
      <c r="R581" s="273"/>
      <c r="S581" s="273"/>
      <c r="T581" s="273"/>
      <c r="U581" s="273"/>
      <c r="V581" s="273"/>
      <c r="W581" s="273"/>
      <c r="X581" s="273"/>
      <c r="Y581" s="273"/>
      <c r="Z581" s="273"/>
      <c r="AA581" s="273"/>
      <c r="AB581" s="273"/>
      <c r="AC581" s="273"/>
    </row>
    <row r="582" ht="75.0" customHeight="1">
      <c r="A582" s="273"/>
      <c r="B582" s="273"/>
      <c r="C582" s="273"/>
      <c r="D582" s="273"/>
      <c r="E582" s="273"/>
      <c r="F582" s="275"/>
      <c r="G582" s="273"/>
      <c r="H582" s="273"/>
      <c r="I582" s="275"/>
      <c r="J582" s="273"/>
      <c r="K582" s="273"/>
      <c r="L582" s="273"/>
      <c r="M582" s="273"/>
      <c r="N582" s="273"/>
      <c r="O582" s="273"/>
      <c r="P582" s="275"/>
      <c r="Q582" s="273"/>
      <c r="R582" s="273"/>
      <c r="S582" s="273"/>
      <c r="T582" s="273"/>
      <c r="U582" s="273"/>
      <c r="V582" s="273"/>
      <c r="W582" s="273"/>
      <c r="X582" s="273"/>
      <c r="Y582" s="273"/>
      <c r="Z582" s="273"/>
      <c r="AA582" s="273"/>
      <c r="AB582" s="273"/>
      <c r="AC582" s="273"/>
    </row>
    <row r="583" ht="75.0" customHeight="1">
      <c r="A583" s="273"/>
      <c r="B583" s="273"/>
      <c r="C583" s="273"/>
      <c r="D583" s="273"/>
      <c r="E583" s="273"/>
      <c r="F583" s="275"/>
      <c r="G583" s="273"/>
      <c r="H583" s="273"/>
      <c r="I583" s="275"/>
      <c r="J583" s="273"/>
      <c r="K583" s="273"/>
      <c r="L583" s="273"/>
      <c r="M583" s="273"/>
      <c r="N583" s="273"/>
      <c r="O583" s="273"/>
      <c r="P583" s="275"/>
      <c r="Q583" s="273"/>
      <c r="R583" s="273"/>
      <c r="S583" s="273"/>
      <c r="T583" s="273"/>
      <c r="U583" s="273"/>
      <c r="V583" s="273"/>
      <c r="W583" s="273"/>
      <c r="X583" s="273"/>
      <c r="Y583" s="273"/>
      <c r="Z583" s="273"/>
      <c r="AA583" s="273"/>
      <c r="AB583" s="273"/>
      <c r="AC583" s="273"/>
    </row>
    <row r="584" ht="75.0" customHeight="1">
      <c r="A584" s="273"/>
      <c r="B584" s="273"/>
      <c r="C584" s="273"/>
      <c r="D584" s="273"/>
      <c r="E584" s="273"/>
      <c r="F584" s="275"/>
      <c r="G584" s="273"/>
      <c r="H584" s="273"/>
      <c r="I584" s="275"/>
      <c r="J584" s="273"/>
      <c r="K584" s="273"/>
      <c r="L584" s="273"/>
      <c r="M584" s="273"/>
      <c r="N584" s="273"/>
      <c r="O584" s="273"/>
      <c r="P584" s="275"/>
      <c r="Q584" s="273"/>
      <c r="R584" s="273"/>
      <c r="S584" s="273"/>
      <c r="T584" s="273"/>
      <c r="U584" s="273"/>
      <c r="V584" s="273"/>
      <c r="W584" s="273"/>
      <c r="X584" s="273"/>
      <c r="Y584" s="273"/>
      <c r="Z584" s="273"/>
      <c r="AA584" s="273"/>
      <c r="AB584" s="273"/>
      <c r="AC584" s="273"/>
    </row>
    <row r="585" ht="75.0" customHeight="1">
      <c r="A585" s="273"/>
      <c r="B585" s="273"/>
      <c r="C585" s="273"/>
      <c r="D585" s="273"/>
      <c r="E585" s="273"/>
      <c r="F585" s="275"/>
      <c r="G585" s="273"/>
      <c r="H585" s="273"/>
      <c r="I585" s="275"/>
      <c r="J585" s="273"/>
      <c r="K585" s="273"/>
      <c r="L585" s="273"/>
      <c r="M585" s="273"/>
      <c r="N585" s="273"/>
      <c r="O585" s="273"/>
      <c r="P585" s="275"/>
      <c r="Q585" s="273"/>
      <c r="R585" s="273"/>
      <c r="S585" s="273"/>
      <c r="T585" s="273"/>
      <c r="U585" s="273"/>
      <c r="V585" s="273"/>
      <c r="W585" s="273"/>
      <c r="X585" s="273"/>
      <c r="Y585" s="273"/>
      <c r="Z585" s="273"/>
      <c r="AA585" s="273"/>
      <c r="AB585" s="273"/>
      <c r="AC585" s="273"/>
    </row>
    <row r="586" ht="75.0" customHeight="1">
      <c r="A586" s="273"/>
      <c r="B586" s="273"/>
      <c r="C586" s="273"/>
      <c r="D586" s="273"/>
      <c r="E586" s="273"/>
      <c r="F586" s="275"/>
      <c r="G586" s="273"/>
      <c r="H586" s="273"/>
      <c r="I586" s="275"/>
      <c r="J586" s="273"/>
      <c r="K586" s="273"/>
      <c r="L586" s="273"/>
      <c r="M586" s="273"/>
      <c r="N586" s="273"/>
      <c r="O586" s="273"/>
      <c r="P586" s="275"/>
      <c r="Q586" s="273"/>
      <c r="R586" s="273"/>
      <c r="S586" s="273"/>
      <c r="T586" s="273"/>
      <c r="U586" s="273"/>
      <c r="V586" s="273"/>
      <c r="W586" s="273"/>
      <c r="X586" s="273"/>
      <c r="Y586" s="273"/>
      <c r="Z586" s="273"/>
      <c r="AA586" s="273"/>
      <c r="AB586" s="273"/>
      <c r="AC586" s="273"/>
    </row>
    <row r="587" ht="75.0" customHeight="1">
      <c r="A587" s="273"/>
      <c r="B587" s="273"/>
      <c r="C587" s="273"/>
      <c r="D587" s="273"/>
      <c r="E587" s="273"/>
      <c r="F587" s="275"/>
      <c r="G587" s="273"/>
      <c r="H587" s="273"/>
      <c r="I587" s="275"/>
      <c r="J587" s="273"/>
      <c r="K587" s="273"/>
      <c r="L587" s="273"/>
      <c r="M587" s="273"/>
      <c r="N587" s="273"/>
      <c r="O587" s="273"/>
      <c r="P587" s="275"/>
      <c r="Q587" s="273"/>
      <c r="R587" s="273"/>
      <c r="S587" s="273"/>
      <c r="T587" s="273"/>
      <c r="U587" s="273"/>
      <c r="V587" s="273"/>
      <c r="W587" s="273"/>
      <c r="X587" s="273"/>
      <c r="Y587" s="273"/>
      <c r="Z587" s="273"/>
      <c r="AA587" s="273"/>
      <c r="AB587" s="273"/>
      <c r="AC587" s="273"/>
    </row>
    <row r="588" ht="75.0" customHeight="1">
      <c r="A588" s="273"/>
      <c r="B588" s="273"/>
      <c r="C588" s="273"/>
      <c r="D588" s="273"/>
      <c r="E588" s="273"/>
      <c r="F588" s="275"/>
      <c r="G588" s="273"/>
      <c r="H588" s="273"/>
      <c r="I588" s="275"/>
      <c r="J588" s="273"/>
      <c r="K588" s="273"/>
      <c r="L588" s="273"/>
      <c r="M588" s="273"/>
      <c r="N588" s="273"/>
      <c r="O588" s="273"/>
      <c r="P588" s="275"/>
      <c r="Q588" s="273"/>
      <c r="R588" s="273"/>
      <c r="S588" s="273"/>
      <c r="T588" s="273"/>
      <c r="U588" s="273"/>
      <c r="V588" s="273"/>
      <c r="W588" s="273"/>
      <c r="X588" s="273"/>
      <c r="Y588" s="273"/>
      <c r="Z588" s="273"/>
      <c r="AA588" s="273"/>
      <c r="AB588" s="273"/>
      <c r="AC588" s="273"/>
    </row>
    <row r="589" ht="75.0" customHeight="1">
      <c r="A589" s="273"/>
      <c r="B589" s="273"/>
      <c r="C589" s="273"/>
      <c r="D589" s="273"/>
      <c r="E589" s="273"/>
      <c r="F589" s="275"/>
      <c r="G589" s="273"/>
      <c r="H589" s="273"/>
      <c r="I589" s="275"/>
      <c r="J589" s="273"/>
      <c r="K589" s="273"/>
      <c r="L589" s="273"/>
      <c r="M589" s="273"/>
      <c r="N589" s="273"/>
      <c r="O589" s="273"/>
      <c r="P589" s="275"/>
      <c r="Q589" s="273"/>
      <c r="R589" s="273"/>
      <c r="S589" s="273"/>
      <c r="T589" s="273"/>
      <c r="U589" s="273"/>
      <c r="V589" s="273"/>
      <c r="W589" s="273"/>
      <c r="X589" s="273"/>
      <c r="Y589" s="273"/>
      <c r="Z589" s="273"/>
      <c r="AA589" s="273"/>
      <c r="AB589" s="273"/>
      <c r="AC589" s="273"/>
    </row>
    <row r="590" ht="75.0" customHeight="1">
      <c r="A590" s="273"/>
      <c r="B590" s="273"/>
      <c r="C590" s="273"/>
      <c r="D590" s="273"/>
      <c r="E590" s="273"/>
      <c r="F590" s="275"/>
      <c r="G590" s="273"/>
      <c r="H590" s="273"/>
      <c r="I590" s="275"/>
      <c r="J590" s="273"/>
      <c r="K590" s="273"/>
      <c r="L590" s="273"/>
      <c r="M590" s="273"/>
      <c r="N590" s="273"/>
      <c r="O590" s="273"/>
      <c r="P590" s="275"/>
      <c r="Q590" s="273"/>
      <c r="R590" s="273"/>
      <c r="S590" s="273"/>
      <c r="T590" s="273"/>
      <c r="U590" s="273"/>
      <c r="V590" s="273"/>
      <c r="W590" s="273"/>
      <c r="X590" s="273"/>
      <c r="Y590" s="273"/>
      <c r="Z590" s="273"/>
      <c r="AA590" s="273"/>
      <c r="AB590" s="273"/>
      <c r="AC590" s="273"/>
    </row>
    <row r="591" ht="75.0" customHeight="1">
      <c r="A591" s="273"/>
      <c r="B591" s="273"/>
      <c r="C591" s="273"/>
      <c r="D591" s="273"/>
      <c r="E591" s="273"/>
      <c r="F591" s="275"/>
      <c r="G591" s="273"/>
      <c r="H591" s="273"/>
      <c r="I591" s="275"/>
      <c r="J591" s="273"/>
      <c r="K591" s="273"/>
      <c r="L591" s="273"/>
      <c r="M591" s="273"/>
      <c r="N591" s="273"/>
      <c r="O591" s="273"/>
      <c r="P591" s="275"/>
      <c r="Q591" s="273"/>
      <c r="R591" s="273"/>
      <c r="S591" s="273"/>
      <c r="T591" s="273"/>
      <c r="U591" s="273"/>
      <c r="V591" s="273"/>
      <c r="W591" s="273"/>
      <c r="X591" s="273"/>
      <c r="Y591" s="273"/>
      <c r="Z591" s="273"/>
      <c r="AA591" s="273"/>
      <c r="AB591" s="273"/>
      <c r="AC591" s="273"/>
    </row>
    <row r="592" ht="75.0" customHeight="1">
      <c r="A592" s="273"/>
      <c r="B592" s="273"/>
      <c r="C592" s="273"/>
      <c r="D592" s="273"/>
      <c r="E592" s="273"/>
      <c r="F592" s="275"/>
      <c r="G592" s="273"/>
      <c r="H592" s="273"/>
      <c r="I592" s="275"/>
      <c r="J592" s="273"/>
      <c r="K592" s="273"/>
      <c r="L592" s="273"/>
      <c r="M592" s="273"/>
      <c r="N592" s="273"/>
      <c r="O592" s="273"/>
      <c r="P592" s="275"/>
      <c r="Q592" s="273"/>
      <c r="R592" s="273"/>
      <c r="S592" s="273"/>
      <c r="T592" s="273"/>
      <c r="U592" s="273"/>
      <c r="V592" s="273"/>
      <c r="W592" s="273"/>
      <c r="X592" s="273"/>
      <c r="Y592" s="273"/>
      <c r="Z592" s="273"/>
      <c r="AA592" s="273"/>
      <c r="AB592" s="273"/>
      <c r="AC592" s="273"/>
    </row>
    <row r="593" ht="75.0" customHeight="1">
      <c r="A593" s="273"/>
      <c r="B593" s="273"/>
      <c r="C593" s="273"/>
      <c r="D593" s="273"/>
      <c r="E593" s="273"/>
      <c r="F593" s="275"/>
      <c r="G593" s="273"/>
      <c r="H593" s="273"/>
      <c r="I593" s="275"/>
      <c r="J593" s="273"/>
      <c r="K593" s="273"/>
      <c r="L593" s="273"/>
      <c r="M593" s="273"/>
      <c r="N593" s="273"/>
      <c r="O593" s="273"/>
      <c r="P593" s="275"/>
      <c r="Q593" s="273"/>
      <c r="R593" s="273"/>
      <c r="S593" s="273"/>
      <c r="T593" s="273"/>
      <c r="U593" s="273"/>
      <c r="V593" s="273"/>
      <c r="W593" s="273"/>
      <c r="X593" s="273"/>
      <c r="Y593" s="273"/>
      <c r="Z593" s="273"/>
      <c r="AA593" s="273"/>
      <c r="AB593" s="273"/>
      <c r="AC593" s="273"/>
    </row>
    <row r="594" ht="75.0" customHeight="1">
      <c r="A594" s="273"/>
      <c r="B594" s="273"/>
      <c r="C594" s="273"/>
      <c r="D594" s="273"/>
      <c r="E594" s="273"/>
      <c r="F594" s="275"/>
      <c r="G594" s="273"/>
      <c r="H594" s="273"/>
      <c r="I594" s="275"/>
      <c r="J594" s="273"/>
      <c r="K594" s="273"/>
      <c r="L594" s="273"/>
      <c r="M594" s="273"/>
      <c r="N594" s="273"/>
      <c r="O594" s="273"/>
      <c r="P594" s="275"/>
      <c r="Q594" s="273"/>
      <c r="R594" s="273"/>
      <c r="S594" s="273"/>
      <c r="T594" s="273"/>
      <c r="U594" s="273"/>
      <c r="V594" s="273"/>
      <c r="W594" s="273"/>
      <c r="X594" s="273"/>
      <c r="Y594" s="273"/>
      <c r="Z594" s="273"/>
      <c r="AA594" s="273"/>
      <c r="AB594" s="273"/>
      <c r="AC594" s="273"/>
    </row>
    <row r="595" ht="75.0" customHeight="1">
      <c r="A595" s="273"/>
      <c r="B595" s="273"/>
      <c r="C595" s="273"/>
      <c r="D595" s="273"/>
      <c r="E595" s="273"/>
      <c r="F595" s="275"/>
      <c r="G595" s="273"/>
      <c r="H595" s="273"/>
      <c r="I595" s="275"/>
      <c r="J595" s="273"/>
      <c r="K595" s="273"/>
      <c r="L595" s="273"/>
      <c r="M595" s="273"/>
      <c r="N595" s="273"/>
      <c r="O595" s="273"/>
      <c r="P595" s="275"/>
      <c r="Q595" s="273"/>
      <c r="R595" s="273"/>
      <c r="S595" s="273"/>
      <c r="T595" s="273"/>
      <c r="U595" s="273"/>
      <c r="V595" s="273"/>
      <c r="W595" s="273"/>
      <c r="X595" s="273"/>
      <c r="Y595" s="273"/>
      <c r="Z595" s="273"/>
      <c r="AA595" s="273"/>
      <c r="AB595" s="273"/>
      <c r="AC595" s="273"/>
    </row>
    <row r="596" ht="75.0" customHeight="1">
      <c r="A596" s="273"/>
      <c r="B596" s="273"/>
      <c r="C596" s="273"/>
      <c r="D596" s="273"/>
      <c r="E596" s="273"/>
      <c r="F596" s="275"/>
      <c r="G596" s="273"/>
      <c r="H596" s="273"/>
      <c r="I596" s="275"/>
      <c r="J596" s="273"/>
      <c r="K596" s="273"/>
      <c r="L596" s="273"/>
      <c r="M596" s="273"/>
      <c r="N596" s="273"/>
      <c r="O596" s="273"/>
      <c r="P596" s="275"/>
      <c r="Q596" s="273"/>
      <c r="R596" s="273"/>
      <c r="S596" s="273"/>
      <c r="T596" s="273"/>
      <c r="U596" s="273"/>
      <c r="V596" s="273"/>
      <c r="W596" s="273"/>
      <c r="X596" s="273"/>
      <c r="Y596" s="273"/>
      <c r="Z596" s="273"/>
      <c r="AA596" s="273"/>
      <c r="AB596" s="273"/>
      <c r="AC596" s="273"/>
    </row>
    <row r="597" ht="75.0" customHeight="1">
      <c r="A597" s="273"/>
      <c r="B597" s="273"/>
      <c r="C597" s="273"/>
      <c r="D597" s="273"/>
      <c r="E597" s="273"/>
      <c r="F597" s="275"/>
      <c r="G597" s="273"/>
      <c r="H597" s="273"/>
      <c r="I597" s="275"/>
      <c r="J597" s="273"/>
      <c r="K597" s="273"/>
      <c r="L597" s="273"/>
      <c r="M597" s="273"/>
      <c r="N597" s="273"/>
      <c r="O597" s="273"/>
      <c r="P597" s="275"/>
      <c r="Q597" s="273"/>
      <c r="R597" s="273"/>
      <c r="S597" s="273"/>
      <c r="T597" s="273"/>
      <c r="U597" s="273"/>
      <c r="V597" s="273"/>
      <c r="W597" s="273"/>
      <c r="X597" s="273"/>
      <c r="Y597" s="273"/>
      <c r="Z597" s="273"/>
      <c r="AA597" s="273"/>
      <c r="AB597" s="273"/>
      <c r="AC597" s="273"/>
    </row>
    <row r="598" ht="75.0" customHeight="1">
      <c r="A598" s="273"/>
      <c r="B598" s="273"/>
      <c r="C598" s="273"/>
      <c r="D598" s="273"/>
      <c r="E598" s="273"/>
      <c r="F598" s="275"/>
      <c r="G598" s="273"/>
      <c r="H598" s="273"/>
      <c r="I598" s="275"/>
      <c r="J598" s="273"/>
      <c r="K598" s="273"/>
      <c r="L598" s="273"/>
      <c r="M598" s="273"/>
      <c r="N598" s="273"/>
      <c r="O598" s="273"/>
      <c r="P598" s="275"/>
      <c r="Q598" s="273"/>
      <c r="R598" s="273"/>
      <c r="S598" s="273"/>
      <c r="T598" s="273"/>
      <c r="U598" s="273"/>
      <c r="V598" s="273"/>
      <c r="W598" s="273"/>
      <c r="X598" s="273"/>
      <c r="Y598" s="273"/>
      <c r="Z598" s="273"/>
      <c r="AA598" s="273"/>
      <c r="AB598" s="273"/>
      <c r="AC598" s="273"/>
    </row>
    <row r="599" ht="75.0" customHeight="1">
      <c r="A599" s="273"/>
      <c r="B599" s="273"/>
      <c r="C599" s="273"/>
      <c r="D599" s="273"/>
      <c r="E599" s="273"/>
      <c r="F599" s="275"/>
      <c r="G599" s="273"/>
      <c r="H599" s="273"/>
      <c r="I599" s="275"/>
      <c r="J599" s="273"/>
      <c r="K599" s="273"/>
      <c r="L599" s="273"/>
      <c r="M599" s="273"/>
      <c r="N599" s="273"/>
      <c r="O599" s="273"/>
      <c r="P599" s="275"/>
      <c r="Q599" s="273"/>
      <c r="R599" s="273"/>
      <c r="S599" s="273"/>
      <c r="T599" s="273"/>
      <c r="U599" s="273"/>
      <c r="V599" s="273"/>
      <c r="W599" s="273"/>
      <c r="X599" s="273"/>
      <c r="Y599" s="273"/>
      <c r="Z599" s="273"/>
      <c r="AA599" s="273"/>
      <c r="AB599" s="273"/>
      <c r="AC599" s="273"/>
    </row>
    <row r="600" ht="75.0" customHeight="1">
      <c r="A600" s="273"/>
      <c r="B600" s="273"/>
      <c r="C600" s="273"/>
      <c r="D600" s="273"/>
      <c r="E600" s="273"/>
      <c r="F600" s="275"/>
      <c r="G600" s="273"/>
      <c r="H600" s="273"/>
      <c r="I600" s="275"/>
      <c r="J600" s="273"/>
      <c r="K600" s="273"/>
      <c r="L600" s="273"/>
      <c r="M600" s="273"/>
      <c r="N600" s="273"/>
      <c r="O600" s="273"/>
      <c r="P600" s="275"/>
      <c r="Q600" s="273"/>
      <c r="R600" s="273"/>
      <c r="S600" s="273"/>
      <c r="T600" s="273"/>
      <c r="U600" s="273"/>
      <c r="V600" s="273"/>
      <c r="W600" s="273"/>
      <c r="X600" s="273"/>
      <c r="Y600" s="273"/>
      <c r="Z600" s="273"/>
      <c r="AA600" s="273"/>
      <c r="AB600" s="273"/>
      <c r="AC600" s="273"/>
    </row>
    <row r="601" ht="75.0" customHeight="1">
      <c r="A601" s="273"/>
      <c r="B601" s="273"/>
      <c r="C601" s="273"/>
      <c r="D601" s="273"/>
      <c r="E601" s="273"/>
      <c r="F601" s="275"/>
      <c r="G601" s="273"/>
      <c r="H601" s="273"/>
      <c r="I601" s="275"/>
      <c r="J601" s="273"/>
      <c r="K601" s="273"/>
      <c r="L601" s="273"/>
      <c r="M601" s="273"/>
      <c r="N601" s="273"/>
      <c r="O601" s="273"/>
      <c r="P601" s="275"/>
      <c r="Q601" s="273"/>
      <c r="R601" s="273"/>
      <c r="S601" s="273"/>
      <c r="T601" s="273"/>
      <c r="U601" s="273"/>
      <c r="V601" s="273"/>
      <c r="W601" s="273"/>
      <c r="X601" s="273"/>
      <c r="Y601" s="273"/>
      <c r="Z601" s="273"/>
      <c r="AA601" s="273"/>
      <c r="AB601" s="273"/>
      <c r="AC601" s="273"/>
    </row>
    <row r="602" ht="75.0" customHeight="1">
      <c r="A602" s="273"/>
      <c r="B602" s="273"/>
      <c r="C602" s="273"/>
      <c r="D602" s="273"/>
      <c r="E602" s="273"/>
      <c r="F602" s="275"/>
      <c r="G602" s="273"/>
      <c r="H602" s="273"/>
      <c r="I602" s="275"/>
      <c r="J602" s="273"/>
      <c r="K602" s="273"/>
      <c r="L602" s="273"/>
      <c r="M602" s="273"/>
      <c r="N602" s="273"/>
      <c r="O602" s="273"/>
      <c r="P602" s="275"/>
      <c r="Q602" s="273"/>
      <c r="R602" s="273"/>
      <c r="S602" s="273"/>
      <c r="T602" s="273"/>
      <c r="U602" s="273"/>
      <c r="V602" s="273"/>
      <c r="W602" s="273"/>
      <c r="X602" s="273"/>
      <c r="Y602" s="273"/>
      <c r="Z602" s="273"/>
      <c r="AA602" s="273"/>
      <c r="AB602" s="273"/>
      <c r="AC602" s="273"/>
    </row>
    <row r="603" ht="75.0" customHeight="1">
      <c r="A603" s="273"/>
      <c r="B603" s="273"/>
      <c r="C603" s="273"/>
      <c r="D603" s="273"/>
      <c r="E603" s="273"/>
      <c r="F603" s="275"/>
      <c r="G603" s="273"/>
      <c r="H603" s="273"/>
      <c r="I603" s="275"/>
      <c r="J603" s="273"/>
      <c r="K603" s="273"/>
      <c r="L603" s="273"/>
      <c r="M603" s="273"/>
      <c r="N603" s="273"/>
      <c r="O603" s="273"/>
      <c r="P603" s="275"/>
      <c r="Q603" s="273"/>
      <c r="R603" s="273"/>
      <c r="S603" s="273"/>
      <c r="T603" s="273"/>
      <c r="U603" s="273"/>
      <c r="V603" s="273"/>
      <c r="W603" s="273"/>
      <c r="X603" s="273"/>
      <c r="Y603" s="273"/>
      <c r="Z603" s="273"/>
      <c r="AA603" s="273"/>
      <c r="AB603" s="273"/>
      <c r="AC603" s="273"/>
    </row>
    <row r="604" ht="75.0" customHeight="1">
      <c r="A604" s="273"/>
      <c r="B604" s="273"/>
      <c r="C604" s="273"/>
      <c r="D604" s="273"/>
      <c r="E604" s="273"/>
      <c r="F604" s="275"/>
      <c r="G604" s="273"/>
      <c r="H604" s="273"/>
      <c r="I604" s="275"/>
      <c r="J604" s="273"/>
      <c r="K604" s="273"/>
      <c r="L604" s="273"/>
      <c r="M604" s="273"/>
      <c r="N604" s="273"/>
      <c r="O604" s="273"/>
      <c r="P604" s="275"/>
      <c r="Q604" s="273"/>
      <c r="R604" s="273"/>
      <c r="S604" s="273"/>
      <c r="T604" s="273"/>
      <c r="U604" s="273"/>
      <c r="V604" s="273"/>
      <c r="W604" s="273"/>
      <c r="X604" s="273"/>
      <c r="Y604" s="273"/>
      <c r="Z604" s="273"/>
      <c r="AA604" s="273"/>
      <c r="AB604" s="273"/>
      <c r="AC604" s="273"/>
    </row>
    <row r="605" ht="75.0" customHeight="1">
      <c r="A605" s="273"/>
      <c r="B605" s="273"/>
      <c r="C605" s="273"/>
      <c r="D605" s="273"/>
      <c r="E605" s="273"/>
      <c r="F605" s="275"/>
      <c r="G605" s="273"/>
      <c r="H605" s="273"/>
      <c r="I605" s="275"/>
      <c r="J605" s="273"/>
      <c r="K605" s="273"/>
      <c r="L605" s="273"/>
      <c r="M605" s="273"/>
      <c r="N605" s="273"/>
      <c r="O605" s="273"/>
      <c r="P605" s="275"/>
      <c r="Q605" s="273"/>
      <c r="R605" s="273"/>
      <c r="S605" s="273"/>
      <c r="T605" s="273"/>
      <c r="U605" s="273"/>
      <c r="V605" s="273"/>
      <c r="W605" s="273"/>
      <c r="X605" s="273"/>
      <c r="Y605" s="273"/>
      <c r="Z605" s="273"/>
      <c r="AA605" s="273"/>
      <c r="AB605" s="273"/>
      <c r="AC605" s="273"/>
    </row>
    <row r="606" ht="75.0" customHeight="1">
      <c r="A606" s="273"/>
      <c r="B606" s="273"/>
      <c r="C606" s="273"/>
      <c r="D606" s="273"/>
      <c r="E606" s="273"/>
      <c r="F606" s="275"/>
      <c r="G606" s="273"/>
      <c r="H606" s="273"/>
      <c r="I606" s="275"/>
      <c r="J606" s="273"/>
      <c r="K606" s="273"/>
      <c r="L606" s="273"/>
      <c r="M606" s="273"/>
      <c r="N606" s="273"/>
      <c r="O606" s="273"/>
      <c r="P606" s="275"/>
      <c r="Q606" s="273"/>
      <c r="R606" s="273"/>
      <c r="S606" s="273"/>
      <c r="T606" s="273"/>
      <c r="U606" s="273"/>
      <c r="V606" s="273"/>
      <c r="W606" s="273"/>
      <c r="X606" s="273"/>
      <c r="Y606" s="273"/>
      <c r="Z606" s="273"/>
      <c r="AA606" s="273"/>
      <c r="AB606" s="273"/>
      <c r="AC606" s="273"/>
    </row>
    <row r="607" ht="75.0" customHeight="1">
      <c r="A607" s="273"/>
      <c r="B607" s="273"/>
      <c r="C607" s="273"/>
      <c r="D607" s="273"/>
      <c r="E607" s="273"/>
      <c r="F607" s="275"/>
      <c r="G607" s="273"/>
      <c r="H607" s="273"/>
      <c r="I607" s="275"/>
      <c r="J607" s="273"/>
      <c r="K607" s="273"/>
      <c r="L607" s="273"/>
      <c r="M607" s="273"/>
      <c r="N607" s="273"/>
      <c r="O607" s="273"/>
      <c r="P607" s="275"/>
      <c r="Q607" s="273"/>
      <c r="R607" s="273"/>
      <c r="S607" s="273"/>
      <c r="T607" s="273"/>
      <c r="U607" s="273"/>
      <c r="V607" s="273"/>
      <c r="W607" s="273"/>
      <c r="X607" s="273"/>
      <c r="Y607" s="273"/>
      <c r="Z607" s="273"/>
      <c r="AA607" s="273"/>
      <c r="AB607" s="273"/>
      <c r="AC607" s="273"/>
    </row>
    <row r="608" ht="75.0" customHeight="1">
      <c r="A608" s="273"/>
      <c r="B608" s="273"/>
      <c r="C608" s="273"/>
      <c r="D608" s="273"/>
      <c r="E608" s="273"/>
      <c r="F608" s="275"/>
      <c r="G608" s="273"/>
      <c r="H608" s="273"/>
      <c r="I608" s="275"/>
      <c r="J608" s="273"/>
      <c r="K608" s="273"/>
      <c r="L608" s="273"/>
      <c r="M608" s="273"/>
      <c r="N608" s="273"/>
      <c r="O608" s="273"/>
      <c r="P608" s="275"/>
      <c r="Q608" s="273"/>
      <c r="R608" s="273"/>
      <c r="S608" s="273"/>
      <c r="T608" s="273"/>
      <c r="U608" s="273"/>
      <c r="V608" s="273"/>
      <c r="W608" s="273"/>
      <c r="X608" s="273"/>
      <c r="Y608" s="273"/>
      <c r="Z608" s="273"/>
      <c r="AA608" s="273"/>
      <c r="AB608" s="273"/>
      <c r="AC608" s="273"/>
    </row>
    <row r="609" ht="75.0" customHeight="1">
      <c r="A609" s="273"/>
      <c r="B609" s="273"/>
      <c r="C609" s="273"/>
      <c r="D609" s="273"/>
      <c r="E609" s="273"/>
      <c r="F609" s="275"/>
      <c r="G609" s="273"/>
      <c r="H609" s="273"/>
      <c r="I609" s="275"/>
      <c r="J609" s="273"/>
      <c r="K609" s="273"/>
      <c r="L609" s="273"/>
      <c r="M609" s="273"/>
      <c r="N609" s="273"/>
      <c r="O609" s="273"/>
      <c r="P609" s="275"/>
      <c r="Q609" s="273"/>
      <c r="R609" s="273"/>
      <c r="S609" s="273"/>
      <c r="T609" s="273"/>
      <c r="U609" s="273"/>
      <c r="V609" s="273"/>
      <c r="W609" s="273"/>
      <c r="X609" s="273"/>
      <c r="Y609" s="273"/>
      <c r="Z609" s="273"/>
      <c r="AA609" s="273"/>
      <c r="AB609" s="273"/>
      <c r="AC609" s="273"/>
    </row>
    <row r="610" ht="75.0" customHeight="1">
      <c r="A610" s="273"/>
      <c r="B610" s="273"/>
      <c r="C610" s="273"/>
      <c r="D610" s="273"/>
      <c r="E610" s="273"/>
      <c r="F610" s="275"/>
      <c r="G610" s="273"/>
      <c r="H610" s="273"/>
      <c r="I610" s="275"/>
      <c r="J610" s="273"/>
      <c r="K610" s="273"/>
      <c r="L610" s="273"/>
      <c r="M610" s="273"/>
      <c r="N610" s="273"/>
      <c r="O610" s="273"/>
      <c r="P610" s="275"/>
      <c r="Q610" s="273"/>
      <c r="R610" s="273"/>
      <c r="S610" s="273"/>
      <c r="T610" s="273"/>
      <c r="U610" s="273"/>
      <c r="V610" s="273"/>
      <c r="W610" s="273"/>
      <c r="X610" s="273"/>
      <c r="Y610" s="273"/>
      <c r="Z610" s="273"/>
      <c r="AA610" s="273"/>
      <c r="AB610" s="273"/>
      <c r="AC610" s="273"/>
    </row>
    <row r="611" ht="75.0" customHeight="1">
      <c r="A611" s="273"/>
      <c r="B611" s="273"/>
      <c r="C611" s="273"/>
      <c r="D611" s="273"/>
      <c r="E611" s="273"/>
      <c r="F611" s="275"/>
      <c r="G611" s="273"/>
      <c r="H611" s="273"/>
      <c r="I611" s="275"/>
      <c r="J611" s="273"/>
      <c r="K611" s="273"/>
      <c r="L611" s="273"/>
      <c r="M611" s="273"/>
      <c r="N611" s="273"/>
      <c r="O611" s="273"/>
      <c r="P611" s="275"/>
      <c r="Q611" s="273"/>
      <c r="R611" s="273"/>
      <c r="S611" s="273"/>
      <c r="T611" s="273"/>
      <c r="U611" s="273"/>
      <c r="V611" s="273"/>
      <c r="W611" s="273"/>
      <c r="X611" s="273"/>
      <c r="Y611" s="273"/>
      <c r="Z611" s="273"/>
      <c r="AA611" s="273"/>
      <c r="AB611" s="273"/>
      <c r="AC611" s="273"/>
    </row>
    <row r="612" ht="75.0" customHeight="1">
      <c r="A612" s="273"/>
      <c r="B612" s="273"/>
      <c r="C612" s="273"/>
      <c r="D612" s="273"/>
      <c r="E612" s="273"/>
      <c r="F612" s="275"/>
      <c r="G612" s="273"/>
      <c r="H612" s="273"/>
      <c r="I612" s="275"/>
      <c r="J612" s="273"/>
      <c r="K612" s="273"/>
      <c r="L612" s="273"/>
      <c r="M612" s="273"/>
      <c r="N612" s="273"/>
      <c r="O612" s="273"/>
      <c r="P612" s="275"/>
      <c r="Q612" s="273"/>
      <c r="R612" s="273"/>
      <c r="S612" s="273"/>
      <c r="T612" s="273"/>
      <c r="U612" s="273"/>
      <c r="V612" s="273"/>
      <c r="W612" s="273"/>
      <c r="X612" s="273"/>
      <c r="Y612" s="273"/>
      <c r="Z612" s="273"/>
      <c r="AA612" s="273"/>
      <c r="AB612" s="273"/>
      <c r="AC612" s="273"/>
    </row>
    <row r="613" ht="75.0" customHeight="1">
      <c r="A613" s="273"/>
      <c r="B613" s="273"/>
      <c r="C613" s="273"/>
      <c r="D613" s="273"/>
      <c r="E613" s="273"/>
      <c r="F613" s="275"/>
      <c r="G613" s="273"/>
      <c r="H613" s="273"/>
      <c r="I613" s="275"/>
      <c r="J613" s="273"/>
      <c r="K613" s="273"/>
      <c r="L613" s="273"/>
      <c r="M613" s="273"/>
      <c r="N613" s="273"/>
      <c r="O613" s="273"/>
      <c r="P613" s="275"/>
      <c r="Q613" s="273"/>
      <c r="R613" s="273"/>
      <c r="S613" s="273"/>
      <c r="T613" s="273"/>
      <c r="U613" s="273"/>
      <c r="V613" s="273"/>
      <c r="W613" s="273"/>
      <c r="X613" s="273"/>
      <c r="Y613" s="273"/>
      <c r="Z613" s="273"/>
      <c r="AA613" s="273"/>
      <c r="AB613" s="273"/>
      <c r="AC613" s="273"/>
    </row>
    <row r="614" ht="75.0" customHeight="1">
      <c r="A614" s="273"/>
      <c r="B614" s="273"/>
      <c r="C614" s="273"/>
      <c r="D614" s="273"/>
      <c r="E614" s="273"/>
      <c r="F614" s="275"/>
      <c r="G614" s="273"/>
      <c r="H614" s="273"/>
      <c r="I614" s="275"/>
      <c r="J614" s="273"/>
      <c r="K614" s="273"/>
      <c r="L614" s="273"/>
      <c r="M614" s="273"/>
      <c r="N614" s="273"/>
      <c r="O614" s="273"/>
      <c r="P614" s="275"/>
      <c r="Q614" s="273"/>
      <c r="R614" s="273"/>
      <c r="S614" s="273"/>
      <c r="T614" s="273"/>
      <c r="U614" s="273"/>
      <c r="V614" s="273"/>
      <c r="W614" s="273"/>
      <c r="X614" s="273"/>
      <c r="Y614" s="273"/>
      <c r="Z614" s="273"/>
      <c r="AA614" s="273"/>
      <c r="AB614" s="273"/>
      <c r="AC614" s="273"/>
    </row>
    <row r="615" ht="75.0" customHeight="1">
      <c r="A615" s="273"/>
      <c r="B615" s="273"/>
      <c r="C615" s="273"/>
      <c r="D615" s="273"/>
      <c r="E615" s="273"/>
      <c r="F615" s="275"/>
      <c r="G615" s="273"/>
      <c r="H615" s="273"/>
      <c r="I615" s="275"/>
      <c r="J615" s="273"/>
      <c r="K615" s="273"/>
      <c r="L615" s="273"/>
      <c r="M615" s="273"/>
      <c r="N615" s="273"/>
      <c r="O615" s="273"/>
      <c r="P615" s="275"/>
      <c r="Q615" s="273"/>
      <c r="R615" s="273"/>
      <c r="S615" s="273"/>
      <c r="T615" s="273"/>
      <c r="U615" s="273"/>
      <c r="V615" s="273"/>
      <c r="W615" s="273"/>
      <c r="X615" s="273"/>
      <c r="Y615" s="273"/>
      <c r="Z615" s="273"/>
      <c r="AA615" s="273"/>
      <c r="AB615" s="273"/>
      <c r="AC615" s="273"/>
    </row>
    <row r="616" ht="75.0" customHeight="1">
      <c r="A616" s="273"/>
      <c r="B616" s="273"/>
      <c r="C616" s="273"/>
      <c r="D616" s="273"/>
      <c r="E616" s="273"/>
      <c r="F616" s="275"/>
      <c r="G616" s="273"/>
      <c r="H616" s="273"/>
      <c r="I616" s="275"/>
      <c r="J616" s="273"/>
      <c r="K616" s="273"/>
      <c r="L616" s="273"/>
      <c r="M616" s="273"/>
      <c r="N616" s="273"/>
      <c r="O616" s="273"/>
      <c r="P616" s="275"/>
      <c r="Q616" s="273"/>
      <c r="R616" s="273"/>
      <c r="S616" s="273"/>
      <c r="T616" s="273"/>
      <c r="U616" s="273"/>
      <c r="V616" s="273"/>
      <c r="W616" s="273"/>
      <c r="X616" s="273"/>
      <c r="Y616" s="273"/>
      <c r="Z616" s="273"/>
      <c r="AA616" s="273"/>
      <c r="AB616" s="273"/>
      <c r="AC616" s="273"/>
    </row>
    <row r="617" ht="75.0" customHeight="1">
      <c r="A617" s="273"/>
      <c r="B617" s="273"/>
      <c r="C617" s="273"/>
      <c r="D617" s="273"/>
      <c r="E617" s="273"/>
      <c r="F617" s="275"/>
      <c r="G617" s="273"/>
      <c r="H617" s="273"/>
      <c r="I617" s="275"/>
      <c r="J617" s="273"/>
      <c r="K617" s="273"/>
      <c r="L617" s="273"/>
      <c r="M617" s="273"/>
      <c r="N617" s="273"/>
      <c r="O617" s="273"/>
      <c r="P617" s="275"/>
      <c r="Q617" s="273"/>
      <c r="R617" s="273"/>
      <c r="S617" s="273"/>
      <c r="T617" s="273"/>
      <c r="U617" s="273"/>
      <c r="V617" s="273"/>
      <c r="W617" s="273"/>
      <c r="X617" s="273"/>
      <c r="Y617" s="273"/>
      <c r="Z617" s="273"/>
      <c r="AA617" s="273"/>
      <c r="AB617" s="273"/>
      <c r="AC617" s="273"/>
    </row>
    <row r="618" ht="75.0" customHeight="1">
      <c r="A618" s="273"/>
      <c r="B618" s="273"/>
      <c r="C618" s="273"/>
      <c r="D618" s="273"/>
      <c r="E618" s="273"/>
      <c r="F618" s="275"/>
      <c r="G618" s="273"/>
      <c r="H618" s="273"/>
      <c r="I618" s="275"/>
      <c r="J618" s="273"/>
      <c r="K618" s="273"/>
      <c r="L618" s="273"/>
      <c r="M618" s="273"/>
      <c r="N618" s="273"/>
      <c r="O618" s="273"/>
      <c r="P618" s="275"/>
      <c r="Q618" s="273"/>
      <c r="R618" s="273"/>
      <c r="S618" s="273"/>
      <c r="T618" s="273"/>
      <c r="U618" s="273"/>
      <c r="V618" s="273"/>
      <c r="W618" s="273"/>
      <c r="X618" s="273"/>
      <c r="Y618" s="273"/>
      <c r="Z618" s="273"/>
      <c r="AA618" s="273"/>
      <c r="AB618" s="273"/>
      <c r="AC618" s="273"/>
    </row>
    <row r="619" ht="75.0" customHeight="1">
      <c r="A619" s="273"/>
      <c r="B619" s="273"/>
      <c r="C619" s="273"/>
      <c r="D619" s="273"/>
      <c r="E619" s="273"/>
      <c r="F619" s="275"/>
      <c r="G619" s="273"/>
      <c r="H619" s="273"/>
      <c r="I619" s="275"/>
      <c r="J619" s="273"/>
      <c r="K619" s="273"/>
      <c r="L619" s="273"/>
      <c r="M619" s="273"/>
      <c r="N619" s="273"/>
      <c r="O619" s="273"/>
      <c r="P619" s="275"/>
      <c r="Q619" s="273"/>
      <c r="R619" s="273"/>
      <c r="S619" s="273"/>
      <c r="T619" s="273"/>
      <c r="U619" s="273"/>
      <c r="V619" s="273"/>
      <c r="W619" s="273"/>
      <c r="X619" s="273"/>
      <c r="Y619" s="273"/>
      <c r="Z619" s="273"/>
      <c r="AA619" s="273"/>
      <c r="AB619" s="273"/>
      <c r="AC619" s="273"/>
    </row>
    <row r="620" ht="75.0" customHeight="1">
      <c r="A620" s="273"/>
      <c r="B620" s="273"/>
      <c r="C620" s="273"/>
      <c r="D620" s="273"/>
      <c r="E620" s="273"/>
      <c r="F620" s="275"/>
      <c r="G620" s="273"/>
      <c r="H620" s="273"/>
      <c r="I620" s="275"/>
      <c r="J620" s="273"/>
      <c r="K620" s="273"/>
      <c r="L620" s="273"/>
      <c r="M620" s="273"/>
      <c r="N620" s="273"/>
      <c r="O620" s="273"/>
      <c r="P620" s="275"/>
      <c r="Q620" s="273"/>
      <c r="R620" s="273"/>
      <c r="S620" s="273"/>
      <c r="T620" s="273"/>
      <c r="U620" s="273"/>
      <c r="V620" s="273"/>
      <c r="W620" s="273"/>
      <c r="X620" s="273"/>
      <c r="Y620" s="273"/>
      <c r="Z620" s="273"/>
      <c r="AA620" s="273"/>
      <c r="AB620" s="273"/>
      <c r="AC620" s="273"/>
    </row>
    <row r="621" ht="75.0" customHeight="1">
      <c r="A621" s="273"/>
      <c r="B621" s="273"/>
      <c r="C621" s="273"/>
      <c r="D621" s="273"/>
      <c r="E621" s="273"/>
      <c r="F621" s="275"/>
      <c r="G621" s="273"/>
      <c r="H621" s="273"/>
      <c r="I621" s="275"/>
      <c r="J621" s="273"/>
      <c r="K621" s="273"/>
      <c r="L621" s="273"/>
      <c r="M621" s="273"/>
      <c r="N621" s="273"/>
      <c r="O621" s="273"/>
      <c r="P621" s="275"/>
      <c r="Q621" s="273"/>
      <c r="R621" s="273"/>
      <c r="S621" s="273"/>
      <c r="T621" s="273"/>
      <c r="U621" s="273"/>
      <c r="V621" s="273"/>
      <c r="W621" s="273"/>
      <c r="X621" s="273"/>
      <c r="Y621" s="273"/>
      <c r="Z621" s="273"/>
      <c r="AA621" s="273"/>
      <c r="AB621" s="273"/>
      <c r="AC621" s="273"/>
    </row>
    <row r="622" ht="75.0" customHeight="1">
      <c r="A622" s="273"/>
      <c r="B622" s="273"/>
      <c r="C622" s="273"/>
      <c r="D622" s="273"/>
      <c r="E622" s="273"/>
      <c r="F622" s="275"/>
      <c r="G622" s="273"/>
      <c r="H622" s="273"/>
      <c r="I622" s="275"/>
      <c r="J622" s="273"/>
      <c r="K622" s="273"/>
      <c r="L622" s="273"/>
      <c r="M622" s="273"/>
      <c r="N622" s="273"/>
      <c r="O622" s="273"/>
      <c r="P622" s="275"/>
      <c r="Q622" s="273"/>
      <c r="R622" s="273"/>
      <c r="S622" s="273"/>
      <c r="T622" s="273"/>
      <c r="U622" s="273"/>
      <c r="V622" s="273"/>
      <c r="W622" s="273"/>
      <c r="X622" s="273"/>
      <c r="Y622" s="273"/>
      <c r="Z622" s="273"/>
      <c r="AA622" s="273"/>
      <c r="AB622" s="273"/>
      <c r="AC622" s="273"/>
    </row>
    <row r="623" ht="75.0" customHeight="1">
      <c r="A623" s="273"/>
      <c r="B623" s="273"/>
      <c r="C623" s="273"/>
      <c r="D623" s="273"/>
      <c r="E623" s="273"/>
      <c r="F623" s="275"/>
      <c r="G623" s="273"/>
      <c r="H623" s="273"/>
      <c r="I623" s="275"/>
      <c r="J623" s="273"/>
      <c r="K623" s="273"/>
      <c r="L623" s="273"/>
      <c r="M623" s="273"/>
      <c r="N623" s="273"/>
      <c r="O623" s="273"/>
      <c r="P623" s="275"/>
      <c r="Q623" s="273"/>
      <c r="R623" s="273"/>
      <c r="S623" s="273"/>
      <c r="T623" s="273"/>
      <c r="U623" s="273"/>
      <c r="V623" s="273"/>
      <c r="W623" s="273"/>
      <c r="X623" s="273"/>
      <c r="Y623" s="273"/>
      <c r="Z623" s="273"/>
      <c r="AA623" s="273"/>
      <c r="AB623" s="273"/>
      <c r="AC623" s="273"/>
    </row>
    <row r="624" ht="75.0" customHeight="1">
      <c r="A624" s="273"/>
      <c r="B624" s="273"/>
      <c r="C624" s="273"/>
      <c r="D624" s="273"/>
      <c r="E624" s="273"/>
      <c r="F624" s="275"/>
      <c r="G624" s="273"/>
      <c r="H624" s="273"/>
      <c r="I624" s="275"/>
      <c r="J624" s="273"/>
      <c r="K624" s="273"/>
      <c r="L624" s="273"/>
      <c r="M624" s="273"/>
      <c r="N624" s="273"/>
      <c r="O624" s="273"/>
      <c r="P624" s="275"/>
      <c r="Q624" s="273"/>
      <c r="R624" s="273"/>
      <c r="S624" s="273"/>
      <c r="T624" s="273"/>
      <c r="U624" s="273"/>
      <c r="V624" s="273"/>
      <c r="W624" s="273"/>
      <c r="X624" s="273"/>
      <c r="Y624" s="273"/>
      <c r="Z624" s="273"/>
      <c r="AA624" s="273"/>
      <c r="AB624" s="273"/>
      <c r="AC624" s="273"/>
    </row>
    <row r="625" ht="75.0" customHeight="1">
      <c r="A625" s="273"/>
      <c r="B625" s="273"/>
      <c r="C625" s="273"/>
      <c r="D625" s="273"/>
      <c r="E625" s="273"/>
      <c r="F625" s="275"/>
      <c r="G625" s="273"/>
      <c r="H625" s="273"/>
      <c r="I625" s="275"/>
      <c r="J625" s="273"/>
      <c r="K625" s="273"/>
      <c r="L625" s="273"/>
      <c r="M625" s="273"/>
      <c r="N625" s="273"/>
      <c r="O625" s="273"/>
      <c r="P625" s="275"/>
      <c r="Q625" s="273"/>
      <c r="R625" s="273"/>
      <c r="S625" s="273"/>
      <c r="T625" s="273"/>
      <c r="U625" s="273"/>
      <c r="V625" s="273"/>
      <c r="W625" s="273"/>
      <c r="X625" s="273"/>
      <c r="Y625" s="273"/>
      <c r="Z625" s="273"/>
      <c r="AA625" s="273"/>
      <c r="AB625" s="273"/>
      <c r="AC625" s="273"/>
    </row>
    <row r="626" ht="75.0" customHeight="1">
      <c r="A626" s="273"/>
      <c r="B626" s="273"/>
      <c r="C626" s="273"/>
      <c r="D626" s="273"/>
      <c r="E626" s="273"/>
      <c r="F626" s="275"/>
      <c r="G626" s="273"/>
      <c r="H626" s="273"/>
      <c r="I626" s="275"/>
      <c r="J626" s="273"/>
      <c r="K626" s="273"/>
      <c r="L626" s="273"/>
      <c r="M626" s="273"/>
      <c r="N626" s="273"/>
      <c r="O626" s="273"/>
      <c r="P626" s="275"/>
      <c r="Q626" s="273"/>
      <c r="R626" s="273"/>
      <c r="S626" s="273"/>
      <c r="T626" s="273"/>
      <c r="U626" s="273"/>
      <c r="V626" s="273"/>
      <c r="W626" s="273"/>
      <c r="X626" s="273"/>
      <c r="Y626" s="273"/>
      <c r="Z626" s="273"/>
      <c r="AA626" s="273"/>
      <c r="AB626" s="273"/>
      <c r="AC626" s="273"/>
    </row>
    <row r="627" ht="75.0" customHeight="1">
      <c r="A627" s="273"/>
      <c r="B627" s="273"/>
      <c r="C627" s="273"/>
      <c r="D627" s="273"/>
      <c r="E627" s="273"/>
      <c r="F627" s="275"/>
      <c r="G627" s="273"/>
      <c r="H627" s="273"/>
      <c r="I627" s="275"/>
      <c r="J627" s="273"/>
      <c r="K627" s="273"/>
      <c r="L627" s="273"/>
      <c r="M627" s="273"/>
      <c r="N627" s="273"/>
      <c r="O627" s="273"/>
      <c r="P627" s="275"/>
      <c r="Q627" s="273"/>
      <c r="R627" s="273"/>
      <c r="S627" s="273"/>
      <c r="T627" s="273"/>
      <c r="U627" s="273"/>
      <c r="V627" s="273"/>
      <c r="W627" s="273"/>
      <c r="X627" s="273"/>
      <c r="Y627" s="273"/>
      <c r="Z627" s="273"/>
      <c r="AA627" s="273"/>
      <c r="AB627" s="273"/>
      <c r="AC627" s="273"/>
    </row>
    <row r="628" ht="75.0" customHeight="1">
      <c r="A628" s="273"/>
      <c r="B628" s="273"/>
      <c r="C628" s="273"/>
      <c r="D628" s="273"/>
      <c r="E628" s="273"/>
      <c r="F628" s="275"/>
      <c r="G628" s="273"/>
      <c r="H628" s="273"/>
      <c r="I628" s="275"/>
      <c r="J628" s="273"/>
      <c r="K628" s="273"/>
      <c r="L628" s="273"/>
      <c r="M628" s="273"/>
      <c r="N628" s="273"/>
      <c r="O628" s="273"/>
      <c r="P628" s="275"/>
      <c r="Q628" s="273"/>
      <c r="R628" s="273"/>
      <c r="S628" s="273"/>
      <c r="T628" s="273"/>
      <c r="U628" s="273"/>
      <c r="V628" s="273"/>
      <c r="W628" s="273"/>
      <c r="X628" s="273"/>
      <c r="Y628" s="273"/>
      <c r="Z628" s="273"/>
      <c r="AA628" s="273"/>
      <c r="AB628" s="273"/>
      <c r="AC628" s="273"/>
    </row>
    <row r="629" ht="75.0" customHeight="1">
      <c r="A629" s="273"/>
      <c r="B629" s="273"/>
      <c r="C629" s="273"/>
      <c r="D629" s="273"/>
      <c r="E629" s="273"/>
      <c r="F629" s="275"/>
      <c r="G629" s="273"/>
      <c r="H629" s="273"/>
      <c r="I629" s="275"/>
      <c r="J629" s="273"/>
      <c r="K629" s="273"/>
      <c r="L629" s="273"/>
      <c r="M629" s="273"/>
      <c r="N629" s="273"/>
      <c r="O629" s="273"/>
      <c r="P629" s="275"/>
      <c r="Q629" s="273"/>
      <c r="R629" s="273"/>
      <c r="S629" s="273"/>
      <c r="T629" s="273"/>
      <c r="U629" s="273"/>
      <c r="V629" s="273"/>
      <c r="W629" s="273"/>
      <c r="X629" s="273"/>
      <c r="Y629" s="273"/>
      <c r="Z629" s="273"/>
      <c r="AA629" s="273"/>
      <c r="AB629" s="273"/>
      <c r="AC629" s="273"/>
    </row>
    <row r="630" ht="75.0" customHeight="1">
      <c r="A630" s="273"/>
      <c r="B630" s="273"/>
      <c r="C630" s="273"/>
      <c r="D630" s="273"/>
      <c r="E630" s="273"/>
      <c r="F630" s="275"/>
      <c r="G630" s="273"/>
      <c r="H630" s="273"/>
      <c r="I630" s="275"/>
      <c r="J630" s="273"/>
      <c r="K630" s="273"/>
      <c r="L630" s="273"/>
      <c r="M630" s="273"/>
      <c r="N630" s="273"/>
      <c r="O630" s="273"/>
      <c r="P630" s="275"/>
      <c r="Q630" s="273"/>
      <c r="R630" s="273"/>
      <c r="S630" s="273"/>
      <c r="T630" s="273"/>
      <c r="U630" s="273"/>
      <c r="V630" s="273"/>
      <c r="W630" s="273"/>
      <c r="X630" s="273"/>
      <c r="Y630" s="273"/>
      <c r="Z630" s="273"/>
      <c r="AA630" s="273"/>
      <c r="AB630" s="273"/>
      <c r="AC630" s="273"/>
    </row>
    <row r="631" ht="75.0" customHeight="1">
      <c r="A631" s="273"/>
      <c r="B631" s="273"/>
      <c r="C631" s="273"/>
      <c r="D631" s="273"/>
      <c r="E631" s="273"/>
      <c r="F631" s="275"/>
      <c r="G631" s="273"/>
      <c r="H631" s="273"/>
      <c r="I631" s="275"/>
      <c r="J631" s="273"/>
      <c r="K631" s="273"/>
      <c r="L631" s="273"/>
      <c r="M631" s="273"/>
      <c r="N631" s="273"/>
      <c r="O631" s="273"/>
      <c r="P631" s="275"/>
      <c r="Q631" s="273"/>
      <c r="R631" s="273"/>
      <c r="S631" s="273"/>
      <c r="T631" s="273"/>
      <c r="U631" s="273"/>
      <c r="V631" s="273"/>
      <c r="W631" s="273"/>
      <c r="X631" s="273"/>
      <c r="Y631" s="273"/>
      <c r="Z631" s="273"/>
      <c r="AA631" s="273"/>
      <c r="AB631" s="273"/>
      <c r="AC631" s="273"/>
    </row>
    <row r="632" ht="75.0" customHeight="1">
      <c r="A632" s="273"/>
      <c r="B632" s="273"/>
      <c r="C632" s="273"/>
      <c r="D632" s="273"/>
      <c r="E632" s="273"/>
      <c r="F632" s="275"/>
      <c r="G632" s="273"/>
      <c r="H632" s="273"/>
      <c r="I632" s="275"/>
      <c r="J632" s="273"/>
      <c r="K632" s="273"/>
      <c r="L632" s="273"/>
      <c r="M632" s="273"/>
      <c r="N632" s="273"/>
      <c r="O632" s="273"/>
      <c r="P632" s="275"/>
      <c r="Q632" s="273"/>
      <c r="R632" s="273"/>
      <c r="S632" s="273"/>
      <c r="T632" s="273"/>
      <c r="U632" s="273"/>
      <c r="V632" s="273"/>
      <c r="W632" s="273"/>
      <c r="X632" s="273"/>
      <c r="Y632" s="273"/>
      <c r="Z632" s="273"/>
      <c r="AA632" s="273"/>
      <c r="AB632" s="273"/>
      <c r="AC632" s="273"/>
    </row>
    <row r="633" ht="75.0" customHeight="1">
      <c r="A633" s="273"/>
      <c r="B633" s="273"/>
      <c r="C633" s="273"/>
      <c r="D633" s="273"/>
      <c r="E633" s="273"/>
      <c r="F633" s="275"/>
      <c r="G633" s="273"/>
      <c r="H633" s="273"/>
      <c r="I633" s="275"/>
      <c r="J633" s="273"/>
      <c r="K633" s="273"/>
      <c r="L633" s="273"/>
      <c r="M633" s="273"/>
      <c r="N633" s="273"/>
      <c r="O633" s="273"/>
      <c r="P633" s="275"/>
      <c r="Q633" s="273"/>
      <c r="R633" s="273"/>
      <c r="S633" s="273"/>
      <c r="T633" s="273"/>
      <c r="U633" s="273"/>
      <c r="V633" s="273"/>
      <c r="W633" s="273"/>
      <c r="X633" s="273"/>
      <c r="Y633" s="273"/>
      <c r="Z633" s="273"/>
      <c r="AA633" s="273"/>
      <c r="AB633" s="273"/>
      <c r="AC633" s="273"/>
    </row>
    <row r="634" ht="75.0" customHeight="1">
      <c r="A634" s="273"/>
      <c r="B634" s="273"/>
      <c r="C634" s="273"/>
      <c r="D634" s="273"/>
      <c r="E634" s="273"/>
      <c r="F634" s="275"/>
      <c r="G634" s="273"/>
      <c r="H634" s="273"/>
      <c r="I634" s="275"/>
      <c r="J634" s="273"/>
      <c r="K634" s="273"/>
      <c r="L634" s="273"/>
      <c r="M634" s="273"/>
      <c r="N634" s="273"/>
      <c r="O634" s="273"/>
      <c r="P634" s="275"/>
      <c r="Q634" s="273"/>
      <c r="R634" s="273"/>
      <c r="S634" s="273"/>
      <c r="T634" s="273"/>
      <c r="U634" s="273"/>
      <c r="V634" s="273"/>
      <c r="W634" s="273"/>
      <c r="X634" s="273"/>
      <c r="Y634" s="273"/>
      <c r="Z634" s="273"/>
      <c r="AA634" s="273"/>
      <c r="AB634" s="273"/>
      <c r="AC634" s="273"/>
    </row>
    <row r="635" ht="75.0" customHeight="1">
      <c r="A635" s="273"/>
      <c r="B635" s="273"/>
      <c r="C635" s="273"/>
      <c r="D635" s="273"/>
      <c r="E635" s="273"/>
      <c r="F635" s="275"/>
      <c r="G635" s="273"/>
      <c r="H635" s="273"/>
      <c r="I635" s="275"/>
      <c r="J635" s="273"/>
      <c r="K635" s="273"/>
      <c r="L635" s="273"/>
      <c r="M635" s="273"/>
      <c r="N635" s="273"/>
      <c r="O635" s="273"/>
      <c r="P635" s="275"/>
      <c r="Q635" s="273"/>
      <c r="R635" s="273"/>
      <c r="S635" s="273"/>
      <c r="T635" s="273"/>
      <c r="U635" s="273"/>
      <c r="V635" s="273"/>
      <c r="W635" s="273"/>
      <c r="X635" s="273"/>
      <c r="Y635" s="273"/>
      <c r="Z635" s="273"/>
      <c r="AA635" s="273"/>
      <c r="AB635" s="273"/>
      <c r="AC635" s="273"/>
    </row>
    <row r="636" ht="75.0" customHeight="1">
      <c r="A636" s="273"/>
      <c r="B636" s="273"/>
      <c r="C636" s="273"/>
      <c r="D636" s="273"/>
      <c r="E636" s="273"/>
      <c r="F636" s="275"/>
      <c r="G636" s="273"/>
      <c r="H636" s="273"/>
      <c r="I636" s="275"/>
      <c r="J636" s="273"/>
      <c r="K636" s="273"/>
      <c r="L636" s="273"/>
      <c r="M636" s="273"/>
      <c r="N636" s="273"/>
      <c r="O636" s="273"/>
      <c r="P636" s="275"/>
      <c r="Q636" s="273"/>
      <c r="R636" s="273"/>
      <c r="S636" s="273"/>
      <c r="T636" s="273"/>
      <c r="U636" s="273"/>
      <c r="V636" s="273"/>
      <c r="W636" s="273"/>
      <c r="X636" s="273"/>
      <c r="Y636" s="273"/>
      <c r="Z636" s="273"/>
      <c r="AA636" s="273"/>
      <c r="AB636" s="273"/>
      <c r="AC636" s="273"/>
    </row>
    <row r="637" ht="75.0" customHeight="1">
      <c r="A637" s="273"/>
      <c r="B637" s="273"/>
      <c r="C637" s="273"/>
      <c r="D637" s="273"/>
      <c r="E637" s="273"/>
      <c r="F637" s="275"/>
      <c r="G637" s="273"/>
      <c r="H637" s="273"/>
      <c r="I637" s="275"/>
      <c r="J637" s="273"/>
      <c r="K637" s="273"/>
      <c r="L637" s="273"/>
      <c r="M637" s="273"/>
      <c r="N637" s="273"/>
      <c r="O637" s="273"/>
      <c r="P637" s="275"/>
      <c r="Q637" s="273"/>
      <c r="R637" s="273"/>
      <c r="S637" s="273"/>
      <c r="T637" s="273"/>
      <c r="U637" s="273"/>
      <c r="V637" s="273"/>
      <c r="W637" s="273"/>
      <c r="X637" s="273"/>
      <c r="Y637" s="273"/>
      <c r="Z637" s="273"/>
      <c r="AA637" s="273"/>
      <c r="AB637" s="273"/>
      <c r="AC637" s="273"/>
    </row>
    <row r="638" ht="75.0" customHeight="1">
      <c r="A638" s="273"/>
      <c r="B638" s="273"/>
      <c r="C638" s="273"/>
      <c r="D638" s="273"/>
      <c r="E638" s="273"/>
      <c r="F638" s="275"/>
      <c r="G638" s="273"/>
      <c r="H638" s="273"/>
      <c r="I638" s="275"/>
      <c r="J638" s="273"/>
      <c r="K638" s="273"/>
      <c r="L638" s="273"/>
      <c r="M638" s="273"/>
      <c r="N638" s="273"/>
      <c r="O638" s="273"/>
      <c r="P638" s="275"/>
      <c r="Q638" s="273"/>
      <c r="R638" s="273"/>
      <c r="S638" s="273"/>
      <c r="T638" s="273"/>
      <c r="U638" s="273"/>
      <c r="V638" s="273"/>
      <c r="W638" s="273"/>
      <c r="X638" s="273"/>
      <c r="Y638" s="273"/>
      <c r="Z638" s="273"/>
      <c r="AA638" s="273"/>
      <c r="AB638" s="273"/>
      <c r="AC638" s="273"/>
    </row>
    <row r="639" ht="75.0" customHeight="1">
      <c r="A639" s="273"/>
      <c r="B639" s="273"/>
      <c r="C639" s="273"/>
      <c r="D639" s="273"/>
      <c r="E639" s="273"/>
      <c r="F639" s="275"/>
      <c r="G639" s="273"/>
      <c r="H639" s="273"/>
      <c r="I639" s="275"/>
      <c r="J639" s="273"/>
      <c r="K639" s="273"/>
      <c r="L639" s="273"/>
      <c r="M639" s="273"/>
      <c r="N639" s="273"/>
      <c r="O639" s="273"/>
      <c r="P639" s="275"/>
      <c r="Q639" s="273"/>
      <c r="R639" s="273"/>
      <c r="S639" s="273"/>
      <c r="T639" s="273"/>
      <c r="U639" s="273"/>
      <c r="V639" s="273"/>
      <c r="W639" s="273"/>
      <c r="X639" s="273"/>
      <c r="Y639" s="273"/>
      <c r="Z639" s="273"/>
      <c r="AA639" s="273"/>
      <c r="AB639" s="273"/>
      <c r="AC639" s="273"/>
    </row>
    <row r="640" ht="75.0" customHeight="1">
      <c r="A640" s="273"/>
      <c r="B640" s="273"/>
      <c r="C640" s="273"/>
      <c r="D640" s="273"/>
      <c r="E640" s="273"/>
      <c r="F640" s="275"/>
      <c r="G640" s="273"/>
      <c r="H640" s="273"/>
      <c r="I640" s="275"/>
      <c r="J640" s="273"/>
      <c r="K640" s="273"/>
      <c r="L640" s="273"/>
      <c r="M640" s="273"/>
      <c r="N640" s="273"/>
      <c r="O640" s="273"/>
      <c r="P640" s="275"/>
      <c r="Q640" s="273"/>
      <c r="R640" s="273"/>
      <c r="S640" s="273"/>
      <c r="T640" s="273"/>
      <c r="U640" s="273"/>
      <c r="V640" s="273"/>
      <c r="W640" s="273"/>
      <c r="X640" s="273"/>
      <c r="Y640" s="273"/>
      <c r="Z640" s="273"/>
      <c r="AA640" s="273"/>
      <c r="AB640" s="273"/>
      <c r="AC640" s="273"/>
    </row>
    <row r="641" ht="75.0" customHeight="1">
      <c r="A641" s="273"/>
      <c r="B641" s="273"/>
      <c r="C641" s="273"/>
      <c r="D641" s="273"/>
      <c r="E641" s="273"/>
      <c r="F641" s="275"/>
      <c r="G641" s="273"/>
      <c r="H641" s="273"/>
      <c r="I641" s="275"/>
      <c r="J641" s="273"/>
      <c r="K641" s="273"/>
      <c r="L641" s="273"/>
      <c r="M641" s="273"/>
      <c r="N641" s="273"/>
      <c r="O641" s="273"/>
      <c r="P641" s="275"/>
      <c r="Q641" s="273"/>
      <c r="R641" s="273"/>
      <c r="S641" s="273"/>
      <c r="T641" s="273"/>
      <c r="U641" s="273"/>
      <c r="V641" s="273"/>
      <c r="W641" s="273"/>
      <c r="X641" s="273"/>
      <c r="Y641" s="273"/>
      <c r="Z641" s="273"/>
      <c r="AA641" s="273"/>
      <c r="AB641" s="273"/>
      <c r="AC641" s="273"/>
    </row>
    <row r="642" ht="75.0" customHeight="1">
      <c r="A642" s="273"/>
      <c r="B642" s="273"/>
      <c r="C642" s="273"/>
      <c r="D642" s="273"/>
      <c r="E642" s="273"/>
      <c r="F642" s="275"/>
      <c r="G642" s="273"/>
      <c r="H642" s="273"/>
      <c r="I642" s="275"/>
      <c r="J642" s="273"/>
      <c r="K642" s="273"/>
      <c r="L642" s="273"/>
      <c r="M642" s="273"/>
      <c r="N642" s="273"/>
      <c r="O642" s="273"/>
      <c r="P642" s="275"/>
      <c r="Q642" s="273"/>
      <c r="R642" s="273"/>
      <c r="S642" s="273"/>
      <c r="T642" s="273"/>
      <c r="U642" s="273"/>
      <c r="V642" s="273"/>
      <c r="W642" s="273"/>
      <c r="X642" s="273"/>
      <c r="Y642" s="273"/>
      <c r="Z642" s="273"/>
      <c r="AA642" s="273"/>
      <c r="AB642" s="273"/>
      <c r="AC642" s="273"/>
    </row>
    <row r="643" ht="75.0" customHeight="1">
      <c r="A643" s="273"/>
      <c r="B643" s="273"/>
      <c r="C643" s="273"/>
      <c r="D643" s="273"/>
      <c r="E643" s="273"/>
      <c r="F643" s="275"/>
      <c r="G643" s="273"/>
      <c r="H643" s="273"/>
      <c r="I643" s="275"/>
      <c r="J643" s="273"/>
      <c r="K643" s="273"/>
      <c r="L643" s="273"/>
      <c r="M643" s="273"/>
      <c r="N643" s="273"/>
      <c r="O643" s="273"/>
      <c r="P643" s="275"/>
      <c r="Q643" s="273"/>
      <c r="R643" s="273"/>
      <c r="S643" s="273"/>
      <c r="T643" s="273"/>
      <c r="U643" s="273"/>
      <c r="V643" s="273"/>
      <c r="W643" s="273"/>
      <c r="X643" s="273"/>
      <c r="Y643" s="273"/>
      <c r="Z643" s="273"/>
      <c r="AA643" s="273"/>
      <c r="AB643" s="273"/>
      <c r="AC643" s="273"/>
    </row>
    <row r="644" ht="75.0" customHeight="1">
      <c r="A644" s="273"/>
      <c r="B644" s="273"/>
      <c r="C644" s="273"/>
      <c r="D644" s="273"/>
      <c r="E644" s="273"/>
      <c r="F644" s="275"/>
      <c r="G644" s="273"/>
      <c r="H644" s="273"/>
      <c r="I644" s="275"/>
      <c r="J644" s="273"/>
      <c r="K644" s="273"/>
      <c r="L644" s="273"/>
      <c r="M644" s="273"/>
      <c r="N644" s="273"/>
      <c r="O644" s="273"/>
      <c r="P644" s="275"/>
      <c r="Q644" s="273"/>
      <c r="R644" s="273"/>
      <c r="S644" s="273"/>
      <c r="T644" s="273"/>
      <c r="U644" s="273"/>
      <c r="V644" s="273"/>
      <c r="W644" s="273"/>
      <c r="X644" s="273"/>
      <c r="Y644" s="273"/>
      <c r="Z644" s="273"/>
      <c r="AA644" s="273"/>
      <c r="AB644" s="273"/>
      <c r="AC644" s="273"/>
    </row>
    <row r="645" ht="75.0" customHeight="1">
      <c r="A645" s="273"/>
      <c r="B645" s="273"/>
      <c r="C645" s="273"/>
      <c r="D645" s="273"/>
      <c r="E645" s="273"/>
      <c r="F645" s="275"/>
      <c r="G645" s="273"/>
      <c r="H645" s="273"/>
      <c r="I645" s="275"/>
      <c r="J645" s="273"/>
      <c r="K645" s="273"/>
      <c r="L645" s="273"/>
      <c r="M645" s="273"/>
      <c r="N645" s="273"/>
      <c r="O645" s="273"/>
      <c r="P645" s="275"/>
      <c r="Q645" s="273"/>
      <c r="R645" s="273"/>
      <c r="S645" s="273"/>
      <c r="T645" s="273"/>
      <c r="U645" s="273"/>
      <c r="V645" s="273"/>
      <c r="W645" s="273"/>
      <c r="X645" s="273"/>
      <c r="Y645" s="273"/>
      <c r="Z645" s="273"/>
      <c r="AA645" s="273"/>
      <c r="AB645" s="273"/>
      <c r="AC645" s="273"/>
    </row>
    <row r="646" ht="75.0" customHeight="1">
      <c r="A646" s="273"/>
      <c r="B646" s="273"/>
      <c r="C646" s="273"/>
      <c r="D646" s="273"/>
      <c r="E646" s="273"/>
      <c r="F646" s="275"/>
      <c r="G646" s="273"/>
      <c r="H646" s="273"/>
      <c r="I646" s="275"/>
      <c r="J646" s="273"/>
      <c r="K646" s="273"/>
      <c r="L646" s="273"/>
      <c r="M646" s="273"/>
      <c r="N646" s="273"/>
      <c r="O646" s="273"/>
      <c r="P646" s="275"/>
      <c r="Q646" s="273"/>
      <c r="R646" s="273"/>
      <c r="S646" s="273"/>
      <c r="T646" s="273"/>
      <c r="U646" s="273"/>
      <c r="V646" s="273"/>
      <c r="W646" s="273"/>
      <c r="X646" s="273"/>
      <c r="Y646" s="273"/>
      <c r="Z646" s="273"/>
      <c r="AA646" s="273"/>
      <c r="AB646" s="273"/>
      <c r="AC646" s="273"/>
    </row>
    <row r="647" ht="75.0" customHeight="1">
      <c r="A647" s="273"/>
      <c r="B647" s="273"/>
      <c r="C647" s="273"/>
      <c r="D647" s="273"/>
      <c r="E647" s="273"/>
      <c r="F647" s="275"/>
      <c r="G647" s="273"/>
      <c r="H647" s="273"/>
      <c r="I647" s="275"/>
      <c r="J647" s="273"/>
      <c r="K647" s="273"/>
      <c r="L647" s="273"/>
      <c r="M647" s="273"/>
      <c r="N647" s="273"/>
      <c r="O647" s="273"/>
      <c r="P647" s="275"/>
      <c r="Q647" s="273"/>
      <c r="R647" s="273"/>
      <c r="S647" s="273"/>
      <c r="T647" s="273"/>
      <c r="U647" s="273"/>
      <c r="V647" s="273"/>
      <c r="W647" s="273"/>
      <c r="X647" s="273"/>
      <c r="Y647" s="273"/>
      <c r="Z647" s="273"/>
      <c r="AA647" s="273"/>
      <c r="AB647" s="273"/>
      <c r="AC647" s="273"/>
    </row>
    <row r="648" ht="75.0" customHeight="1">
      <c r="A648" s="273"/>
      <c r="B648" s="273"/>
      <c r="C648" s="273"/>
      <c r="D648" s="273"/>
      <c r="E648" s="273"/>
      <c r="F648" s="275"/>
      <c r="G648" s="273"/>
      <c r="H648" s="273"/>
      <c r="I648" s="275"/>
      <c r="J648" s="273"/>
      <c r="K648" s="273"/>
      <c r="L648" s="273"/>
      <c r="M648" s="273"/>
      <c r="N648" s="273"/>
      <c r="O648" s="273"/>
      <c r="P648" s="275"/>
      <c r="Q648" s="273"/>
      <c r="R648" s="273"/>
      <c r="S648" s="273"/>
      <c r="T648" s="273"/>
      <c r="U648" s="273"/>
      <c r="V648" s="273"/>
      <c r="W648" s="273"/>
      <c r="X648" s="273"/>
      <c r="Y648" s="273"/>
      <c r="Z648" s="273"/>
      <c r="AA648" s="273"/>
      <c r="AB648" s="273"/>
      <c r="AC648" s="273"/>
    </row>
    <row r="649" ht="75.0" customHeight="1">
      <c r="A649" s="273"/>
      <c r="B649" s="273"/>
      <c r="C649" s="273"/>
      <c r="D649" s="273"/>
      <c r="E649" s="273"/>
      <c r="F649" s="275"/>
      <c r="G649" s="273"/>
      <c r="H649" s="273"/>
      <c r="I649" s="275"/>
      <c r="J649" s="273"/>
      <c r="K649" s="273"/>
      <c r="L649" s="273"/>
      <c r="M649" s="273"/>
      <c r="N649" s="273"/>
      <c r="O649" s="273"/>
      <c r="P649" s="275"/>
      <c r="Q649" s="273"/>
      <c r="R649" s="273"/>
      <c r="S649" s="273"/>
      <c r="T649" s="273"/>
      <c r="U649" s="273"/>
      <c r="V649" s="273"/>
      <c r="W649" s="273"/>
      <c r="X649" s="273"/>
      <c r="Y649" s="273"/>
      <c r="Z649" s="273"/>
      <c r="AA649" s="273"/>
      <c r="AB649" s="273"/>
      <c r="AC649" s="273"/>
    </row>
    <row r="650" ht="75.0" customHeight="1">
      <c r="A650" s="273"/>
      <c r="B650" s="273"/>
      <c r="C650" s="273"/>
      <c r="D650" s="273"/>
      <c r="E650" s="273"/>
      <c r="F650" s="275"/>
      <c r="G650" s="273"/>
      <c r="H650" s="273"/>
      <c r="I650" s="275"/>
      <c r="J650" s="273"/>
      <c r="K650" s="273"/>
      <c r="L650" s="273"/>
      <c r="M650" s="273"/>
      <c r="N650" s="273"/>
      <c r="O650" s="273"/>
      <c r="P650" s="275"/>
      <c r="Q650" s="273"/>
      <c r="R650" s="273"/>
      <c r="S650" s="273"/>
      <c r="T650" s="273"/>
      <c r="U650" s="273"/>
      <c r="V650" s="273"/>
      <c r="W650" s="273"/>
      <c r="X650" s="273"/>
      <c r="Y650" s="273"/>
      <c r="Z650" s="273"/>
      <c r="AA650" s="273"/>
      <c r="AB650" s="273"/>
      <c r="AC650" s="273"/>
    </row>
    <row r="651" ht="75.0" customHeight="1">
      <c r="A651" s="273"/>
      <c r="B651" s="273"/>
      <c r="C651" s="273"/>
      <c r="D651" s="273"/>
      <c r="E651" s="273"/>
      <c r="F651" s="275"/>
      <c r="G651" s="273"/>
      <c r="H651" s="273"/>
      <c r="I651" s="275"/>
      <c r="J651" s="273"/>
      <c r="K651" s="273"/>
      <c r="L651" s="273"/>
      <c r="M651" s="273"/>
      <c r="N651" s="273"/>
      <c r="O651" s="273"/>
      <c r="P651" s="275"/>
      <c r="Q651" s="273"/>
      <c r="R651" s="273"/>
      <c r="S651" s="273"/>
      <c r="T651" s="273"/>
      <c r="U651" s="273"/>
      <c r="V651" s="273"/>
      <c r="W651" s="273"/>
      <c r="X651" s="273"/>
      <c r="Y651" s="273"/>
      <c r="Z651" s="273"/>
      <c r="AA651" s="273"/>
      <c r="AB651" s="273"/>
      <c r="AC651" s="273"/>
    </row>
    <row r="652" ht="75.0" customHeight="1">
      <c r="A652" s="273"/>
      <c r="B652" s="273"/>
      <c r="C652" s="273"/>
      <c r="D652" s="273"/>
      <c r="E652" s="273"/>
      <c r="F652" s="275"/>
      <c r="G652" s="273"/>
      <c r="H652" s="273"/>
      <c r="I652" s="275"/>
      <c r="J652" s="273"/>
      <c r="K652" s="273"/>
      <c r="L652" s="273"/>
      <c r="M652" s="273"/>
      <c r="N652" s="273"/>
      <c r="O652" s="273"/>
      <c r="P652" s="275"/>
      <c r="Q652" s="273"/>
      <c r="R652" s="273"/>
      <c r="S652" s="273"/>
      <c r="T652" s="273"/>
      <c r="U652" s="273"/>
      <c r="V652" s="273"/>
      <c r="W652" s="273"/>
      <c r="X652" s="273"/>
      <c r="Y652" s="273"/>
      <c r="Z652" s="273"/>
      <c r="AA652" s="273"/>
      <c r="AB652" s="273"/>
      <c r="AC652" s="273"/>
    </row>
    <row r="653" ht="75.0" customHeight="1">
      <c r="A653" s="273"/>
      <c r="B653" s="273"/>
      <c r="C653" s="273"/>
      <c r="D653" s="273"/>
      <c r="E653" s="273"/>
      <c r="F653" s="275"/>
      <c r="G653" s="273"/>
      <c r="H653" s="273"/>
      <c r="I653" s="275"/>
      <c r="J653" s="273"/>
      <c r="K653" s="273"/>
      <c r="L653" s="273"/>
      <c r="M653" s="273"/>
      <c r="N653" s="273"/>
      <c r="O653" s="273"/>
      <c r="P653" s="275"/>
      <c r="Q653" s="273"/>
      <c r="R653" s="273"/>
      <c r="S653" s="273"/>
      <c r="T653" s="273"/>
      <c r="U653" s="273"/>
      <c r="V653" s="273"/>
      <c r="W653" s="273"/>
      <c r="X653" s="273"/>
      <c r="Y653" s="273"/>
      <c r="Z653" s="273"/>
      <c r="AA653" s="273"/>
      <c r="AB653" s="273"/>
      <c r="AC653" s="273"/>
    </row>
    <row r="654" ht="75.0" customHeight="1">
      <c r="A654" s="273"/>
      <c r="B654" s="273"/>
      <c r="C654" s="273"/>
      <c r="D654" s="273"/>
      <c r="E654" s="273"/>
      <c r="F654" s="275"/>
      <c r="G654" s="273"/>
      <c r="H654" s="273"/>
      <c r="I654" s="275"/>
      <c r="J654" s="273"/>
      <c r="K654" s="273"/>
      <c r="L654" s="273"/>
      <c r="M654" s="273"/>
      <c r="N654" s="273"/>
      <c r="O654" s="273"/>
      <c r="P654" s="275"/>
      <c r="Q654" s="273"/>
      <c r="R654" s="273"/>
      <c r="S654" s="273"/>
      <c r="T654" s="273"/>
      <c r="U654" s="273"/>
      <c r="V654" s="273"/>
      <c r="W654" s="273"/>
      <c r="X654" s="273"/>
      <c r="Y654" s="273"/>
      <c r="Z654" s="273"/>
      <c r="AA654" s="273"/>
      <c r="AB654" s="273"/>
      <c r="AC654" s="273"/>
    </row>
    <row r="655" ht="75.0" customHeight="1">
      <c r="A655" s="273"/>
      <c r="B655" s="273"/>
      <c r="C655" s="273"/>
      <c r="D655" s="273"/>
      <c r="E655" s="273"/>
      <c r="F655" s="275"/>
      <c r="G655" s="273"/>
      <c r="H655" s="273"/>
      <c r="I655" s="275"/>
      <c r="J655" s="273"/>
      <c r="K655" s="273"/>
      <c r="L655" s="273"/>
      <c r="M655" s="273"/>
      <c r="N655" s="273"/>
      <c r="O655" s="273"/>
      <c r="P655" s="275"/>
      <c r="Q655" s="273"/>
      <c r="R655" s="273"/>
      <c r="S655" s="273"/>
      <c r="T655" s="273"/>
      <c r="U655" s="273"/>
      <c r="V655" s="273"/>
      <c r="W655" s="273"/>
      <c r="X655" s="273"/>
      <c r="Y655" s="273"/>
      <c r="Z655" s="273"/>
      <c r="AA655" s="273"/>
      <c r="AB655" s="273"/>
      <c r="AC655" s="273"/>
    </row>
    <row r="656" ht="75.0" customHeight="1">
      <c r="A656" s="273"/>
      <c r="B656" s="273"/>
      <c r="C656" s="273"/>
      <c r="D656" s="273"/>
      <c r="E656" s="273"/>
      <c r="F656" s="275"/>
      <c r="G656" s="273"/>
      <c r="H656" s="273"/>
      <c r="I656" s="275"/>
      <c r="J656" s="273"/>
      <c r="K656" s="273"/>
      <c r="L656" s="273"/>
      <c r="M656" s="273"/>
      <c r="N656" s="273"/>
      <c r="O656" s="273"/>
      <c r="P656" s="275"/>
      <c r="Q656" s="273"/>
      <c r="R656" s="273"/>
      <c r="S656" s="273"/>
      <c r="T656" s="273"/>
      <c r="U656" s="273"/>
      <c r="V656" s="273"/>
      <c r="W656" s="273"/>
      <c r="X656" s="273"/>
      <c r="Y656" s="273"/>
      <c r="Z656" s="273"/>
      <c r="AA656" s="273"/>
      <c r="AB656" s="273"/>
      <c r="AC656" s="273"/>
    </row>
    <row r="657" ht="75.0" customHeight="1">
      <c r="A657" s="273"/>
      <c r="B657" s="273"/>
      <c r="C657" s="273"/>
      <c r="D657" s="273"/>
      <c r="E657" s="273"/>
      <c r="F657" s="275"/>
      <c r="G657" s="273"/>
      <c r="H657" s="273"/>
      <c r="I657" s="275"/>
      <c r="J657" s="273"/>
      <c r="K657" s="273"/>
      <c r="L657" s="273"/>
      <c r="M657" s="273"/>
      <c r="N657" s="273"/>
      <c r="O657" s="273"/>
      <c r="P657" s="275"/>
      <c r="Q657" s="273"/>
      <c r="R657" s="273"/>
      <c r="S657" s="273"/>
      <c r="T657" s="273"/>
      <c r="U657" s="273"/>
      <c r="V657" s="273"/>
      <c r="W657" s="273"/>
      <c r="X657" s="273"/>
      <c r="Y657" s="273"/>
      <c r="Z657" s="273"/>
      <c r="AA657" s="273"/>
      <c r="AB657" s="273"/>
      <c r="AC657" s="273"/>
    </row>
    <row r="658" ht="75.0" customHeight="1">
      <c r="A658" s="273"/>
      <c r="B658" s="273"/>
      <c r="C658" s="273"/>
      <c r="D658" s="273"/>
      <c r="E658" s="273"/>
      <c r="F658" s="275"/>
      <c r="G658" s="273"/>
      <c r="H658" s="273"/>
      <c r="I658" s="275"/>
      <c r="J658" s="273"/>
      <c r="K658" s="273"/>
      <c r="L658" s="273"/>
      <c r="M658" s="273"/>
      <c r="N658" s="273"/>
      <c r="O658" s="273"/>
      <c r="P658" s="275"/>
      <c r="Q658" s="273"/>
      <c r="R658" s="273"/>
      <c r="S658" s="273"/>
      <c r="T658" s="273"/>
      <c r="U658" s="273"/>
      <c r="V658" s="273"/>
      <c r="W658" s="273"/>
      <c r="X658" s="273"/>
      <c r="Y658" s="273"/>
      <c r="Z658" s="273"/>
      <c r="AA658" s="273"/>
      <c r="AB658" s="273"/>
      <c r="AC658" s="273"/>
    </row>
    <row r="659" ht="75.0" customHeight="1">
      <c r="A659" s="273"/>
      <c r="B659" s="273"/>
      <c r="C659" s="273"/>
      <c r="D659" s="273"/>
      <c r="E659" s="273"/>
      <c r="F659" s="275"/>
      <c r="G659" s="273"/>
      <c r="H659" s="273"/>
      <c r="I659" s="275"/>
      <c r="J659" s="273"/>
      <c r="K659" s="273"/>
      <c r="L659" s="273"/>
      <c r="M659" s="273"/>
      <c r="N659" s="273"/>
      <c r="O659" s="273"/>
      <c r="P659" s="275"/>
      <c r="Q659" s="273"/>
      <c r="R659" s="273"/>
      <c r="S659" s="273"/>
      <c r="T659" s="273"/>
      <c r="U659" s="273"/>
      <c r="V659" s="273"/>
      <c r="W659" s="273"/>
      <c r="X659" s="273"/>
      <c r="Y659" s="273"/>
      <c r="Z659" s="273"/>
      <c r="AA659" s="273"/>
      <c r="AB659" s="273"/>
      <c r="AC659" s="273"/>
    </row>
    <row r="660" ht="75.0" customHeight="1">
      <c r="A660" s="273"/>
      <c r="B660" s="273"/>
      <c r="C660" s="273"/>
      <c r="D660" s="273"/>
      <c r="E660" s="273"/>
      <c r="F660" s="275"/>
      <c r="G660" s="273"/>
      <c r="H660" s="273"/>
      <c r="I660" s="275"/>
      <c r="J660" s="273"/>
      <c r="K660" s="273"/>
      <c r="L660" s="273"/>
      <c r="M660" s="273"/>
      <c r="N660" s="273"/>
      <c r="O660" s="273"/>
      <c r="P660" s="275"/>
      <c r="Q660" s="273"/>
      <c r="R660" s="273"/>
      <c r="S660" s="273"/>
      <c r="T660" s="273"/>
      <c r="U660" s="273"/>
      <c r="V660" s="273"/>
      <c r="W660" s="273"/>
      <c r="X660" s="273"/>
      <c r="Y660" s="273"/>
      <c r="Z660" s="273"/>
      <c r="AA660" s="273"/>
      <c r="AB660" s="273"/>
      <c r="AC660" s="273"/>
    </row>
    <row r="661" ht="75.0" customHeight="1">
      <c r="A661" s="273"/>
      <c r="B661" s="273"/>
      <c r="C661" s="273"/>
      <c r="D661" s="273"/>
      <c r="E661" s="273"/>
      <c r="F661" s="275"/>
      <c r="G661" s="273"/>
      <c r="H661" s="273"/>
      <c r="I661" s="275"/>
      <c r="J661" s="273"/>
      <c r="K661" s="273"/>
      <c r="L661" s="273"/>
      <c r="M661" s="273"/>
      <c r="N661" s="273"/>
      <c r="O661" s="273"/>
      <c r="P661" s="275"/>
      <c r="Q661" s="273"/>
      <c r="R661" s="273"/>
      <c r="S661" s="273"/>
      <c r="T661" s="273"/>
      <c r="U661" s="273"/>
      <c r="V661" s="273"/>
      <c r="W661" s="273"/>
      <c r="X661" s="273"/>
      <c r="Y661" s="273"/>
      <c r="Z661" s="273"/>
      <c r="AA661" s="273"/>
      <c r="AB661" s="273"/>
      <c r="AC661" s="273"/>
    </row>
    <row r="662" ht="75.0" customHeight="1">
      <c r="A662" s="273"/>
      <c r="B662" s="273"/>
      <c r="C662" s="273"/>
      <c r="D662" s="273"/>
      <c r="E662" s="273"/>
      <c r="F662" s="275"/>
      <c r="G662" s="273"/>
      <c r="H662" s="273"/>
      <c r="I662" s="275"/>
      <c r="J662" s="273"/>
      <c r="K662" s="273"/>
      <c r="L662" s="273"/>
      <c r="M662" s="273"/>
      <c r="N662" s="273"/>
      <c r="O662" s="273"/>
      <c r="P662" s="275"/>
      <c r="Q662" s="273"/>
      <c r="R662" s="273"/>
      <c r="S662" s="273"/>
      <c r="T662" s="273"/>
      <c r="U662" s="273"/>
      <c r="V662" s="273"/>
      <c r="W662" s="273"/>
      <c r="X662" s="273"/>
      <c r="Y662" s="273"/>
      <c r="Z662" s="273"/>
      <c r="AA662" s="273"/>
      <c r="AB662" s="273"/>
      <c r="AC662" s="273"/>
    </row>
    <row r="663" ht="75.0" customHeight="1">
      <c r="A663" s="273"/>
      <c r="B663" s="273"/>
      <c r="C663" s="273"/>
      <c r="D663" s="273"/>
      <c r="E663" s="273"/>
      <c r="F663" s="275"/>
      <c r="G663" s="273"/>
      <c r="H663" s="273"/>
      <c r="I663" s="275"/>
      <c r="J663" s="273"/>
      <c r="K663" s="273"/>
      <c r="L663" s="273"/>
      <c r="M663" s="273"/>
      <c r="N663" s="273"/>
      <c r="O663" s="273"/>
      <c r="P663" s="275"/>
      <c r="Q663" s="273"/>
      <c r="R663" s="273"/>
      <c r="S663" s="273"/>
      <c r="T663" s="273"/>
      <c r="U663" s="273"/>
      <c r="V663" s="273"/>
      <c r="W663" s="273"/>
      <c r="X663" s="273"/>
      <c r="Y663" s="273"/>
      <c r="Z663" s="273"/>
      <c r="AA663" s="273"/>
      <c r="AB663" s="273"/>
      <c r="AC663" s="273"/>
    </row>
    <row r="664" ht="75.0" customHeight="1">
      <c r="A664" s="273"/>
      <c r="B664" s="273"/>
      <c r="C664" s="273"/>
      <c r="D664" s="273"/>
      <c r="E664" s="273"/>
      <c r="F664" s="275"/>
      <c r="G664" s="273"/>
      <c r="H664" s="273"/>
      <c r="I664" s="275"/>
      <c r="J664" s="273"/>
      <c r="K664" s="273"/>
      <c r="L664" s="273"/>
      <c r="M664" s="273"/>
      <c r="N664" s="273"/>
      <c r="O664" s="273"/>
      <c r="P664" s="275"/>
      <c r="Q664" s="273"/>
      <c r="R664" s="273"/>
      <c r="S664" s="273"/>
      <c r="T664" s="273"/>
      <c r="U664" s="273"/>
      <c r="V664" s="273"/>
      <c r="W664" s="273"/>
      <c r="X664" s="273"/>
      <c r="Y664" s="273"/>
      <c r="Z664" s="273"/>
      <c r="AA664" s="273"/>
      <c r="AB664" s="273"/>
      <c r="AC664" s="273"/>
    </row>
    <row r="665" ht="75.0" customHeight="1">
      <c r="A665" s="273"/>
      <c r="B665" s="273"/>
      <c r="C665" s="273"/>
      <c r="D665" s="273"/>
      <c r="E665" s="273"/>
      <c r="F665" s="275"/>
      <c r="G665" s="273"/>
      <c r="H665" s="273"/>
      <c r="I665" s="275"/>
      <c r="J665" s="273"/>
      <c r="K665" s="273"/>
      <c r="L665" s="273"/>
      <c r="M665" s="273"/>
      <c r="N665" s="273"/>
      <c r="O665" s="273"/>
      <c r="P665" s="275"/>
      <c r="Q665" s="273"/>
      <c r="R665" s="273"/>
      <c r="S665" s="273"/>
      <c r="T665" s="273"/>
      <c r="U665" s="273"/>
      <c r="V665" s="273"/>
      <c r="W665" s="273"/>
      <c r="X665" s="273"/>
      <c r="Y665" s="273"/>
      <c r="Z665" s="273"/>
      <c r="AA665" s="273"/>
      <c r="AB665" s="273"/>
      <c r="AC665" s="273"/>
    </row>
    <row r="666" ht="75.0" customHeight="1">
      <c r="A666" s="273"/>
      <c r="B666" s="273"/>
      <c r="C666" s="273"/>
      <c r="D666" s="273"/>
      <c r="E666" s="273"/>
      <c r="F666" s="275"/>
      <c r="G666" s="273"/>
      <c r="H666" s="273"/>
      <c r="I666" s="275"/>
      <c r="J666" s="273"/>
      <c r="K666" s="273"/>
      <c r="L666" s="273"/>
      <c r="M666" s="273"/>
      <c r="N666" s="273"/>
      <c r="O666" s="273"/>
      <c r="P666" s="275"/>
      <c r="Q666" s="273"/>
      <c r="R666" s="273"/>
      <c r="S666" s="273"/>
      <c r="T666" s="273"/>
      <c r="U666" s="273"/>
      <c r="V666" s="273"/>
      <c r="W666" s="273"/>
      <c r="X666" s="273"/>
      <c r="Y666" s="273"/>
      <c r="Z666" s="273"/>
      <c r="AA666" s="273"/>
      <c r="AB666" s="273"/>
      <c r="AC666" s="273"/>
    </row>
    <row r="667" ht="75.0" customHeight="1">
      <c r="A667" s="273"/>
      <c r="B667" s="273"/>
      <c r="C667" s="273"/>
      <c r="D667" s="273"/>
      <c r="E667" s="273"/>
      <c r="F667" s="275"/>
      <c r="G667" s="273"/>
      <c r="H667" s="273"/>
      <c r="I667" s="275"/>
      <c r="J667" s="273"/>
      <c r="K667" s="273"/>
      <c r="L667" s="273"/>
      <c r="M667" s="273"/>
      <c r="N667" s="273"/>
      <c r="O667" s="273"/>
      <c r="P667" s="275"/>
      <c r="Q667" s="273"/>
      <c r="R667" s="273"/>
      <c r="S667" s="273"/>
      <c r="T667" s="273"/>
      <c r="U667" s="273"/>
      <c r="V667" s="273"/>
      <c r="W667" s="273"/>
      <c r="X667" s="273"/>
      <c r="Y667" s="273"/>
      <c r="Z667" s="273"/>
      <c r="AA667" s="273"/>
      <c r="AB667" s="273"/>
      <c r="AC667" s="273"/>
    </row>
    <row r="668" ht="75.0" customHeight="1">
      <c r="A668" s="273"/>
      <c r="B668" s="273"/>
      <c r="C668" s="273"/>
      <c r="D668" s="273"/>
      <c r="E668" s="273"/>
      <c r="F668" s="275"/>
      <c r="G668" s="273"/>
      <c r="H668" s="273"/>
      <c r="I668" s="275"/>
      <c r="J668" s="273"/>
      <c r="K668" s="273"/>
      <c r="L668" s="273"/>
      <c r="M668" s="273"/>
      <c r="N668" s="273"/>
      <c r="O668" s="273"/>
      <c r="P668" s="275"/>
      <c r="Q668" s="273"/>
      <c r="R668" s="273"/>
      <c r="S668" s="273"/>
      <c r="T668" s="273"/>
      <c r="U668" s="273"/>
      <c r="V668" s="273"/>
      <c r="W668" s="273"/>
      <c r="X668" s="273"/>
      <c r="Y668" s="273"/>
      <c r="Z668" s="273"/>
      <c r="AA668" s="273"/>
      <c r="AB668" s="273"/>
      <c r="AC668" s="273"/>
    </row>
    <row r="669" ht="75.0" customHeight="1">
      <c r="A669" s="273"/>
      <c r="B669" s="273"/>
      <c r="C669" s="273"/>
      <c r="D669" s="273"/>
      <c r="E669" s="273"/>
      <c r="F669" s="275"/>
      <c r="G669" s="273"/>
      <c r="H669" s="273"/>
      <c r="I669" s="275"/>
      <c r="J669" s="273"/>
      <c r="K669" s="273"/>
      <c r="L669" s="273"/>
      <c r="M669" s="273"/>
      <c r="N669" s="273"/>
      <c r="O669" s="273"/>
      <c r="P669" s="275"/>
      <c r="Q669" s="273"/>
      <c r="R669" s="273"/>
      <c r="S669" s="273"/>
      <c r="T669" s="273"/>
      <c r="U669" s="273"/>
      <c r="V669" s="273"/>
      <c r="W669" s="273"/>
      <c r="X669" s="273"/>
      <c r="Y669" s="273"/>
      <c r="Z669" s="273"/>
      <c r="AA669" s="273"/>
      <c r="AB669" s="273"/>
      <c r="AC669" s="273"/>
    </row>
    <row r="670" ht="75.0" customHeight="1">
      <c r="A670" s="273"/>
      <c r="B670" s="273"/>
      <c r="C670" s="273"/>
      <c r="D670" s="273"/>
      <c r="E670" s="273"/>
      <c r="F670" s="275"/>
      <c r="G670" s="273"/>
      <c r="H670" s="273"/>
      <c r="I670" s="275"/>
      <c r="J670" s="273"/>
      <c r="K670" s="273"/>
      <c r="L670" s="273"/>
      <c r="M670" s="273"/>
      <c r="N670" s="273"/>
      <c r="O670" s="273"/>
      <c r="P670" s="275"/>
      <c r="Q670" s="273"/>
      <c r="R670" s="273"/>
      <c r="S670" s="273"/>
      <c r="T670" s="273"/>
      <c r="U670" s="273"/>
      <c r="V670" s="273"/>
      <c r="W670" s="273"/>
      <c r="X670" s="273"/>
      <c r="Y670" s="273"/>
      <c r="Z670" s="273"/>
      <c r="AA670" s="273"/>
      <c r="AB670" s="273"/>
      <c r="AC670" s="273"/>
    </row>
    <row r="671" ht="75.0" customHeight="1">
      <c r="A671" s="273"/>
      <c r="B671" s="273"/>
      <c r="C671" s="273"/>
      <c r="D671" s="273"/>
      <c r="E671" s="273"/>
      <c r="F671" s="275"/>
      <c r="G671" s="273"/>
      <c r="H671" s="273"/>
      <c r="I671" s="275"/>
      <c r="J671" s="273"/>
      <c r="K671" s="273"/>
      <c r="L671" s="273"/>
      <c r="M671" s="273"/>
      <c r="N671" s="273"/>
      <c r="O671" s="273"/>
      <c r="P671" s="275"/>
      <c r="Q671" s="273"/>
      <c r="R671" s="273"/>
      <c r="S671" s="273"/>
      <c r="T671" s="273"/>
      <c r="U671" s="273"/>
      <c r="V671" s="273"/>
      <c r="W671" s="273"/>
      <c r="X671" s="273"/>
      <c r="Y671" s="273"/>
      <c r="Z671" s="273"/>
      <c r="AA671" s="273"/>
      <c r="AB671" s="273"/>
      <c r="AC671" s="273"/>
    </row>
    <row r="672" ht="75.0" customHeight="1">
      <c r="A672" s="273"/>
      <c r="B672" s="273"/>
      <c r="C672" s="273"/>
      <c r="D672" s="273"/>
      <c r="E672" s="273"/>
      <c r="F672" s="275"/>
      <c r="G672" s="273"/>
      <c r="H672" s="273"/>
      <c r="I672" s="275"/>
      <c r="J672" s="273"/>
      <c r="K672" s="273"/>
      <c r="L672" s="273"/>
      <c r="M672" s="273"/>
      <c r="N672" s="273"/>
      <c r="O672" s="273"/>
      <c r="P672" s="275"/>
      <c r="Q672" s="273"/>
      <c r="R672" s="273"/>
      <c r="S672" s="273"/>
      <c r="T672" s="273"/>
      <c r="U672" s="273"/>
      <c r="V672" s="273"/>
      <c r="W672" s="273"/>
      <c r="X672" s="273"/>
      <c r="Y672" s="273"/>
      <c r="Z672" s="273"/>
      <c r="AA672" s="273"/>
      <c r="AB672" s="273"/>
      <c r="AC672" s="273"/>
    </row>
    <row r="673" ht="75.0" customHeight="1">
      <c r="A673" s="273"/>
      <c r="B673" s="273"/>
      <c r="C673" s="273"/>
      <c r="D673" s="273"/>
      <c r="E673" s="273"/>
      <c r="F673" s="275"/>
      <c r="G673" s="273"/>
      <c r="H673" s="273"/>
      <c r="I673" s="275"/>
      <c r="J673" s="273"/>
      <c r="K673" s="273"/>
      <c r="L673" s="273"/>
      <c r="M673" s="273"/>
      <c r="N673" s="273"/>
      <c r="O673" s="273"/>
      <c r="P673" s="275"/>
      <c r="Q673" s="273"/>
      <c r="R673" s="273"/>
      <c r="S673" s="273"/>
      <c r="T673" s="273"/>
      <c r="U673" s="273"/>
      <c r="V673" s="273"/>
      <c r="W673" s="273"/>
      <c r="X673" s="273"/>
      <c r="Y673" s="273"/>
      <c r="Z673" s="273"/>
      <c r="AA673" s="273"/>
      <c r="AB673" s="273"/>
      <c r="AC673" s="273"/>
    </row>
    <row r="674" ht="75.0" customHeight="1">
      <c r="A674" s="273"/>
      <c r="B674" s="273"/>
      <c r="C674" s="273"/>
      <c r="D674" s="273"/>
      <c r="E674" s="273"/>
      <c r="F674" s="275"/>
      <c r="G674" s="273"/>
      <c r="H674" s="273"/>
      <c r="I674" s="275"/>
      <c r="J674" s="273"/>
      <c r="K674" s="273"/>
      <c r="L674" s="273"/>
      <c r="M674" s="273"/>
      <c r="N674" s="273"/>
      <c r="O674" s="273"/>
      <c r="P674" s="275"/>
      <c r="Q674" s="273"/>
      <c r="R674" s="273"/>
      <c r="S674" s="273"/>
      <c r="T674" s="273"/>
      <c r="U674" s="273"/>
      <c r="V674" s="273"/>
      <c r="W674" s="273"/>
      <c r="X674" s="273"/>
      <c r="Y674" s="273"/>
      <c r="Z674" s="273"/>
      <c r="AA674" s="273"/>
      <c r="AB674" s="273"/>
      <c r="AC674" s="273"/>
    </row>
    <row r="675" ht="75.0" customHeight="1">
      <c r="A675" s="273"/>
      <c r="B675" s="273"/>
      <c r="C675" s="273"/>
      <c r="D675" s="273"/>
      <c r="E675" s="273"/>
      <c r="F675" s="275"/>
      <c r="G675" s="273"/>
      <c r="H675" s="273"/>
      <c r="I675" s="275"/>
      <c r="J675" s="273"/>
      <c r="K675" s="273"/>
      <c r="L675" s="273"/>
      <c r="M675" s="273"/>
      <c r="N675" s="273"/>
      <c r="O675" s="273"/>
      <c r="P675" s="275"/>
      <c r="Q675" s="273"/>
      <c r="R675" s="273"/>
      <c r="S675" s="273"/>
      <c r="T675" s="273"/>
      <c r="U675" s="273"/>
      <c r="V675" s="273"/>
      <c r="W675" s="273"/>
      <c r="X675" s="273"/>
      <c r="Y675" s="273"/>
      <c r="Z675" s="273"/>
      <c r="AA675" s="273"/>
      <c r="AB675" s="273"/>
      <c r="AC675" s="273"/>
    </row>
    <row r="676" ht="75.0" customHeight="1">
      <c r="A676" s="273"/>
      <c r="B676" s="273"/>
      <c r="C676" s="273"/>
      <c r="D676" s="273"/>
      <c r="E676" s="273"/>
      <c r="F676" s="275"/>
      <c r="G676" s="273"/>
      <c r="H676" s="273"/>
      <c r="I676" s="275"/>
      <c r="J676" s="273"/>
      <c r="K676" s="273"/>
      <c r="L676" s="273"/>
      <c r="M676" s="273"/>
      <c r="N676" s="273"/>
      <c r="O676" s="273"/>
      <c r="P676" s="275"/>
      <c r="Q676" s="273"/>
      <c r="R676" s="273"/>
      <c r="S676" s="273"/>
      <c r="T676" s="273"/>
      <c r="U676" s="273"/>
      <c r="V676" s="273"/>
      <c r="W676" s="273"/>
      <c r="X676" s="273"/>
      <c r="Y676" s="273"/>
      <c r="Z676" s="273"/>
      <c r="AA676" s="273"/>
      <c r="AB676" s="273"/>
      <c r="AC676" s="273"/>
    </row>
    <row r="677" ht="75.0" customHeight="1">
      <c r="A677" s="273"/>
      <c r="B677" s="273"/>
      <c r="C677" s="273"/>
      <c r="D677" s="273"/>
      <c r="E677" s="273"/>
      <c r="F677" s="275"/>
      <c r="G677" s="273"/>
      <c r="H677" s="273"/>
      <c r="I677" s="275"/>
      <c r="J677" s="273"/>
      <c r="K677" s="273"/>
      <c r="L677" s="273"/>
      <c r="M677" s="273"/>
      <c r="N677" s="273"/>
      <c r="O677" s="273"/>
      <c r="P677" s="275"/>
      <c r="Q677" s="273"/>
      <c r="R677" s="273"/>
      <c r="S677" s="273"/>
      <c r="T677" s="273"/>
      <c r="U677" s="273"/>
      <c r="V677" s="273"/>
      <c r="W677" s="273"/>
      <c r="X677" s="273"/>
      <c r="Y677" s="273"/>
      <c r="Z677" s="273"/>
      <c r="AA677" s="273"/>
      <c r="AB677" s="273"/>
      <c r="AC677" s="273"/>
    </row>
    <row r="678" ht="75.0" customHeight="1">
      <c r="A678" s="273"/>
      <c r="B678" s="273"/>
      <c r="C678" s="273"/>
      <c r="D678" s="273"/>
      <c r="E678" s="273"/>
      <c r="F678" s="275"/>
      <c r="G678" s="273"/>
      <c r="H678" s="273"/>
      <c r="I678" s="275"/>
      <c r="J678" s="273"/>
      <c r="K678" s="273"/>
      <c r="L678" s="273"/>
      <c r="M678" s="273"/>
      <c r="N678" s="273"/>
      <c r="O678" s="273"/>
      <c r="P678" s="275"/>
      <c r="Q678" s="273"/>
      <c r="R678" s="273"/>
      <c r="S678" s="273"/>
      <c r="T678" s="273"/>
      <c r="U678" s="273"/>
      <c r="V678" s="273"/>
      <c r="W678" s="273"/>
      <c r="X678" s="273"/>
      <c r="Y678" s="273"/>
      <c r="Z678" s="273"/>
      <c r="AA678" s="273"/>
      <c r="AB678" s="273"/>
      <c r="AC678" s="273"/>
    </row>
    <row r="679" ht="75.0" customHeight="1">
      <c r="A679" s="273"/>
      <c r="B679" s="273"/>
      <c r="C679" s="273"/>
      <c r="D679" s="273"/>
      <c r="E679" s="273"/>
      <c r="F679" s="275"/>
      <c r="G679" s="273"/>
      <c r="H679" s="273"/>
      <c r="I679" s="275"/>
      <c r="J679" s="273"/>
      <c r="K679" s="273"/>
      <c r="L679" s="273"/>
      <c r="M679" s="273"/>
      <c r="N679" s="273"/>
      <c r="O679" s="273"/>
      <c r="P679" s="275"/>
      <c r="Q679" s="273"/>
      <c r="R679" s="273"/>
      <c r="S679" s="273"/>
      <c r="T679" s="273"/>
      <c r="U679" s="273"/>
      <c r="V679" s="273"/>
      <c r="W679" s="273"/>
      <c r="X679" s="273"/>
      <c r="Y679" s="273"/>
      <c r="Z679" s="273"/>
      <c r="AA679" s="273"/>
      <c r="AB679" s="273"/>
      <c r="AC679" s="273"/>
    </row>
    <row r="680" ht="75.0" customHeight="1">
      <c r="A680" s="273"/>
      <c r="B680" s="273"/>
      <c r="C680" s="273"/>
      <c r="D680" s="273"/>
      <c r="E680" s="273"/>
      <c r="F680" s="275"/>
      <c r="G680" s="273"/>
      <c r="H680" s="273"/>
      <c r="I680" s="275"/>
      <c r="J680" s="273"/>
      <c r="K680" s="273"/>
      <c r="L680" s="273"/>
      <c r="M680" s="273"/>
      <c r="N680" s="273"/>
      <c r="O680" s="273"/>
      <c r="P680" s="275"/>
      <c r="Q680" s="273"/>
      <c r="R680" s="273"/>
      <c r="S680" s="273"/>
      <c r="T680" s="273"/>
      <c r="U680" s="273"/>
      <c r="V680" s="273"/>
      <c r="W680" s="273"/>
      <c r="X680" s="273"/>
      <c r="Y680" s="273"/>
      <c r="Z680" s="273"/>
      <c r="AA680" s="273"/>
      <c r="AB680" s="273"/>
      <c r="AC680" s="273"/>
    </row>
    <row r="681" ht="75.0" customHeight="1">
      <c r="A681" s="273"/>
      <c r="B681" s="273"/>
      <c r="C681" s="273"/>
      <c r="D681" s="273"/>
      <c r="E681" s="273"/>
      <c r="F681" s="275"/>
      <c r="G681" s="273"/>
      <c r="H681" s="273"/>
      <c r="I681" s="275"/>
      <c r="J681" s="273"/>
      <c r="K681" s="273"/>
      <c r="L681" s="273"/>
      <c r="M681" s="273"/>
      <c r="N681" s="273"/>
      <c r="O681" s="273"/>
      <c r="P681" s="275"/>
      <c r="Q681" s="273"/>
      <c r="R681" s="273"/>
      <c r="S681" s="273"/>
      <c r="T681" s="273"/>
      <c r="U681" s="273"/>
      <c r="V681" s="273"/>
      <c r="W681" s="273"/>
      <c r="X681" s="273"/>
      <c r="Y681" s="273"/>
      <c r="Z681" s="273"/>
      <c r="AA681" s="273"/>
      <c r="AB681" s="273"/>
      <c r="AC681" s="273"/>
    </row>
    <row r="682" ht="75.0" customHeight="1">
      <c r="A682" s="273"/>
      <c r="B682" s="273"/>
      <c r="C682" s="273"/>
      <c r="D682" s="273"/>
      <c r="E682" s="273"/>
      <c r="F682" s="275"/>
      <c r="G682" s="273"/>
      <c r="H682" s="273"/>
      <c r="I682" s="275"/>
      <c r="J682" s="273"/>
      <c r="K682" s="273"/>
      <c r="L682" s="273"/>
      <c r="M682" s="273"/>
      <c r="N682" s="273"/>
      <c r="O682" s="273"/>
      <c r="P682" s="275"/>
      <c r="Q682" s="273"/>
      <c r="R682" s="273"/>
      <c r="S682" s="273"/>
      <c r="T682" s="273"/>
      <c r="U682" s="273"/>
      <c r="V682" s="273"/>
      <c r="W682" s="273"/>
      <c r="X682" s="273"/>
      <c r="Y682" s="273"/>
      <c r="Z682" s="273"/>
      <c r="AA682" s="273"/>
      <c r="AB682" s="273"/>
      <c r="AC682" s="273"/>
    </row>
    <row r="683" ht="75.0" customHeight="1">
      <c r="A683" s="273"/>
      <c r="B683" s="273"/>
      <c r="C683" s="273"/>
      <c r="D683" s="273"/>
      <c r="E683" s="273"/>
      <c r="F683" s="275"/>
      <c r="G683" s="273"/>
      <c r="H683" s="273"/>
      <c r="I683" s="275"/>
      <c r="J683" s="273"/>
      <c r="K683" s="273"/>
      <c r="L683" s="273"/>
      <c r="M683" s="273"/>
      <c r="N683" s="273"/>
      <c r="O683" s="273"/>
      <c r="P683" s="275"/>
      <c r="Q683" s="273"/>
      <c r="R683" s="273"/>
      <c r="S683" s="273"/>
      <c r="T683" s="273"/>
      <c r="U683" s="273"/>
      <c r="V683" s="273"/>
      <c r="W683" s="273"/>
      <c r="X683" s="273"/>
      <c r="Y683" s="273"/>
      <c r="Z683" s="273"/>
      <c r="AA683" s="273"/>
      <c r="AB683" s="273"/>
      <c r="AC683" s="273"/>
    </row>
    <row r="684" ht="75.0" customHeight="1">
      <c r="A684" s="273"/>
      <c r="B684" s="273"/>
      <c r="C684" s="273"/>
      <c r="D684" s="273"/>
      <c r="E684" s="273"/>
      <c r="F684" s="275"/>
      <c r="G684" s="273"/>
      <c r="H684" s="273"/>
      <c r="I684" s="275"/>
      <c r="J684" s="273"/>
      <c r="K684" s="273"/>
      <c r="L684" s="273"/>
      <c r="M684" s="273"/>
      <c r="N684" s="273"/>
      <c r="O684" s="273"/>
      <c r="P684" s="275"/>
      <c r="Q684" s="273"/>
      <c r="R684" s="273"/>
      <c r="S684" s="273"/>
      <c r="T684" s="273"/>
      <c r="U684" s="273"/>
      <c r="V684" s="273"/>
      <c r="W684" s="273"/>
      <c r="X684" s="273"/>
      <c r="Y684" s="273"/>
      <c r="Z684" s="273"/>
      <c r="AA684" s="273"/>
      <c r="AB684" s="273"/>
      <c r="AC684" s="273"/>
    </row>
    <row r="685" ht="75.0" customHeight="1">
      <c r="A685" s="273"/>
      <c r="B685" s="273"/>
      <c r="C685" s="273"/>
      <c r="D685" s="273"/>
      <c r="E685" s="273"/>
      <c r="F685" s="275"/>
      <c r="G685" s="273"/>
      <c r="H685" s="273"/>
      <c r="I685" s="275"/>
      <c r="J685" s="273"/>
      <c r="K685" s="273"/>
      <c r="L685" s="273"/>
      <c r="M685" s="273"/>
      <c r="N685" s="273"/>
      <c r="O685" s="273"/>
      <c r="P685" s="275"/>
      <c r="Q685" s="273"/>
      <c r="R685" s="273"/>
      <c r="S685" s="273"/>
      <c r="T685" s="273"/>
      <c r="U685" s="273"/>
      <c r="V685" s="273"/>
      <c r="W685" s="273"/>
      <c r="X685" s="273"/>
      <c r="Y685" s="273"/>
      <c r="Z685" s="273"/>
      <c r="AA685" s="273"/>
      <c r="AB685" s="273"/>
      <c r="AC685" s="273"/>
    </row>
    <row r="686" ht="75.0" customHeight="1">
      <c r="A686" s="273"/>
      <c r="B686" s="273"/>
      <c r="C686" s="273"/>
      <c r="D686" s="273"/>
      <c r="E686" s="273"/>
      <c r="F686" s="275"/>
      <c r="G686" s="273"/>
      <c r="H686" s="273"/>
      <c r="I686" s="275"/>
      <c r="J686" s="273"/>
      <c r="K686" s="273"/>
      <c r="L686" s="273"/>
      <c r="M686" s="273"/>
      <c r="N686" s="273"/>
      <c r="O686" s="273"/>
      <c r="P686" s="275"/>
      <c r="Q686" s="273"/>
      <c r="R686" s="273"/>
      <c r="S686" s="273"/>
      <c r="T686" s="273"/>
      <c r="U686" s="273"/>
      <c r="V686" s="273"/>
      <c r="W686" s="273"/>
      <c r="X686" s="273"/>
      <c r="Y686" s="273"/>
      <c r="Z686" s="273"/>
      <c r="AA686" s="273"/>
      <c r="AB686" s="273"/>
      <c r="AC686" s="273"/>
    </row>
    <row r="687" ht="75.0" customHeight="1">
      <c r="A687" s="273"/>
      <c r="B687" s="273"/>
      <c r="C687" s="273"/>
      <c r="D687" s="273"/>
      <c r="E687" s="273"/>
      <c r="F687" s="275"/>
      <c r="G687" s="273"/>
      <c r="H687" s="273"/>
      <c r="I687" s="275"/>
      <c r="J687" s="273"/>
      <c r="K687" s="273"/>
      <c r="L687" s="273"/>
      <c r="M687" s="273"/>
      <c r="N687" s="273"/>
      <c r="O687" s="273"/>
      <c r="P687" s="275"/>
      <c r="Q687" s="273"/>
      <c r="R687" s="273"/>
      <c r="S687" s="273"/>
      <c r="T687" s="273"/>
      <c r="U687" s="273"/>
      <c r="V687" s="273"/>
      <c r="W687" s="273"/>
      <c r="X687" s="273"/>
      <c r="Y687" s="273"/>
      <c r="Z687" s="273"/>
      <c r="AA687" s="273"/>
      <c r="AB687" s="273"/>
      <c r="AC687" s="273"/>
    </row>
    <row r="688" ht="75.0" customHeight="1">
      <c r="A688" s="273"/>
      <c r="B688" s="273"/>
      <c r="C688" s="273"/>
      <c r="D688" s="273"/>
      <c r="E688" s="273"/>
      <c r="F688" s="275"/>
      <c r="G688" s="273"/>
      <c r="H688" s="273"/>
      <c r="I688" s="275"/>
      <c r="J688" s="273"/>
      <c r="K688" s="273"/>
      <c r="L688" s="273"/>
      <c r="M688" s="273"/>
      <c r="N688" s="273"/>
      <c r="O688" s="273"/>
      <c r="P688" s="275"/>
      <c r="Q688" s="273"/>
      <c r="R688" s="273"/>
      <c r="S688" s="273"/>
      <c r="T688" s="273"/>
      <c r="U688" s="273"/>
      <c r="V688" s="273"/>
      <c r="W688" s="273"/>
      <c r="X688" s="273"/>
      <c r="Y688" s="273"/>
      <c r="Z688" s="273"/>
      <c r="AA688" s="273"/>
      <c r="AB688" s="273"/>
      <c r="AC688" s="273"/>
    </row>
    <row r="689" ht="75.0" customHeight="1">
      <c r="A689" s="273"/>
      <c r="B689" s="273"/>
      <c r="C689" s="273"/>
      <c r="D689" s="273"/>
      <c r="E689" s="273"/>
      <c r="F689" s="275"/>
      <c r="G689" s="273"/>
      <c r="H689" s="273"/>
      <c r="I689" s="275"/>
      <c r="J689" s="273"/>
      <c r="K689" s="273"/>
      <c r="L689" s="273"/>
      <c r="M689" s="273"/>
      <c r="N689" s="273"/>
      <c r="O689" s="273"/>
      <c r="P689" s="275"/>
      <c r="Q689" s="273"/>
      <c r="R689" s="273"/>
      <c r="S689" s="273"/>
      <c r="T689" s="273"/>
      <c r="U689" s="273"/>
      <c r="V689" s="273"/>
      <c r="W689" s="273"/>
      <c r="X689" s="273"/>
      <c r="Y689" s="273"/>
      <c r="Z689" s="273"/>
      <c r="AA689" s="273"/>
      <c r="AB689" s="273"/>
      <c r="AC689" s="273"/>
    </row>
    <row r="690" ht="75.0" customHeight="1">
      <c r="A690" s="273"/>
      <c r="B690" s="273"/>
      <c r="C690" s="273"/>
      <c r="D690" s="273"/>
      <c r="E690" s="273"/>
      <c r="F690" s="275"/>
      <c r="G690" s="273"/>
      <c r="H690" s="273"/>
      <c r="I690" s="275"/>
      <c r="J690" s="273"/>
      <c r="K690" s="273"/>
      <c r="L690" s="273"/>
      <c r="M690" s="273"/>
      <c r="N690" s="273"/>
      <c r="O690" s="273"/>
      <c r="P690" s="275"/>
      <c r="Q690" s="273"/>
      <c r="R690" s="273"/>
      <c r="S690" s="273"/>
      <c r="T690" s="273"/>
      <c r="U690" s="273"/>
      <c r="V690" s="273"/>
      <c r="W690" s="273"/>
      <c r="X690" s="273"/>
      <c r="Y690" s="273"/>
      <c r="Z690" s="273"/>
      <c r="AA690" s="273"/>
      <c r="AB690" s="273"/>
      <c r="AC690" s="273"/>
    </row>
    <row r="691" ht="75.0" customHeight="1">
      <c r="A691" s="273"/>
      <c r="B691" s="273"/>
      <c r="C691" s="273"/>
      <c r="D691" s="273"/>
      <c r="E691" s="273"/>
      <c r="F691" s="275"/>
      <c r="G691" s="273"/>
      <c r="H691" s="273"/>
      <c r="I691" s="275"/>
      <c r="J691" s="273"/>
      <c r="K691" s="273"/>
      <c r="L691" s="273"/>
      <c r="M691" s="273"/>
      <c r="N691" s="273"/>
      <c r="O691" s="273"/>
      <c r="P691" s="275"/>
      <c r="Q691" s="273"/>
      <c r="R691" s="273"/>
      <c r="S691" s="273"/>
      <c r="T691" s="273"/>
      <c r="U691" s="273"/>
      <c r="V691" s="273"/>
      <c r="W691" s="273"/>
      <c r="X691" s="273"/>
      <c r="Y691" s="273"/>
      <c r="Z691" s="273"/>
      <c r="AA691" s="273"/>
      <c r="AB691" s="273"/>
      <c r="AC691" s="273"/>
    </row>
    <row r="692" ht="75.0" customHeight="1">
      <c r="A692" s="273"/>
      <c r="B692" s="273"/>
      <c r="C692" s="273"/>
      <c r="D692" s="273"/>
      <c r="E692" s="273"/>
      <c r="F692" s="275"/>
      <c r="G692" s="273"/>
      <c r="H692" s="273"/>
      <c r="I692" s="275"/>
      <c r="J692" s="273"/>
      <c r="K692" s="273"/>
      <c r="L692" s="273"/>
      <c r="M692" s="273"/>
      <c r="N692" s="273"/>
      <c r="O692" s="273"/>
      <c r="P692" s="275"/>
      <c r="Q692" s="273"/>
      <c r="R692" s="273"/>
      <c r="S692" s="273"/>
      <c r="T692" s="273"/>
      <c r="U692" s="273"/>
      <c r="V692" s="273"/>
      <c r="W692" s="273"/>
      <c r="X692" s="273"/>
      <c r="Y692" s="273"/>
      <c r="Z692" s="273"/>
      <c r="AA692" s="273"/>
      <c r="AB692" s="273"/>
      <c r="AC692" s="273"/>
    </row>
    <row r="693" ht="75.0" customHeight="1">
      <c r="A693" s="273"/>
      <c r="B693" s="273"/>
      <c r="C693" s="273"/>
      <c r="D693" s="273"/>
      <c r="E693" s="273"/>
      <c r="F693" s="275"/>
      <c r="G693" s="273"/>
      <c r="H693" s="273"/>
      <c r="I693" s="275"/>
      <c r="J693" s="273"/>
      <c r="K693" s="273"/>
      <c r="L693" s="273"/>
      <c r="M693" s="273"/>
      <c r="N693" s="273"/>
      <c r="O693" s="273"/>
      <c r="P693" s="275"/>
      <c r="Q693" s="273"/>
      <c r="R693" s="273"/>
      <c r="S693" s="273"/>
      <c r="T693" s="273"/>
      <c r="U693" s="273"/>
      <c r="V693" s="273"/>
      <c r="W693" s="273"/>
      <c r="X693" s="273"/>
      <c r="Y693" s="273"/>
      <c r="Z693" s="273"/>
      <c r="AA693" s="273"/>
      <c r="AB693" s="273"/>
      <c r="AC693" s="273"/>
    </row>
    <row r="694" ht="75.0" customHeight="1">
      <c r="A694" s="273"/>
      <c r="B694" s="273"/>
      <c r="C694" s="273"/>
      <c r="D694" s="273"/>
      <c r="E694" s="273"/>
      <c r="F694" s="275"/>
      <c r="G694" s="273"/>
      <c r="H694" s="273"/>
      <c r="I694" s="275"/>
      <c r="J694" s="273"/>
      <c r="K694" s="273"/>
      <c r="L694" s="273"/>
      <c r="M694" s="273"/>
      <c r="N694" s="273"/>
      <c r="O694" s="273"/>
      <c r="P694" s="275"/>
      <c r="Q694" s="273"/>
      <c r="R694" s="273"/>
      <c r="S694" s="273"/>
      <c r="T694" s="273"/>
      <c r="U694" s="273"/>
      <c r="V694" s="273"/>
      <c r="W694" s="273"/>
      <c r="X694" s="273"/>
      <c r="Y694" s="273"/>
      <c r="Z694" s="273"/>
      <c r="AA694" s="273"/>
      <c r="AB694" s="273"/>
      <c r="AC694" s="273"/>
    </row>
    <row r="695" ht="75.0" customHeight="1">
      <c r="A695" s="273"/>
      <c r="B695" s="273"/>
      <c r="C695" s="273"/>
      <c r="D695" s="273"/>
      <c r="E695" s="273"/>
      <c r="F695" s="275"/>
      <c r="G695" s="273"/>
      <c r="H695" s="273"/>
      <c r="I695" s="275"/>
      <c r="J695" s="273"/>
      <c r="K695" s="273"/>
      <c r="L695" s="273"/>
      <c r="M695" s="273"/>
      <c r="N695" s="273"/>
      <c r="O695" s="273"/>
      <c r="P695" s="275"/>
      <c r="Q695" s="273"/>
      <c r="R695" s="273"/>
      <c r="S695" s="273"/>
      <c r="T695" s="273"/>
      <c r="U695" s="273"/>
      <c r="V695" s="273"/>
      <c r="W695" s="273"/>
      <c r="X695" s="273"/>
      <c r="Y695" s="273"/>
      <c r="Z695" s="273"/>
      <c r="AA695" s="273"/>
      <c r="AB695" s="273"/>
      <c r="AC695" s="273"/>
    </row>
    <row r="696" ht="75.0" customHeight="1">
      <c r="A696" s="273"/>
      <c r="B696" s="273"/>
      <c r="C696" s="273"/>
      <c r="D696" s="273"/>
      <c r="E696" s="273"/>
      <c r="F696" s="275"/>
      <c r="G696" s="273"/>
      <c r="H696" s="273"/>
      <c r="I696" s="275"/>
      <c r="J696" s="273"/>
      <c r="K696" s="273"/>
      <c r="L696" s="273"/>
      <c r="M696" s="273"/>
      <c r="N696" s="273"/>
      <c r="O696" s="273"/>
      <c r="P696" s="275"/>
      <c r="Q696" s="273"/>
      <c r="R696" s="273"/>
      <c r="S696" s="273"/>
      <c r="T696" s="273"/>
      <c r="U696" s="273"/>
      <c r="V696" s="273"/>
      <c r="W696" s="273"/>
      <c r="X696" s="273"/>
      <c r="Y696" s="273"/>
      <c r="Z696" s="273"/>
      <c r="AA696" s="273"/>
      <c r="AB696" s="273"/>
      <c r="AC696" s="273"/>
    </row>
    <row r="697" ht="75.0" customHeight="1">
      <c r="A697" s="273"/>
      <c r="B697" s="273"/>
      <c r="C697" s="273"/>
      <c r="D697" s="273"/>
      <c r="E697" s="273"/>
      <c r="F697" s="275"/>
      <c r="G697" s="273"/>
      <c r="H697" s="273"/>
      <c r="I697" s="275"/>
      <c r="J697" s="273"/>
      <c r="K697" s="273"/>
      <c r="L697" s="273"/>
      <c r="M697" s="273"/>
      <c r="N697" s="273"/>
      <c r="O697" s="273"/>
      <c r="P697" s="275"/>
      <c r="Q697" s="273"/>
      <c r="R697" s="273"/>
      <c r="S697" s="273"/>
      <c r="T697" s="273"/>
      <c r="U697" s="273"/>
      <c r="V697" s="273"/>
      <c r="W697" s="273"/>
      <c r="X697" s="273"/>
      <c r="Y697" s="273"/>
      <c r="Z697" s="273"/>
      <c r="AA697" s="273"/>
      <c r="AB697" s="273"/>
      <c r="AC697" s="273"/>
    </row>
    <row r="698" ht="75.0" customHeight="1">
      <c r="A698" s="273"/>
      <c r="B698" s="273"/>
      <c r="C698" s="273"/>
      <c r="D698" s="273"/>
      <c r="E698" s="273"/>
      <c r="F698" s="275"/>
      <c r="G698" s="273"/>
      <c r="H698" s="273"/>
      <c r="I698" s="275"/>
      <c r="J698" s="273"/>
      <c r="K698" s="273"/>
      <c r="L698" s="273"/>
      <c r="M698" s="273"/>
      <c r="N698" s="273"/>
      <c r="O698" s="273"/>
      <c r="P698" s="275"/>
      <c r="Q698" s="273"/>
      <c r="R698" s="273"/>
      <c r="S698" s="273"/>
      <c r="T698" s="273"/>
      <c r="U698" s="273"/>
      <c r="V698" s="273"/>
      <c r="W698" s="273"/>
      <c r="X698" s="273"/>
      <c r="Y698" s="273"/>
      <c r="Z698" s="273"/>
      <c r="AA698" s="273"/>
      <c r="AB698" s="273"/>
      <c r="AC698" s="273"/>
    </row>
    <row r="699" ht="75.0" customHeight="1">
      <c r="A699" s="273"/>
      <c r="B699" s="273"/>
      <c r="C699" s="273"/>
      <c r="D699" s="273"/>
      <c r="E699" s="273"/>
      <c r="F699" s="275"/>
      <c r="G699" s="273"/>
      <c r="H699" s="273"/>
      <c r="I699" s="275"/>
      <c r="J699" s="273"/>
      <c r="K699" s="273"/>
      <c r="L699" s="273"/>
      <c r="M699" s="273"/>
      <c r="N699" s="273"/>
      <c r="O699" s="273"/>
      <c r="P699" s="275"/>
      <c r="Q699" s="273"/>
      <c r="R699" s="273"/>
      <c r="S699" s="273"/>
      <c r="T699" s="273"/>
      <c r="U699" s="273"/>
      <c r="V699" s="273"/>
      <c r="W699" s="273"/>
      <c r="X699" s="273"/>
      <c r="Y699" s="273"/>
      <c r="Z699" s="273"/>
      <c r="AA699" s="273"/>
      <c r="AB699" s="273"/>
      <c r="AC699" s="273"/>
    </row>
    <row r="700" ht="75.0" customHeight="1">
      <c r="A700" s="273"/>
      <c r="B700" s="273"/>
      <c r="C700" s="273"/>
      <c r="D700" s="273"/>
      <c r="E700" s="273"/>
      <c r="F700" s="275"/>
      <c r="G700" s="273"/>
      <c r="H700" s="273"/>
      <c r="I700" s="275"/>
      <c r="J700" s="273"/>
      <c r="K700" s="273"/>
      <c r="L700" s="273"/>
      <c r="M700" s="273"/>
      <c r="N700" s="273"/>
      <c r="O700" s="273"/>
      <c r="P700" s="275"/>
      <c r="Q700" s="273"/>
      <c r="R700" s="273"/>
      <c r="S700" s="273"/>
      <c r="T700" s="273"/>
      <c r="U700" s="273"/>
      <c r="V700" s="273"/>
      <c r="W700" s="273"/>
      <c r="X700" s="273"/>
      <c r="Y700" s="273"/>
      <c r="Z700" s="273"/>
      <c r="AA700" s="273"/>
      <c r="AB700" s="273"/>
      <c r="AC700" s="273"/>
    </row>
    <row r="701" ht="75.0" customHeight="1">
      <c r="A701" s="273"/>
      <c r="B701" s="273"/>
      <c r="C701" s="273"/>
      <c r="D701" s="273"/>
      <c r="E701" s="273"/>
      <c r="F701" s="275"/>
      <c r="G701" s="273"/>
      <c r="H701" s="273"/>
      <c r="I701" s="275"/>
      <c r="J701" s="273"/>
      <c r="K701" s="273"/>
      <c r="L701" s="273"/>
      <c r="M701" s="273"/>
      <c r="N701" s="273"/>
      <c r="O701" s="273"/>
      <c r="P701" s="275"/>
      <c r="Q701" s="273"/>
      <c r="R701" s="273"/>
      <c r="S701" s="273"/>
      <c r="T701" s="273"/>
      <c r="U701" s="273"/>
      <c r="V701" s="273"/>
      <c r="W701" s="273"/>
      <c r="X701" s="273"/>
      <c r="Y701" s="273"/>
      <c r="Z701" s="273"/>
      <c r="AA701" s="273"/>
      <c r="AB701" s="273"/>
      <c r="AC701" s="273"/>
    </row>
    <row r="702" ht="75.0" customHeight="1">
      <c r="A702" s="273"/>
      <c r="B702" s="273"/>
      <c r="C702" s="273"/>
      <c r="D702" s="273"/>
      <c r="E702" s="273"/>
      <c r="F702" s="275"/>
      <c r="G702" s="273"/>
      <c r="H702" s="273"/>
      <c r="I702" s="275"/>
      <c r="J702" s="273"/>
      <c r="K702" s="273"/>
      <c r="L702" s="273"/>
      <c r="M702" s="273"/>
      <c r="N702" s="273"/>
      <c r="O702" s="273"/>
      <c r="P702" s="275"/>
      <c r="Q702" s="273"/>
      <c r="R702" s="273"/>
      <c r="S702" s="273"/>
      <c r="T702" s="273"/>
      <c r="U702" s="273"/>
      <c r="V702" s="273"/>
      <c r="W702" s="273"/>
      <c r="X702" s="273"/>
      <c r="Y702" s="273"/>
      <c r="Z702" s="273"/>
      <c r="AA702" s="273"/>
      <c r="AB702" s="273"/>
      <c r="AC702" s="273"/>
    </row>
    <row r="703" ht="75.0" customHeight="1">
      <c r="A703" s="273"/>
      <c r="B703" s="273"/>
      <c r="C703" s="273"/>
      <c r="D703" s="273"/>
      <c r="E703" s="273"/>
      <c r="F703" s="275"/>
      <c r="G703" s="273"/>
      <c r="H703" s="273"/>
      <c r="I703" s="275"/>
      <c r="J703" s="273"/>
      <c r="K703" s="273"/>
      <c r="L703" s="273"/>
      <c r="M703" s="273"/>
      <c r="N703" s="273"/>
      <c r="O703" s="273"/>
      <c r="P703" s="275"/>
      <c r="Q703" s="273"/>
      <c r="R703" s="273"/>
      <c r="S703" s="273"/>
      <c r="T703" s="273"/>
      <c r="U703" s="273"/>
      <c r="V703" s="273"/>
      <c r="W703" s="273"/>
      <c r="X703" s="273"/>
      <c r="Y703" s="273"/>
      <c r="Z703" s="273"/>
      <c r="AA703" s="273"/>
      <c r="AB703" s="273"/>
      <c r="AC703" s="273"/>
    </row>
    <row r="704" ht="75.0" customHeight="1">
      <c r="A704" s="273"/>
      <c r="B704" s="273"/>
      <c r="C704" s="273"/>
      <c r="D704" s="273"/>
      <c r="E704" s="273"/>
      <c r="F704" s="275"/>
      <c r="G704" s="273"/>
      <c r="H704" s="273"/>
      <c r="I704" s="275"/>
      <c r="J704" s="273"/>
      <c r="K704" s="273"/>
      <c r="L704" s="273"/>
      <c r="M704" s="273"/>
      <c r="N704" s="273"/>
      <c r="O704" s="273"/>
      <c r="P704" s="275"/>
      <c r="Q704" s="273"/>
      <c r="R704" s="273"/>
      <c r="S704" s="273"/>
      <c r="T704" s="273"/>
      <c r="U704" s="273"/>
      <c r="V704" s="273"/>
      <c r="W704" s="273"/>
      <c r="X704" s="273"/>
      <c r="Y704" s="273"/>
      <c r="Z704" s="273"/>
      <c r="AA704" s="273"/>
      <c r="AB704" s="273"/>
      <c r="AC704" s="273"/>
    </row>
    <row r="705" ht="75.0" customHeight="1">
      <c r="A705" s="273"/>
      <c r="B705" s="273"/>
      <c r="C705" s="273"/>
      <c r="D705" s="273"/>
      <c r="E705" s="273"/>
      <c r="F705" s="275"/>
      <c r="G705" s="273"/>
      <c r="H705" s="273"/>
      <c r="I705" s="275"/>
      <c r="J705" s="273"/>
      <c r="K705" s="273"/>
      <c r="L705" s="273"/>
      <c r="M705" s="273"/>
      <c r="N705" s="273"/>
      <c r="O705" s="273"/>
      <c r="P705" s="275"/>
      <c r="Q705" s="273"/>
      <c r="R705" s="273"/>
      <c r="S705" s="273"/>
      <c r="T705" s="273"/>
      <c r="U705" s="273"/>
      <c r="V705" s="273"/>
      <c r="W705" s="273"/>
      <c r="X705" s="273"/>
      <c r="Y705" s="273"/>
      <c r="Z705" s="273"/>
      <c r="AA705" s="273"/>
      <c r="AB705" s="273"/>
      <c r="AC705" s="273"/>
    </row>
    <row r="706" ht="75.0" customHeight="1">
      <c r="A706" s="273"/>
      <c r="B706" s="273"/>
      <c r="C706" s="273"/>
      <c r="D706" s="273"/>
      <c r="E706" s="273"/>
      <c r="F706" s="275"/>
      <c r="G706" s="273"/>
      <c r="H706" s="273"/>
      <c r="I706" s="275"/>
      <c r="J706" s="273"/>
      <c r="K706" s="273"/>
      <c r="L706" s="273"/>
      <c r="M706" s="273"/>
      <c r="N706" s="273"/>
      <c r="O706" s="273"/>
      <c r="P706" s="275"/>
      <c r="Q706" s="273"/>
      <c r="R706" s="273"/>
      <c r="S706" s="273"/>
      <c r="T706" s="273"/>
      <c r="U706" s="273"/>
      <c r="V706" s="273"/>
      <c r="W706" s="273"/>
      <c r="X706" s="273"/>
      <c r="Y706" s="273"/>
      <c r="Z706" s="273"/>
      <c r="AA706" s="273"/>
      <c r="AB706" s="273"/>
      <c r="AC706" s="273"/>
    </row>
    <row r="707" ht="75.0" customHeight="1">
      <c r="A707" s="273"/>
      <c r="B707" s="273"/>
      <c r="C707" s="273"/>
      <c r="D707" s="273"/>
      <c r="E707" s="273"/>
      <c r="F707" s="275"/>
      <c r="G707" s="273"/>
      <c r="H707" s="273"/>
      <c r="I707" s="275"/>
      <c r="J707" s="273"/>
      <c r="K707" s="273"/>
      <c r="L707" s="273"/>
      <c r="M707" s="273"/>
      <c r="N707" s="273"/>
      <c r="O707" s="273"/>
      <c r="P707" s="275"/>
      <c r="Q707" s="273"/>
      <c r="R707" s="273"/>
      <c r="S707" s="273"/>
      <c r="T707" s="273"/>
      <c r="U707" s="273"/>
      <c r="V707" s="273"/>
      <c r="W707" s="273"/>
      <c r="X707" s="273"/>
      <c r="Y707" s="273"/>
      <c r="Z707" s="273"/>
      <c r="AA707" s="273"/>
      <c r="AB707" s="273"/>
      <c r="AC707" s="273"/>
    </row>
    <row r="708" ht="75.0" customHeight="1">
      <c r="A708" s="273"/>
      <c r="B708" s="273"/>
      <c r="C708" s="273"/>
      <c r="D708" s="273"/>
      <c r="E708" s="273"/>
      <c r="F708" s="275"/>
      <c r="G708" s="273"/>
      <c r="H708" s="273"/>
      <c r="I708" s="275"/>
      <c r="J708" s="273"/>
      <c r="K708" s="273"/>
      <c r="L708" s="273"/>
      <c r="M708" s="273"/>
      <c r="N708" s="273"/>
      <c r="O708" s="273"/>
      <c r="P708" s="275"/>
      <c r="Q708" s="273"/>
      <c r="R708" s="273"/>
      <c r="S708" s="273"/>
      <c r="T708" s="273"/>
      <c r="U708" s="273"/>
      <c r="V708" s="273"/>
      <c r="W708" s="273"/>
      <c r="X708" s="273"/>
      <c r="Y708" s="273"/>
      <c r="Z708" s="273"/>
      <c r="AA708" s="273"/>
      <c r="AB708" s="273"/>
      <c r="AC708" s="273"/>
    </row>
    <row r="709" ht="75.0" customHeight="1">
      <c r="A709" s="273"/>
      <c r="B709" s="273"/>
      <c r="C709" s="273"/>
      <c r="D709" s="273"/>
      <c r="E709" s="273"/>
      <c r="F709" s="275"/>
      <c r="G709" s="273"/>
      <c r="H709" s="273"/>
      <c r="I709" s="275"/>
      <c r="J709" s="273"/>
      <c r="K709" s="273"/>
      <c r="L709" s="273"/>
      <c r="M709" s="273"/>
      <c r="N709" s="273"/>
      <c r="O709" s="273"/>
      <c r="P709" s="275"/>
      <c r="Q709" s="273"/>
      <c r="R709" s="273"/>
      <c r="S709" s="273"/>
      <c r="T709" s="273"/>
      <c r="U709" s="273"/>
      <c r="V709" s="273"/>
      <c r="W709" s="273"/>
      <c r="X709" s="273"/>
      <c r="Y709" s="273"/>
      <c r="Z709" s="273"/>
      <c r="AA709" s="273"/>
      <c r="AB709" s="273"/>
      <c r="AC709" s="273"/>
    </row>
    <row r="710" ht="75.0" customHeight="1">
      <c r="A710" s="273"/>
      <c r="B710" s="273"/>
      <c r="C710" s="273"/>
      <c r="D710" s="273"/>
      <c r="E710" s="273"/>
      <c r="F710" s="275"/>
      <c r="G710" s="273"/>
      <c r="H710" s="273"/>
      <c r="I710" s="275"/>
      <c r="J710" s="273"/>
      <c r="K710" s="273"/>
      <c r="L710" s="273"/>
      <c r="M710" s="273"/>
      <c r="N710" s="273"/>
      <c r="O710" s="273"/>
      <c r="P710" s="275"/>
      <c r="Q710" s="273"/>
      <c r="R710" s="273"/>
      <c r="S710" s="273"/>
      <c r="T710" s="273"/>
      <c r="U710" s="273"/>
      <c r="V710" s="273"/>
      <c r="W710" s="273"/>
      <c r="X710" s="273"/>
      <c r="Y710" s="273"/>
      <c r="Z710" s="273"/>
      <c r="AA710" s="273"/>
      <c r="AB710" s="273"/>
      <c r="AC710" s="273"/>
    </row>
    <row r="711" ht="75.0" customHeight="1">
      <c r="A711" s="273"/>
      <c r="B711" s="273"/>
      <c r="C711" s="273"/>
      <c r="D711" s="273"/>
      <c r="E711" s="273"/>
      <c r="F711" s="275"/>
      <c r="G711" s="273"/>
      <c r="H711" s="273"/>
      <c r="I711" s="275"/>
      <c r="J711" s="273"/>
      <c r="K711" s="273"/>
      <c r="L711" s="273"/>
      <c r="M711" s="273"/>
      <c r="N711" s="273"/>
      <c r="O711" s="273"/>
      <c r="P711" s="275"/>
      <c r="Q711" s="273"/>
      <c r="R711" s="273"/>
      <c r="S711" s="273"/>
      <c r="T711" s="273"/>
      <c r="U711" s="273"/>
      <c r="V711" s="273"/>
      <c r="W711" s="273"/>
      <c r="X711" s="273"/>
      <c r="Y711" s="273"/>
      <c r="Z711" s="273"/>
      <c r="AA711" s="273"/>
      <c r="AB711" s="273"/>
      <c r="AC711" s="273"/>
    </row>
    <row r="712" ht="75.0" customHeight="1">
      <c r="A712" s="273"/>
      <c r="B712" s="273"/>
      <c r="C712" s="273"/>
      <c r="D712" s="273"/>
      <c r="E712" s="273"/>
      <c r="F712" s="275"/>
      <c r="G712" s="273"/>
      <c r="H712" s="273"/>
      <c r="I712" s="275"/>
      <c r="J712" s="273"/>
      <c r="K712" s="273"/>
      <c r="L712" s="273"/>
      <c r="M712" s="273"/>
      <c r="N712" s="273"/>
      <c r="O712" s="273"/>
      <c r="P712" s="275"/>
      <c r="Q712" s="273"/>
      <c r="R712" s="273"/>
      <c r="S712" s="273"/>
      <c r="T712" s="273"/>
      <c r="U712" s="273"/>
      <c r="V712" s="273"/>
      <c r="W712" s="273"/>
      <c r="X712" s="273"/>
      <c r="Y712" s="273"/>
      <c r="Z712" s="273"/>
      <c r="AA712" s="273"/>
      <c r="AB712" s="273"/>
      <c r="AC712" s="273"/>
    </row>
    <row r="713" ht="75.0" customHeight="1">
      <c r="A713" s="273"/>
      <c r="B713" s="273"/>
      <c r="C713" s="273"/>
      <c r="D713" s="273"/>
      <c r="E713" s="273"/>
      <c r="F713" s="275"/>
      <c r="G713" s="273"/>
      <c r="H713" s="273"/>
      <c r="I713" s="275"/>
      <c r="J713" s="273"/>
      <c r="K713" s="273"/>
      <c r="L713" s="273"/>
      <c r="M713" s="273"/>
      <c r="N713" s="273"/>
      <c r="O713" s="273"/>
      <c r="P713" s="275"/>
      <c r="Q713" s="273"/>
      <c r="R713" s="273"/>
      <c r="S713" s="273"/>
      <c r="T713" s="273"/>
      <c r="U713" s="273"/>
      <c r="V713" s="273"/>
      <c r="W713" s="273"/>
      <c r="X713" s="273"/>
      <c r="Y713" s="273"/>
      <c r="Z713" s="273"/>
      <c r="AA713" s="273"/>
      <c r="AB713" s="273"/>
      <c r="AC713" s="273"/>
    </row>
    <row r="714" ht="75.0" customHeight="1">
      <c r="A714" s="273"/>
      <c r="B714" s="273"/>
      <c r="C714" s="273"/>
      <c r="D714" s="273"/>
      <c r="E714" s="273"/>
      <c r="F714" s="275"/>
      <c r="G714" s="273"/>
      <c r="H714" s="273"/>
      <c r="I714" s="275"/>
      <c r="J714" s="273"/>
      <c r="K714" s="273"/>
      <c r="L714" s="273"/>
      <c r="M714" s="273"/>
      <c r="N714" s="273"/>
      <c r="O714" s="273"/>
      <c r="P714" s="275"/>
      <c r="Q714" s="273"/>
      <c r="R714" s="273"/>
      <c r="S714" s="273"/>
      <c r="T714" s="273"/>
      <c r="U714" s="273"/>
      <c r="V714" s="273"/>
      <c r="W714" s="273"/>
      <c r="X714" s="273"/>
      <c r="Y714" s="273"/>
      <c r="Z714" s="273"/>
      <c r="AA714" s="273"/>
      <c r="AB714" s="273"/>
      <c r="AC714" s="273"/>
    </row>
    <row r="715" ht="75.0" customHeight="1">
      <c r="A715" s="273"/>
      <c r="B715" s="273"/>
      <c r="C715" s="273"/>
      <c r="D715" s="273"/>
      <c r="E715" s="273"/>
      <c r="F715" s="275"/>
      <c r="G715" s="273"/>
      <c r="H715" s="273"/>
      <c r="I715" s="275"/>
      <c r="J715" s="273"/>
      <c r="K715" s="273"/>
      <c r="L715" s="273"/>
      <c r="M715" s="273"/>
      <c r="N715" s="273"/>
      <c r="O715" s="273"/>
      <c r="P715" s="275"/>
      <c r="Q715" s="273"/>
      <c r="R715" s="273"/>
      <c r="S715" s="273"/>
      <c r="T715" s="273"/>
      <c r="U715" s="273"/>
      <c r="V715" s="273"/>
      <c r="W715" s="273"/>
      <c r="X715" s="273"/>
      <c r="Y715" s="273"/>
      <c r="Z715" s="273"/>
      <c r="AA715" s="273"/>
      <c r="AB715" s="273"/>
      <c r="AC715" s="273"/>
    </row>
    <row r="716" ht="75.0" customHeight="1">
      <c r="A716" s="273"/>
      <c r="B716" s="273"/>
      <c r="C716" s="273"/>
      <c r="D716" s="273"/>
      <c r="E716" s="273"/>
      <c r="F716" s="275"/>
      <c r="G716" s="273"/>
      <c r="H716" s="273"/>
      <c r="I716" s="275"/>
      <c r="J716" s="273"/>
      <c r="K716" s="273"/>
      <c r="L716" s="273"/>
      <c r="M716" s="273"/>
      <c r="N716" s="273"/>
      <c r="O716" s="273"/>
      <c r="P716" s="275"/>
      <c r="Q716" s="273"/>
      <c r="R716" s="273"/>
      <c r="S716" s="273"/>
      <c r="T716" s="273"/>
      <c r="U716" s="273"/>
      <c r="V716" s="273"/>
      <c r="W716" s="273"/>
      <c r="X716" s="273"/>
      <c r="Y716" s="273"/>
      <c r="Z716" s="273"/>
      <c r="AA716" s="273"/>
      <c r="AB716" s="273"/>
      <c r="AC716" s="273"/>
    </row>
    <row r="717" ht="75.0" customHeight="1">
      <c r="A717" s="273"/>
      <c r="B717" s="273"/>
      <c r="C717" s="273"/>
      <c r="D717" s="273"/>
      <c r="E717" s="273"/>
      <c r="F717" s="275"/>
      <c r="G717" s="273"/>
      <c r="H717" s="273"/>
      <c r="I717" s="275"/>
      <c r="J717" s="273"/>
      <c r="K717" s="273"/>
      <c r="L717" s="273"/>
      <c r="M717" s="273"/>
      <c r="N717" s="273"/>
      <c r="O717" s="273"/>
      <c r="P717" s="275"/>
      <c r="Q717" s="273"/>
      <c r="R717" s="273"/>
      <c r="S717" s="273"/>
      <c r="T717" s="273"/>
      <c r="U717" s="273"/>
      <c r="V717" s="273"/>
      <c r="W717" s="273"/>
      <c r="X717" s="273"/>
      <c r="Y717" s="273"/>
      <c r="Z717" s="273"/>
      <c r="AA717" s="273"/>
      <c r="AB717" s="273"/>
      <c r="AC717" s="273"/>
    </row>
    <row r="718" ht="75.0" customHeight="1">
      <c r="A718" s="273"/>
      <c r="B718" s="273"/>
      <c r="C718" s="273"/>
      <c r="D718" s="273"/>
      <c r="E718" s="273"/>
      <c r="F718" s="275"/>
      <c r="G718" s="273"/>
      <c r="H718" s="273"/>
      <c r="I718" s="275"/>
      <c r="J718" s="273"/>
      <c r="K718" s="273"/>
      <c r="L718" s="273"/>
      <c r="M718" s="273"/>
      <c r="N718" s="273"/>
      <c r="O718" s="273"/>
      <c r="P718" s="275"/>
      <c r="Q718" s="273"/>
      <c r="R718" s="273"/>
      <c r="S718" s="273"/>
      <c r="T718" s="273"/>
      <c r="U718" s="273"/>
      <c r="V718" s="273"/>
      <c r="W718" s="273"/>
      <c r="X718" s="273"/>
      <c r="Y718" s="273"/>
      <c r="Z718" s="273"/>
      <c r="AA718" s="273"/>
      <c r="AB718" s="273"/>
      <c r="AC718" s="273"/>
    </row>
    <row r="719" ht="75.0" customHeight="1">
      <c r="A719" s="273"/>
      <c r="B719" s="273"/>
      <c r="C719" s="273"/>
      <c r="D719" s="273"/>
      <c r="E719" s="273"/>
      <c r="F719" s="275"/>
      <c r="G719" s="273"/>
      <c r="H719" s="273"/>
      <c r="I719" s="275"/>
      <c r="J719" s="273"/>
      <c r="K719" s="273"/>
      <c r="L719" s="273"/>
      <c r="M719" s="273"/>
      <c r="N719" s="273"/>
      <c r="O719" s="273"/>
      <c r="P719" s="275"/>
      <c r="Q719" s="273"/>
      <c r="R719" s="273"/>
      <c r="S719" s="273"/>
      <c r="T719" s="273"/>
      <c r="U719" s="273"/>
      <c r="V719" s="273"/>
      <c r="W719" s="273"/>
      <c r="X719" s="273"/>
      <c r="Y719" s="273"/>
      <c r="Z719" s="273"/>
      <c r="AA719" s="273"/>
      <c r="AB719" s="273"/>
      <c r="AC719" s="273"/>
    </row>
    <row r="720" ht="75.0" customHeight="1">
      <c r="A720" s="273"/>
      <c r="B720" s="273"/>
      <c r="C720" s="273"/>
      <c r="D720" s="273"/>
      <c r="E720" s="273"/>
      <c r="F720" s="275"/>
      <c r="G720" s="273"/>
      <c r="H720" s="273"/>
      <c r="I720" s="275"/>
      <c r="J720" s="273"/>
      <c r="K720" s="273"/>
      <c r="L720" s="273"/>
      <c r="M720" s="273"/>
      <c r="N720" s="273"/>
      <c r="O720" s="273"/>
      <c r="P720" s="275"/>
      <c r="Q720" s="273"/>
      <c r="R720" s="273"/>
      <c r="S720" s="273"/>
      <c r="T720" s="273"/>
      <c r="U720" s="273"/>
      <c r="V720" s="273"/>
      <c r="W720" s="273"/>
      <c r="X720" s="273"/>
      <c r="Y720" s="273"/>
      <c r="Z720" s="273"/>
      <c r="AA720" s="273"/>
      <c r="AB720" s="273"/>
      <c r="AC720" s="273"/>
    </row>
    <row r="721" ht="75.0" customHeight="1">
      <c r="A721" s="273"/>
      <c r="B721" s="273"/>
      <c r="C721" s="273"/>
      <c r="D721" s="273"/>
      <c r="E721" s="273"/>
      <c r="F721" s="275"/>
      <c r="G721" s="273"/>
      <c r="H721" s="273"/>
      <c r="I721" s="275"/>
      <c r="J721" s="273"/>
      <c r="K721" s="273"/>
      <c r="L721" s="273"/>
      <c r="M721" s="273"/>
      <c r="N721" s="273"/>
      <c r="O721" s="273"/>
      <c r="P721" s="275"/>
      <c r="Q721" s="273"/>
      <c r="R721" s="273"/>
      <c r="S721" s="273"/>
      <c r="T721" s="273"/>
      <c r="U721" s="273"/>
      <c r="V721" s="273"/>
      <c r="W721" s="273"/>
      <c r="X721" s="273"/>
      <c r="Y721" s="273"/>
      <c r="Z721" s="273"/>
      <c r="AA721" s="273"/>
      <c r="AB721" s="273"/>
      <c r="AC721" s="273"/>
    </row>
    <row r="722" ht="75.0" customHeight="1">
      <c r="A722" s="273"/>
      <c r="B722" s="273"/>
      <c r="C722" s="273"/>
      <c r="D722" s="273"/>
      <c r="E722" s="273"/>
      <c r="F722" s="275"/>
      <c r="G722" s="273"/>
      <c r="H722" s="273"/>
      <c r="I722" s="275"/>
      <c r="J722" s="273"/>
      <c r="K722" s="273"/>
      <c r="L722" s="273"/>
      <c r="M722" s="273"/>
      <c r="N722" s="273"/>
      <c r="O722" s="273"/>
      <c r="P722" s="275"/>
      <c r="Q722" s="273"/>
      <c r="R722" s="273"/>
      <c r="S722" s="273"/>
      <c r="T722" s="273"/>
      <c r="U722" s="273"/>
      <c r="V722" s="273"/>
      <c r="W722" s="273"/>
      <c r="X722" s="273"/>
      <c r="Y722" s="273"/>
      <c r="Z722" s="273"/>
      <c r="AA722" s="273"/>
      <c r="AB722" s="273"/>
      <c r="AC722" s="273"/>
    </row>
    <row r="723" ht="75.0" customHeight="1">
      <c r="A723" s="273"/>
      <c r="B723" s="273"/>
      <c r="C723" s="273"/>
      <c r="D723" s="273"/>
      <c r="E723" s="273"/>
      <c r="F723" s="275"/>
      <c r="G723" s="273"/>
      <c r="H723" s="273"/>
      <c r="I723" s="275"/>
      <c r="J723" s="273"/>
      <c r="K723" s="273"/>
      <c r="L723" s="273"/>
      <c r="M723" s="273"/>
      <c r="N723" s="273"/>
      <c r="O723" s="273"/>
      <c r="P723" s="275"/>
      <c r="Q723" s="273"/>
      <c r="R723" s="273"/>
      <c r="S723" s="273"/>
      <c r="T723" s="273"/>
      <c r="U723" s="273"/>
      <c r="V723" s="273"/>
      <c r="W723" s="273"/>
      <c r="X723" s="273"/>
      <c r="Y723" s="273"/>
      <c r="Z723" s="273"/>
      <c r="AA723" s="273"/>
      <c r="AB723" s="273"/>
      <c r="AC723" s="273"/>
    </row>
    <row r="724" ht="75.0" customHeight="1">
      <c r="A724" s="273"/>
      <c r="B724" s="273"/>
      <c r="C724" s="273"/>
      <c r="D724" s="273"/>
      <c r="E724" s="273"/>
      <c r="F724" s="275"/>
      <c r="G724" s="273"/>
      <c r="H724" s="273"/>
      <c r="I724" s="275"/>
      <c r="J724" s="273"/>
      <c r="K724" s="273"/>
      <c r="L724" s="273"/>
      <c r="M724" s="273"/>
      <c r="N724" s="273"/>
      <c r="O724" s="273"/>
      <c r="P724" s="275"/>
      <c r="Q724" s="273"/>
      <c r="R724" s="273"/>
      <c r="S724" s="273"/>
      <c r="T724" s="273"/>
      <c r="U724" s="273"/>
      <c r="V724" s="273"/>
      <c r="W724" s="273"/>
      <c r="X724" s="273"/>
      <c r="Y724" s="273"/>
      <c r="Z724" s="273"/>
      <c r="AA724" s="273"/>
      <c r="AB724" s="273"/>
      <c r="AC724" s="273"/>
    </row>
    <row r="725" ht="75.0" customHeight="1">
      <c r="A725" s="273"/>
      <c r="B725" s="273"/>
      <c r="C725" s="273"/>
      <c r="D725" s="273"/>
      <c r="E725" s="273"/>
      <c r="F725" s="275"/>
      <c r="G725" s="273"/>
      <c r="H725" s="273"/>
      <c r="I725" s="275"/>
      <c r="J725" s="273"/>
      <c r="K725" s="273"/>
      <c r="L725" s="273"/>
      <c r="M725" s="273"/>
      <c r="N725" s="273"/>
      <c r="O725" s="273"/>
      <c r="P725" s="275"/>
      <c r="Q725" s="273"/>
      <c r="R725" s="273"/>
      <c r="S725" s="273"/>
      <c r="T725" s="273"/>
      <c r="U725" s="273"/>
      <c r="V725" s="273"/>
      <c r="W725" s="273"/>
      <c r="X725" s="273"/>
      <c r="Y725" s="273"/>
      <c r="Z725" s="273"/>
      <c r="AA725" s="273"/>
      <c r="AB725" s="273"/>
      <c r="AC725" s="273"/>
    </row>
    <row r="726" ht="75.0" customHeight="1">
      <c r="A726" s="273"/>
      <c r="B726" s="273"/>
      <c r="C726" s="273"/>
      <c r="D726" s="273"/>
      <c r="E726" s="273"/>
      <c r="F726" s="275"/>
      <c r="G726" s="273"/>
      <c r="H726" s="273"/>
      <c r="I726" s="275"/>
      <c r="J726" s="273"/>
      <c r="K726" s="273"/>
      <c r="L726" s="273"/>
      <c r="M726" s="273"/>
      <c r="N726" s="273"/>
      <c r="O726" s="273"/>
      <c r="P726" s="275"/>
      <c r="Q726" s="273"/>
      <c r="R726" s="273"/>
      <c r="S726" s="273"/>
      <c r="T726" s="273"/>
      <c r="U726" s="273"/>
      <c r="V726" s="273"/>
      <c r="W726" s="273"/>
      <c r="X726" s="273"/>
      <c r="Y726" s="273"/>
      <c r="Z726" s="273"/>
      <c r="AA726" s="273"/>
      <c r="AB726" s="273"/>
      <c r="AC726" s="273"/>
    </row>
    <row r="727" ht="75.0" customHeight="1">
      <c r="A727" s="273"/>
      <c r="B727" s="273"/>
      <c r="C727" s="273"/>
      <c r="D727" s="273"/>
      <c r="E727" s="273"/>
      <c r="F727" s="275"/>
      <c r="G727" s="273"/>
      <c r="H727" s="273"/>
      <c r="I727" s="275"/>
      <c r="J727" s="273"/>
      <c r="K727" s="273"/>
      <c r="L727" s="273"/>
      <c r="M727" s="273"/>
      <c r="N727" s="273"/>
      <c r="O727" s="273"/>
      <c r="P727" s="275"/>
      <c r="Q727" s="273"/>
      <c r="R727" s="273"/>
      <c r="S727" s="273"/>
      <c r="T727" s="273"/>
      <c r="U727" s="273"/>
      <c r="V727" s="273"/>
      <c r="W727" s="273"/>
      <c r="X727" s="273"/>
      <c r="Y727" s="273"/>
      <c r="Z727" s="273"/>
      <c r="AA727" s="273"/>
      <c r="AB727" s="273"/>
      <c r="AC727" s="273"/>
    </row>
    <row r="728" ht="75.0" customHeight="1">
      <c r="A728" s="273"/>
      <c r="B728" s="273"/>
      <c r="C728" s="273"/>
      <c r="D728" s="273"/>
      <c r="E728" s="273"/>
      <c r="F728" s="275"/>
      <c r="G728" s="273"/>
      <c r="H728" s="273"/>
      <c r="I728" s="275"/>
      <c r="J728" s="273"/>
      <c r="K728" s="273"/>
      <c r="L728" s="273"/>
      <c r="M728" s="273"/>
      <c r="N728" s="273"/>
      <c r="O728" s="273"/>
      <c r="P728" s="275"/>
      <c r="Q728" s="273"/>
      <c r="R728" s="273"/>
      <c r="S728" s="273"/>
      <c r="T728" s="273"/>
      <c r="U728" s="273"/>
      <c r="V728" s="273"/>
      <c r="W728" s="273"/>
      <c r="X728" s="273"/>
      <c r="Y728" s="273"/>
      <c r="Z728" s="273"/>
      <c r="AA728" s="273"/>
      <c r="AB728" s="273"/>
      <c r="AC728" s="273"/>
    </row>
    <row r="729" ht="75.0" customHeight="1">
      <c r="A729" s="273"/>
      <c r="B729" s="273"/>
      <c r="C729" s="273"/>
      <c r="D729" s="273"/>
      <c r="E729" s="273"/>
      <c r="F729" s="275"/>
      <c r="G729" s="273"/>
      <c r="H729" s="273"/>
      <c r="I729" s="275"/>
      <c r="J729" s="273"/>
      <c r="K729" s="273"/>
      <c r="L729" s="273"/>
      <c r="M729" s="273"/>
      <c r="N729" s="273"/>
      <c r="O729" s="273"/>
      <c r="P729" s="275"/>
      <c r="Q729" s="273"/>
      <c r="R729" s="273"/>
      <c r="S729" s="273"/>
      <c r="T729" s="273"/>
      <c r="U729" s="273"/>
      <c r="V729" s="273"/>
      <c r="W729" s="273"/>
      <c r="X729" s="273"/>
      <c r="Y729" s="273"/>
      <c r="Z729" s="273"/>
      <c r="AA729" s="273"/>
      <c r="AB729" s="273"/>
      <c r="AC729" s="273"/>
    </row>
    <row r="730" ht="75.0" customHeight="1">
      <c r="A730" s="273"/>
      <c r="B730" s="273"/>
      <c r="C730" s="273"/>
      <c r="D730" s="273"/>
      <c r="E730" s="273"/>
      <c r="F730" s="275"/>
      <c r="G730" s="273"/>
      <c r="H730" s="273"/>
      <c r="I730" s="275"/>
      <c r="J730" s="273"/>
      <c r="K730" s="273"/>
      <c r="L730" s="273"/>
      <c r="M730" s="273"/>
      <c r="N730" s="273"/>
      <c r="O730" s="273"/>
      <c r="P730" s="275"/>
      <c r="Q730" s="273"/>
      <c r="R730" s="273"/>
      <c r="S730" s="273"/>
      <c r="T730" s="273"/>
      <c r="U730" s="273"/>
      <c r="V730" s="273"/>
      <c r="W730" s="273"/>
      <c r="X730" s="273"/>
      <c r="Y730" s="273"/>
      <c r="Z730" s="273"/>
      <c r="AA730" s="273"/>
      <c r="AB730" s="273"/>
      <c r="AC730" s="273"/>
    </row>
    <row r="731" ht="75.0" customHeight="1">
      <c r="A731" s="273"/>
      <c r="B731" s="273"/>
      <c r="C731" s="273"/>
      <c r="D731" s="273"/>
      <c r="E731" s="273"/>
      <c r="F731" s="275"/>
      <c r="G731" s="273"/>
      <c r="H731" s="273"/>
      <c r="I731" s="275"/>
      <c r="J731" s="273"/>
      <c r="K731" s="273"/>
      <c r="L731" s="273"/>
      <c r="M731" s="273"/>
      <c r="N731" s="273"/>
      <c r="O731" s="273"/>
      <c r="P731" s="275"/>
      <c r="Q731" s="273"/>
      <c r="R731" s="273"/>
      <c r="S731" s="273"/>
      <c r="T731" s="273"/>
      <c r="U731" s="273"/>
      <c r="V731" s="273"/>
      <c r="W731" s="273"/>
      <c r="X731" s="273"/>
      <c r="Y731" s="273"/>
      <c r="Z731" s="273"/>
      <c r="AA731" s="273"/>
      <c r="AB731" s="273"/>
      <c r="AC731" s="273"/>
    </row>
    <row r="732" ht="75.0" customHeight="1">
      <c r="A732" s="273"/>
      <c r="B732" s="273"/>
      <c r="C732" s="273"/>
      <c r="D732" s="273"/>
      <c r="E732" s="273"/>
      <c r="F732" s="275"/>
      <c r="G732" s="273"/>
      <c r="H732" s="273"/>
      <c r="I732" s="275"/>
      <c r="J732" s="273"/>
      <c r="K732" s="273"/>
      <c r="L732" s="273"/>
      <c r="M732" s="273"/>
      <c r="N732" s="273"/>
      <c r="O732" s="273"/>
      <c r="P732" s="275"/>
      <c r="Q732" s="273"/>
      <c r="R732" s="273"/>
      <c r="S732" s="273"/>
      <c r="T732" s="273"/>
      <c r="U732" s="273"/>
      <c r="V732" s="273"/>
      <c r="W732" s="273"/>
      <c r="X732" s="273"/>
      <c r="Y732" s="273"/>
      <c r="Z732" s="273"/>
      <c r="AA732" s="273"/>
      <c r="AB732" s="273"/>
      <c r="AC732" s="273"/>
    </row>
    <row r="733" ht="75.0" customHeight="1">
      <c r="A733" s="273"/>
      <c r="B733" s="273"/>
      <c r="C733" s="273"/>
      <c r="D733" s="273"/>
      <c r="E733" s="273"/>
      <c r="F733" s="275"/>
      <c r="G733" s="273"/>
      <c r="H733" s="273"/>
      <c r="I733" s="275"/>
      <c r="J733" s="273"/>
      <c r="K733" s="273"/>
      <c r="L733" s="273"/>
      <c r="M733" s="273"/>
      <c r="N733" s="273"/>
      <c r="O733" s="273"/>
      <c r="P733" s="275"/>
      <c r="Q733" s="273"/>
      <c r="R733" s="273"/>
      <c r="S733" s="273"/>
      <c r="T733" s="273"/>
      <c r="U733" s="273"/>
      <c r="V733" s="273"/>
      <c r="W733" s="273"/>
      <c r="X733" s="273"/>
      <c r="Y733" s="273"/>
      <c r="Z733" s="273"/>
      <c r="AA733" s="273"/>
      <c r="AB733" s="273"/>
      <c r="AC733" s="273"/>
    </row>
    <row r="734" ht="75.0" customHeight="1">
      <c r="A734" s="273"/>
      <c r="B734" s="273"/>
      <c r="C734" s="273"/>
      <c r="D734" s="273"/>
      <c r="E734" s="273"/>
      <c r="F734" s="275"/>
      <c r="G734" s="273"/>
      <c r="H734" s="273"/>
      <c r="I734" s="275"/>
      <c r="J734" s="273"/>
      <c r="K734" s="273"/>
      <c r="L734" s="273"/>
      <c r="M734" s="273"/>
      <c r="N734" s="273"/>
      <c r="O734" s="273"/>
      <c r="P734" s="275"/>
      <c r="Q734" s="273"/>
      <c r="R734" s="273"/>
      <c r="S734" s="273"/>
      <c r="T734" s="273"/>
      <c r="U734" s="273"/>
      <c r="V734" s="273"/>
      <c r="W734" s="273"/>
      <c r="X734" s="273"/>
      <c r="Y734" s="273"/>
      <c r="Z734" s="273"/>
      <c r="AA734" s="273"/>
      <c r="AB734" s="273"/>
      <c r="AC734" s="273"/>
    </row>
    <row r="735" ht="75.0" customHeight="1">
      <c r="A735" s="273"/>
      <c r="B735" s="273"/>
      <c r="C735" s="273"/>
      <c r="D735" s="273"/>
      <c r="E735" s="273"/>
      <c r="F735" s="275"/>
      <c r="G735" s="273"/>
      <c r="H735" s="273"/>
      <c r="I735" s="275"/>
      <c r="J735" s="273"/>
      <c r="K735" s="273"/>
      <c r="L735" s="273"/>
      <c r="M735" s="273"/>
      <c r="N735" s="273"/>
      <c r="O735" s="273"/>
      <c r="P735" s="275"/>
      <c r="Q735" s="273"/>
      <c r="R735" s="273"/>
      <c r="S735" s="273"/>
      <c r="T735" s="273"/>
      <c r="U735" s="273"/>
      <c r="V735" s="273"/>
      <c r="W735" s="273"/>
      <c r="X735" s="273"/>
      <c r="Y735" s="273"/>
      <c r="Z735" s="273"/>
      <c r="AA735" s="273"/>
      <c r="AB735" s="273"/>
      <c r="AC735" s="273"/>
    </row>
    <row r="736" ht="75.0" customHeight="1">
      <c r="A736" s="273"/>
      <c r="B736" s="273"/>
      <c r="C736" s="273"/>
      <c r="D736" s="273"/>
      <c r="E736" s="273"/>
      <c r="F736" s="275"/>
      <c r="G736" s="273"/>
      <c r="H736" s="273"/>
      <c r="I736" s="275"/>
      <c r="J736" s="273"/>
      <c r="K736" s="273"/>
      <c r="L736" s="273"/>
      <c r="M736" s="273"/>
      <c r="N736" s="273"/>
      <c r="O736" s="273"/>
      <c r="P736" s="275"/>
      <c r="Q736" s="273"/>
      <c r="R736" s="273"/>
      <c r="S736" s="273"/>
      <c r="T736" s="273"/>
      <c r="U736" s="273"/>
      <c r="V736" s="273"/>
      <c r="W736" s="273"/>
      <c r="X736" s="273"/>
      <c r="Y736" s="273"/>
      <c r="Z736" s="273"/>
      <c r="AA736" s="273"/>
      <c r="AB736" s="273"/>
      <c r="AC736" s="273"/>
    </row>
    <row r="737" ht="75.0" customHeight="1">
      <c r="A737" s="273"/>
      <c r="B737" s="273"/>
      <c r="C737" s="273"/>
      <c r="D737" s="273"/>
      <c r="E737" s="273"/>
      <c r="F737" s="275"/>
      <c r="G737" s="273"/>
      <c r="H737" s="273"/>
      <c r="I737" s="275"/>
      <c r="J737" s="273"/>
      <c r="K737" s="273"/>
      <c r="L737" s="273"/>
      <c r="M737" s="273"/>
      <c r="N737" s="273"/>
      <c r="O737" s="273"/>
      <c r="P737" s="275"/>
      <c r="Q737" s="273"/>
      <c r="R737" s="273"/>
      <c r="S737" s="273"/>
      <c r="T737" s="273"/>
      <c r="U737" s="273"/>
      <c r="V737" s="273"/>
      <c r="W737" s="273"/>
      <c r="X737" s="273"/>
      <c r="Y737" s="273"/>
      <c r="Z737" s="273"/>
      <c r="AA737" s="273"/>
      <c r="AB737" s="273"/>
      <c r="AC737" s="273"/>
    </row>
    <row r="738" ht="75.0" customHeight="1">
      <c r="A738" s="273"/>
      <c r="B738" s="273"/>
      <c r="C738" s="273"/>
      <c r="D738" s="273"/>
      <c r="E738" s="273"/>
      <c r="F738" s="275"/>
      <c r="G738" s="273"/>
      <c r="H738" s="273"/>
      <c r="I738" s="275"/>
      <c r="J738" s="273"/>
      <c r="K738" s="273"/>
      <c r="L738" s="273"/>
      <c r="M738" s="273"/>
      <c r="N738" s="273"/>
      <c r="O738" s="273"/>
      <c r="P738" s="275"/>
      <c r="Q738" s="273"/>
      <c r="R738" s="273"/>
      <c r="S738" s="273"/>
      <c r="T738" s="273"/>
      <c r="U738" s="273"/>
      <c r="V738" s="273"/>
      <c r="W738" s="273"/>
      <c r="X738" s="273"/>
      <c r="Y738" s="273"/>
      <c r="Z738" s="273"/>
      <c r="AA738" s="273"/>
      <c r="AB738" s="273"/>
      <c r="AC738" s="273"/>
    </row>
    <row r="739" ht="75.0" customHeight="1">
      <c r="A739" s="273"/>
      <c r="B739" s="273"/>
      <c r="C739" s="273"/>
      <c r="D739" s="273"/>
      <c r="E739" s="273"/>
      <c r="F739" s="275"/>
      <c r="G739" s="273"/>
      <c r="H739" s="273"/>
      <c r="I739" s="275"/>
      <c r="J739" s="273"/>
      <c r="K739" s="273"/>
      <c r="L739" s="273"/>
      <c r="M739" s="273"/>
      <c r="N739" s="273"/>
      <c r="O739" s="273"/>
      <c r="P739" s="275"/>
      <c r="Q739" s="273"/>
      <c r="R739" s="273"/>
      <c r="S739" s="273"/>
      <c r="T739" s="273"/>
      <c r="U739" s="273"/>
      <c r="V739" s="273"/>
      <c r="W739" s="273"/>
      <c r="X739" s="273"/>
      <c r="Y739" s="273"/>
      <c r="Z739" s="273"/>
      <c r="AA739" s="273"/>
      <c r="AB739" s="273"/>
      <c r="AC739" s="273"/>
    </row>
    <row r="740" ht="75.0" customHeight="1">
      <c r="A740" s="273"/>
      <c r="B740" s="273"/>
      <c r="C740" s="273"/>
      <c r="D740" s="273"/>
      <c r="E740" s="273"/>
      <c r="F740" s="275"/>
      <c r="G740" s="273"/>
      <c r="H740" s="273"/>
      <c r="I740" s="275"/>
      <c r="J740" s="273"/>
      <c r="K740" s="273"/>
      <c r="L740" s="273"/>
      <c r="M740" s="273"/>
      <c r="N740" s="273"/>
      <c r="O740" s="273"/>
      <c r="P740" s="275"/>
      <c r="Q740" s="273"/>
      <c r="R740" s="273"/>
      <c r="S740" s="273"/>
      <c r="T740" s="273"/>
      <c r="U740" s="273"/>
      <c r="V740" s="273"/>
      <c r="W740" s="273"/>
      <c r="X740" s="273"/>
      <c r="Y740" s="273"/>
      <c r="Z740" s="273"/>
      <c r="AA740" s="273"/>
      <c r="AB740" s="273"/>
      <c r="AC740" s="273"/>
    </row>
    <row r="741" ht="75.0" customHeight="1">
      <c r="A741" s="273"/>
      <c r="B741" s="273"/>
      <c r="C741" s="273"/>
      <c r="D741" s="273"/>
      <c r="E741" s="273"/>
      <c r="F741" s="275"/>
      <c r="G741" s="273"/>
      <c r="H741" s="273"/>
      <c r="I741" s="275"/>
      <c r="J741" s="273"/>
      <c r="K741" s="273"/>
      <c r="L741" s="273"/>
      <c r="M741" s="273"/>
      <c r="N741" s="273"/>
      <c r="O741" s="273"/>
      <c r="P741" s="275"/>
      <c r="Q741" s="273"/>
      <c r="R741" s="273"/>
      <c r="S741" s="273"/>
      <c r="T741" s="273"/>
      <c r="U741" s="273"/>
      <c r="V741" s="273"/>
      <c r="W741" s="273"/>
      <c r="X741" s="273"/>
      <c r="Y741" s="273"/>
      <c r="Z741" s="273"/>
      <c r="AA741" s="273"/>
      <c r="AB741" s="273"/>
      <c r="AC741" s="273"/>
    </row>
    <row r="742" ht="75.0" customHeight="1">
      <c r="A742" s="273"/>
      <c r="B742" s="273"/>
      <c r="C742" s="273"/>
      <c r="D742" s="273"/>
      <c r="E742" s="273"/>
      <c r="F742" s="275"/>
      <c r="G742" s="273"/>
      <c r="H742" s="273"/>
      <c r="I742" s="275"/>
      <c r="J742" s="273"/>
      <c r="K742" s="273"/>
      <c r="L742" s="273"/>
      <c r="M742" s="273"/>
      <c r="N742" s="273"/>
      <c r="O742" s="273"/>
      <c r="P742" s="275"/>
      <c r="Q742" s="273"/>
      <c r="R742" s="273"/>
      <c r="S742" s="273"/>
      <c r="T742" s="273"/>
      <c r="U742" s="273"/>
      <c r="V742" s="273"/>
      <c r="W742" s="273"/>
      <c r="X742" s="273"/>
      <c r="Y742" s="273"/>
      <c r="Z742" s="273"/>
      <c r="AA742" s="273"/>
      <c r="AB742" s="273"/>
      <c r="AC742" s="273"/>
    </row>
    <row r="743" ht="75.0" customHeight="1">
      <c r="A743" s="273"/>
      <c r="B743" s="273"/>
      <c r="C743" s="273"/>
      <c r="D743" s="273"/>
      <c r="E743" s="273"/>
      <c r="F743" s="275"/>
      <c r="G743" s="273"/>
      <c r="H743" s="273"/>
      <c r="I743" s="275"/>
      <c r="J743" s="273"/>
      <c r="K743" s="273"/>
      <c r="L743" s="273"/>
      <c r="M743" s="273"/>
      <c r="N743" s="273"/>
      <c r="O743" s="273"/>
      <c r="P743" s="275"/>
      <c r="Q743" s="273"/>
      <c r="R743" s="273"/>
      <c r="S743" s="273"/>
      <c r="T743" s="273"/>
      <c r="U743" s="273"/>
      <c r="V743" s="273"/>
      <c r="W743" s="273"/>
      <c r="X743" s="273"/>
      <c r="Y743" s="273"/>
      <c r="Z743" s="273"/>
      <c r="AA743" s="273"/>
      <c r="AB743" s="273"/>
      <c r="AC743" s="273"/>
    </row>
    <row r="744" ht="75.0" customHeight="1">
      <c r="A744" s="273"/>
      <c r="B744" s="273"/>
      <c r="C744" s="273"/>
      <c r="D744" s="273"/>
      <c r="E744" s="273"/>
      <c r="F744" s="275"/>
      <c r="G744" s="273"/>
      <c r="H744" s="273"/>
      <c r="I744" s="275"/>
      <c r="J744" s="273"/>
      <c r="K744" s="273"/>
      <c r="L744" s="273"/>
      <c r="M744" s="273"/>
      <c r="N744" s="273"/>
      <c r="O744" s="273"/>
      <c r="P744" s="275"/>
      <c r="Q744" s="273"/>
      <c r="R744" s="273"/>
      <c r="S744" s="273"/>
      <c r="T744" s="273"/>
      <c r="U744" s="273"/>
      <c r="V744" s="273"/>
      <c r="W744" s="273"/>
      <c r="X744" s="273"/>
      <c r="Y744" s="273"/>
      <c r="Z744" s="273"/>
      <c r="AA744" s="273"/>
      <c r="AB744" s="273"/>
      <c r="AC744" s="273"/>
    </row>
    <row r="745" ht="75.0" customHeight="1">
      <c r="A745" s="273"/>
      <c r="B745" s="273"/>
      <c r="C745" s="273"/>
      <c r="D745" s="273"/>
      <c r="E745" s="273"/>
      <c r="F745" s="275"/>
      <c r="G745" s="273"/>
      <c r="H745" s="273"/>
      <c r="I745" s="275"/>
      <c r="J745" s="273"/>
      <c r="K745" s="273"/>
      <c r="L745" s="273"/>
      <c r="M745" s="273"/>
      <c r="N745" s="273"/>
      <c r="O745" s="273"/>
      <c r="P745" s="275"/>
      <c r="Q745" s="273"/>
      <c r="R745" s="273"/>
      <c r="S745" s="273"/>
      <c r="T745" s="273"/>
      <c r="U745" s="273"/>
      <c r="V745" s="273"/>
      <c r="W745" s="273"/>
      <c r="X745" s="273"/>
      <c r="Y745" s="273"/>
      <c r="Z745" s="273"/>
      <c r="AA745" s="273"/>
      <c r="AB745" s="273"/>
      <c r="AC745" s="273"/>
    </row>
    <row r="746" ht="75.0" customHeight="1">
      <c r="A746" s="273"/>
      <c r="B746" s="273"/>
      <c r="C746" s="273"/>
      <c r="D746" s="273"/>
      <c r="E746" s="273"/>
      <c r="F746" s="275"/>
      <c r="G746" s="273"/>
      <c r="H746" s="273"/>
      <c r="I746" s="275"/>
      <c r="J746" s="273"/>
      <c r="K746" s="273"/>
      <c r="L746" s="273"/>
      <c r="M746" s="273"/>
      <c r="N746" s="273"/>
      <c r="O746" s="273"/>
      <c r="P746" s="275"/>
      <c r="Q746" s="273"/>
      <c r="R746" s="273"/>
      <c r="S746" s="273"/>
      <c r="T746" s="273"/>
      <c r="U746" s="273"/>
      <c r="V746" s="273"/>
      <c r="W746" s="273"/>
      <c r="X746" s="273"/>
      <c r="Y746" s="273"/>
      <c r="Z746" s="273"/>
      <c r="AA746" s="273"/>
      <c r="AB746" s="273"/>
      <c r="AC746" s="273"/>
    </row>
    <row r="747" ht="75.0" customHeight="1">
      <c r="A747" s="273"/>
      <c r="B747" s="273"/>
      <c r="C747" s="273"/>
      <c r="D747" s="273"/>
      <c r="E747" s="273"/>
      <c r="F747" s="275"/>
      <c r="G747" s="273"/>
      <c r="H747" s="273"/>
      <c r="I747" s="275"/>
      <c r="J747" s="273"/>
      <c r="K747" s="273"/>
      <c r="L747" s="273"/>
      <c r="M747" s="273"/>
      <c r="N747" s="273"/>
      <c r="O747" s="273"/>
      <c r="P747" s="275"/>
      <c r="Q747" s="273"/>
      <c r="R747" s="273"/>
      <c r="S747" s="273"/>
      <c r="T747" s="273"/>
      <c r="U747" s="273"/>
      <c r="V747" s="273"/>
      <c r="W747" s="273"/>
      <c r="X747" s="273"/>
      <c r="Y747" s="273"/>
      <c r="Z747" s="273"/>
      <c r="AA747" s="273"/>
      <c r="AB747" s="273"/>
      <c r="AC747" s="273"/>
    </row>
    <row r="748" ht="75.0" customHeight="1">
      <c r="A748" s="273"/>
      <c r="B748" s="273"/>
      <c r="C748" s="273"/>
      <c r="D748" s="273"/>
      <c r="E748" s="273"/>
      <c r="F748" s="275"/>
      <c r="G748" s="273"/>
      <c r="H748" s="273"/>
      <c r="I748" s="275"/>
      <c r="J748" s="273"/>
      <c r="K748" s="273"/>
      <c r="L748" s="273"/>
      <c r="M748" s="273"/>
      <c r="N748" s="273"/>
      <c r="O748" s="273"/>
      <c r="P748" s="275"/>
      <c r="Q748" s="273"/>
      <c r="R748" s="273"/>
      <c r="S748" s="273"/>
      <c r="T748" s="273"/>
      <c r="U748" s="273"/>
      <c r="V748" s="273"/>
      <c r="W748" s="273"/>
      <c r="X748" s="273"/>
      <c r="Y748" s="273"/>
      <c r="Z748" s="273"/>
      <c r="AA748" s="273"/>
      <c r="AB748" s="273"/>
      <c r="AC748" s="273"/>
    </row>
    <row r="749" ht="75.0" customHeight="1">
      <c r="A749" s="273"/>
      <c r="B749" s="273"/>
      <c r="C749" s="273"/>
      <c r="D749" s="273"/>
      <c r="E749" s="273"/>
      <c r="F749" s="275"/>
      <c r="G749" s="273"/>
      <c r="H749" s="273"/>
      <c r="I749" s="275"/>
      <c r="J749" s="273"/>
      <c r="K749" s="273"/>
      <c r="L749" s="273"/>
      <c r="M749" s="273"/>
      <c r="N749" s="273"/>
      <c r="O749" s="273"/>
      <c r="P749" s="275"/>
      <c r="Q749" s="273"/>
      <c r="R749" s="273"/>
      <c r="S749" s="273"/>
      <c r="T749" s="273"/>
      <c r="U749" s="273"/>
      <c r="V749" s="273"/>
      <c r="W749" s="273"/>
      <c r="X749" s="273"/>
      <c r="Y749" s="273"/>
      <c r="Z749" s="273"/>
      <c r="AA749" s="273"/>
      <c r="AB749" s="273"/>
      <c r="AC749" s="273"/>
    </row>
    <row r="750" ht="75.0" customHeight="1">
      <c r="A750" s="273"/>
      <c r="B750" s="273"/>
      <c r="C750" s="273"/>
      <c r="D750" s="273"/>
      <c r="E750" s="273"/>
      <c r="F750" s="275"/>
      <c r="G750" s="273"/>
      <c r="H750" s="273"/>
      <c r="I750" s="275"/>
      <c r="J750" s="273"/>
      <c r="K750" s="273"/>
      <c r="L750" s="273"/>
      <c r="M750" s="273"/>
      <c r="N750" s="273"/>
      <c r="O750" s="273"/>
      <c r="P750" s="275"/>
      <c r="Q750" s="273"/>
      <c r="R750" s="273"/>
      <c r="S750" s="273"/>
      <c r="T750" s="273"/>
      <c r="U750" s="273"/>
      <c r="V750" s="273"/>
      <c r="W750" s="273"/>
      <c r="X750" s="273"/>
      <c r="Y750" s="273"/>
      <c r="Z750" s="273"/>
      <c r="AA750" s="273"/>
      <c r="AB750" s="273"/>
      <c r="AC750" s="273"/>
    </row>
    <row r="751" ht="75.0" customHeight="1">
      <c r="A751" s="273"/>
      <c r="B751" s="273"/>
      <c r="C751" s="273"/>
      <c r="D751" s="273"/>
      <c r="E751" s="273"/>
      <c r="F751" s="275"/>
      <c r="G751" s="273"/>
      <c r="H751" s="273"/>
      <c r="I751" s="275"/>
      <c r="J751" s="273"/>
      <c r="K751" s="273"/>
      <c r="L751" s="273"/>
      <c r="M751" s="273"/>
      <c r="N751" s="273"/>
      <c r="O751" s="273"/>
      <c r="P751" s="275"/>
      <c r="Q751" s="273"/>
      <c r="R751" s="273"/>
      <c r="S751" s="273"/>
      <c r="T751" s="273"/>
      <c r="U751" s="273"/>
      <c r="V751" s="273"/>
      <c r="W751" s="273"/>
      <c r="X751" s="273"/>
      <c r="Y751" s="273"/>
      <c r="Z751" s="273"/>
      <c r="AA751" s="273"/>
      <c r="AB751" s="273"/>
      <c r="AC751" s="273"/>
    </row>
    <row r="752" ht="75.0" customHeight="1">
      <c r="A752" s="273"/>
      <c r="B752" s="273"/>
      <c r="C752" s="273"/>
      <c r="D752" s="273"/>
      <c r="E752" s="273"/>
      <c r="F752" s="275"/>
      <c r="G752" s="273"/>
      <c r="H752" s="273"/>
      <c r="I752" s="275"/>
      <c r="J752" s="273"/>
      <c r="K752" s="273"/>
      <c r="L752" s="273"/>
      <c r="M752" s="273"/>
      <c r="N752" s="273"/>
      <c r="O752" s="273"/>
      <c r="P752" s="275"/>
      <c r="Q752" s="273"/>
      <c r="R752" s="273"/>
      <c r="S752" s="273"/>
      <c r="T752" s="273"/>
      <c r="U752" s="273"/>
      <c r="V752" s="273"/>
      <c r="W752" s="273"/>
      <c r="X752" s="273"/>
      <c r="Y752" s="273"/>
      <c r="Z752" s="273"/>
      <c r="AA752" s="273"/>
      <c r="AB752" s="273"/>
      <c r="AC752" s="273"/>
    </row>
    <row r="753" ht="75.0" customHeight="1">
      <c r="A753" s="273"/>
      <c r="B753" s="273"/>
      <c r="C753" s="273"/>
      <c r="D753" s="273"/>
      <c r="E753" s="273"/>
      <c r="F753" s="275"/>
      <c r="G753" s="273"/>
      <c r="H753" s="273"/>
      <c r="I753" s="275"/>
      <c r="J753" s="273"/>
      <c r="K753" s="273"/>
      <c r="L753" s="273"/>
      <c r="M753" s="273"/>
      <c r="N753" s="273"/>
      <c r="O753" s="273"/>
      <c r="P753" s="275"/>
      <c r="Q753" s="273"/>
      <c r="R753" s="273"/>
      <c r="S753" s="273"/>
      <c r="T753" s="273"/>
      <c r="U753" s="273"/>
      <c r="V753" s="273"/>
      <c r="W753" s="273"/>
      <c r="X753" s="273"/>
      <c r="Y753" s="273"/>
      <c r="Z753" s="273"/>
      <c r="AA753" s="273"/>
      <c r="AB753" s="273"/>
      <c r="AC753" s="273"/>
    </row>
    <row r="754" ht="75.0" customHeight="1">
      <c r="A754" s="273"/>
      <c r="B754" s="273"/>
      <c r="C754" s="273"/>
      <c r="D754" s="273"/>
      <c r="E754" s="273"/>
      <c r="F754" s="275"/>
      <c r="G754" s="273"/>
      <c r="H754" s="273"/>
      <c r="I754" s="275"/>
      <c r="J754" s="273"/>
      <c r="K754" s="273"/>
      <c r="L754" s="273"/>
      <c r="M754" s="273"/>
      <c r="N754" s="273"/>
      <c r="O754" s="273"/>
      <c r="P754" s="275"/>
      <c r="Q754" s="273"/>
      <c r="R754" s="273"/>
      <c r="S754" s="273"/>
      <c r="T754" s="273"/>
      <c r="U754" s="273"/>
      <c r="V754" s="273"/>
      <c r="W754" s="273"/>
      <c r="X754" s="273"/>
      <c r="Y754" s="273"/>
      <c r="Z754" s="273"/>
      <c r="AA754" s="273"/>
      <c r="AB754" s="273"/>
      <c r="AC754" s="273"/>
    </row>
    <row r="755" ht="75.0" customHeight="1">
      <c r="A755" s="273"/>
      <c r="B755" s="273"/>
      <c r="C755" s="273"/>
      <c r="D755" s="273"/>
      <c r="E755" s="273"/>
      <c r="F755" s="275"/>
      <c r="G755" s="273"/>
      <c r="H755" s="273"/>
      <c r="I755" s="275"/>
      <c r="J755" s="273"/>
      <c r="K755" s="273"/>
      <c r="L755" s="273"/>
      <c r="M755" s="273"/>
      <c r="N755" s="273"/>
      <c r="O755" s="273"/>
      <c r="P755" s="275"/>
      <c r="Q755" s="273"/>
      <c r="R755" s="273"/>
      <c r="S755" s="273"/>
      <c r="T755" s="273"/>
      <c r="U755" s="273"/>
      <c r="V755" s="273"/>
      <c r="W755" s="273"/>
      <c r="X755" s="273"/>
      <c r="Y755" s="273"/>
      <c r="Z755" s="273"/>
      <c r="AA755" s="273"/>
      <c r="AB755" s="273"/>
      <c r="AC755" s="273"/>
    </row>
    <row r="756" ht="75.0" customHeight="1">
      <c r="A756" s="273"/>
      <c r="B756" s="273"/>
      <c r="C756" s="273"/>
      <c r="D756" s="273"/>
      <c r="E756" s="273"/>
      <c r="F756" s="275"/>
      <c r="G756" s="273"/>
      <c r="H756" s="273"/>
      <c r="I756" s="275"/>
      <c r="J756" s="273"/>
      <c r="K756" s="273"/>
      <c r="L756" s="273"/>
      <c r="M756" s="273"/>
      <c r="N756" s="273"/>
      <c r="O756" s="273"/>
      <c r="P756" s="275"/>
      <c r="Q756" s="273"/>
      <c r="R756" s="273"/>
      <c r="S756" s="273"/>
      <c r="T756" s="273"/>
      <c r="U756" s="273"/>
      <c r="V756" s="273"/>
      <c r="W756" s="273"/>
      <c r="X756" s="273"/>
      <c r="Y756" s="273"/>
      <c r="Z756" s="273"/>
      <c r="AA756" s="273"/>
      <c r="AB756" s="273"/>
      <c r="AC756" s="273"/>
    </row>
    <row r="757" ht="75.0" customHeight="1">
      <c r="A757" s="273"/>
      <c r="B757" s="273"/>
      <c r="C757" s="273"/>
      <c r="D757" s="273"/>
      <c r="E757" s="273"/>
      <c r="F757" s="275"/>
      <c r="G757" s="273"/>
      <c r="H757" s="273"/>
      <c r="I757" s="275"/>
      <c r="J757" s="273"/>
      <c r="K757" s="273"/>
      <c r="L757" s="273"/>
      <c r="M757" s="273"/>
      <c r="N757" s="273"/>
      <c r="O757" s="273"/>
      <c r="P757" s="275"/>
      <c r="Q757" s="273"/>
      <c r="R757" s="273"/>
      <c r="S757" s="273"/>
      <c r="T757" s="273"/>
      <c r="U757" s="273"/>
      <c r="V757" s="273"/>
      <c r="W757" s="273"/>
      <c r="X757" s="273"/>
      <c r="Y757" s="273"/>
      <c r="Z757" s="273"/>
      <c r="AA757" s="273"/>
      <c r="AB757" s="273"/>
      <c r="AC757" s="273"/>
    </row>
    <row r="758" ht="75.0" customHeight="1">
      <c r="A758" s="273"/>
      <c r="B758" s="273"/>
      <c r="C758" s="273"/>
      <c r="D758" s="273"/>
      <c r="E758" s="273"/>
      <c r="F758" s="275"/>
      <c r="G758" s="273"/>
      <c r="H758" s="273"/>
      <c r="I758" s="275"/>
      <c r="J758" s="273"/>
      <c r="K758" s="273"/>
      <c r="L758" s="273"/>
      <c r="M758" s="273"/>
      <c r="N758" s="273"/>
      <c r="O758" s="273"/>
      <c r="P758" s="275"/>
      <c r="Q758" s="273"/>
      <c r="R758" s="273"/>
      <c r="S758" s="273"/>
      <c r="T758" s="273"/>
      <c r="U758" s="273"/>
      <c r="V758" s="273"/>
      <c r="W758" s="273"/>
      <c r="X758" s="273"/>
      <c r="Y758" s="273"/>
      <c r="Z758" s="273"/>
      <c r="AA758" s="273"/>
      <c r="AB758" s="273"/>
      <c r="AC758" s="273"/>
    </row>
    <row r="759" ht="75.0" customHeight="1">
      <c r="A759" s="273"/>
      <c r="B759" s="273"/>
      <c r="C759" s="273"/>
      <c r="D759" s="273"/>
      <c r="E759" s="273"/>
      <c r="F759" s="275"/>
      <c r="G759" s="273"/>
      <c r="H759" s="273"/>
      <c r="I759" s="275"/>
      <c r="J759" s="273"/>
      <c r="K759" s="273"/>
      <c r="L759" s="273"/>
      <c r="M759" s="273"/>
      <c r="N759" s="273"/>
      <c r="O759" s="273"/>
      <c r="P759" s="275"/>
      <c r="Q759" s="273"/>
      <c r="R759" s="273"/>
      <c r="S759" s="273"/>
      <c r="T759" s="273"/>
      <c r="U759" s="273"/>
      <c r="V759" s="273"/>
      <c r="W759" s="273"/>
      <c r="X759" s="273"/>
      <c r="Y759" s="273"/>
      <c r="Z759" s="273"/>
      <c r="AA759" s="273"/>
      <c r="AB759" s="273"/>
      <c r="AC759" s="273"/>
    </row>
    <row r="760" ht="75.0" customHeight="1">
      <c r="A760" s="273"/>
      <c r="B760" s="273"/>
      <c r="C760" s="273"/>
      <c r="D760" s="273"/>
      <c r="E760" s="273"/>
      <c r="F760" s="275"/>
      <c r="G760" s="273"/>
      <c r="H760" s="273"/>
      <c r="I760" s="275"/>
      <c r="J760" s="273"/>
      <c r="K760" s="273"/>
      <c r="L760" s="273"/>
      <c r="M760" s="273"/>
      <c r="N760" s="273"/>
      <c r="O760" s="273"/>
      <c r="P760" s="275"/>
      <c r="Q760" s="273"/>
      <c r="R760" s="273"/>
      <c r="S760" s="273"/>
      <c r="T760" s="273"/>
      <c r="U760" s="273"/>
      <c r="V760" s="273"/>
      <c r="W760" s="273"/>
      <c r="X760" s="273"/>
      <c r="Y760" s="273"/>
      <c r="Z760" s="273"/>
      <c r="AA760" s="273"/>
      <c r="AB760" s="273"/>
      <c r="AC760" s="273"/>
    </row>
    <row r="761" ht="75.0" customHeight="1">
      <c r="A761" s="273"/>
      <c r="B761" s="273"/>
      <c r="C761" s="273"/>
      <c r="D761" s="273"/>
      <c r="E761" s="273"/>
      <c r="F761" s="275"/>
      <c r="G761" s="273"/>
      <c r="H761" s="273"/>
      <c r="I761" s="275"/>
      <c r="J761" s="273"/>
      <c r="K761" s="273"/>
      <c r="L761" s="273"/>
      <c r="M761" s="273"/>
      <c r="N761" s="273"/>
      <c r="O761" s="273"/>
      <c r="P761" s="275"/>
      <c r="Q761" s="273"/>
      <c r="R761" s="273"/>
      <c r="S761" s="273"/>
      <c r="T761" s="273"/>
      <c r="U761" s="273"/>
      <c r="V761" s="273"/>
      <c r="W761" s="273"/>
      <c r="X761" s="273"/>
      <c r="Y761" s="273"/>
      <c r="Z761" s="273"/>
      <c r="AA761" s="273"/>
      <c r="AB761" s="273"/>
      <c r="AC761" s="273"/>
    </row>
    <row r="762" ht="75.0" customHeight="1">
      <c r="A762" s="273"/>
      <c r="B762" s="273"/>
      <c r="C762" s="273"/>
      <c r="D762" s="273"/>
      <c r="E762" s="273"/>
      <c r="F762" s="275"/>
      <c r="G762" s="273"/>
      <c r="H762" s="273"/>
      <c r="I762" s="275"/>
      <c r="J762" s="273"/>
      <c r="K762" s="273"/>
      <c r="L762" s="273"/>
      <c r="M762" s="273"/>
      <c r="N762" s="273"/>
      <c r="O762" s="273"/>
      <c r="P762" s="275"/>
      <c r="Q762" s="273"/>
      <c r="R762" s="273"/>
      <c r="S762" s="273"/>
      <c r="T762" s="273"/>
      <c r="U762" s="273"/>
      <c r="V762" s="273"/>
      <c r="W762" s="273"/>
      <c r="X762" s="273"/>
      <c r="Y762" s="273"/>
      <c r="Z762" s="273"/>
      <c r="AA762" s="273"/>
      <c r="AB762" s="273"/>
      <c r="AC762" s="273"/>
    </row>
    <row r="763" ht="75.0" customHeight="1">
      <c r="A763" s="273"/>
      <c r="B763" s="273"/>
      <c r="C763" s="273"/>
      <c r="D763" s="273"/>
      <c r="E763" s="273"/>
      <c r="F763" s="275"/>
      <c r="G763" s="273"/>
      <c r="H763" s="273"/>
      <c r="I763" s="275"/>
      <c r="J763" s="273"/>
      <c r="K763" s="273"/>
      <c r="L763" s="273"/>
      <c r="M763" s="273"/>
      <c r="N763" s="273"/>
      <c r="O763" s="273"/>
      <c r="P763" s="275"/>
      <c r="Q763" s="273"/>
      <c r="R763" s="273"/>
      <c r="S763" s="273"/>
      <c r="T763" s="273"/>
      <c r="U763" s="273"/>
      <c r="V763" s="273"/>
      <c r="W763" s="273"/>
      <c r="X763" s="273"/>
      <c r="Y763" s="273"/>
      <c r="Z763" s="273"/>
      <c r="AA763" s="273"/>
      <c r="AB763" s="273"/>
      <c r="AC763" s="273"/>
    </row>
    <row r="764" ht="75.0" customHeight="1">
      <c r="A764" s="273"/>
      <c r="B764" s="273"/>
      <c r="C764" s="273"/>
      <c r="D764" s="273"/>
      <c r="E764" s="273"/>
      <c r="F764" s="275"/>
      <c r="G764" s="273"/>
      <c r="H764" s="273"/>
      <c r="I764" s="275"/>
      <c r="J764" s="273"/>
      <c r="K764" s="273"/>
      <c r="L764" s="273"/>
      <c r="M764" s="273"/>
      <c r="N764" s="273"/>
      <c r="O764" s="273"/>
      <c r="P764" s="275"/>
      <c r="Q764" s="273"/>
      <c r="R764" s="273"/>
      <c r="S764" s="273"/>
      <c r="T764" s="273"/>
      <c r="U764" s="273"/>
      <c r="V764" s="273"/>
      <c r="W764" s="273"/>
      <c r="X764" s="273"/>
      <c r="Y764" s="273"/>
      <c r="Z764" s="273"/>
      <c r="AA764" s="273"/>
      <c r="AB764" s="273"/>
      <c r="AC764" s="273"/>
    </row>
    <row r="765" ht="75.0" customHeight="1">
      <c r="A765" s="273"/>
      <c r="B765" s="273"/>
      <c r="C765" s="273"/>
      <c r="D765" s="273"/>
      <c r="E765" s="273"/>
      <c r="F765" s="275"/>
      <c r="G765" s="273"/>
      <c r="H765" s="273"/>
      <c r="I765" s="275"/>
      <c r="J765" s="273"/>
      <c r="K765" s="273"/>
      <c r="L765" s="273"/>
      <c r="M765" s="273"/>
      <c r="N765" s="273"/>
      <c r="O765" s="273"/>
      <c r="P765" s="275"/>
      <c r="Q765" s="273"/>
      <c r="R765" s="273"/>
      <c r="S765" s="273"/>
      <c r="T765" s="273"/>
      <c r="U765" s="273"/>
      <c r="V765" s="273"/>
      <c r="W765" s="273"/>
      <c r="X765" s="273"/>
      <c r="Y765" s="273"/>
      <c r="Z765" s="273"/>
      <c r="AA765" s="273"/>
      <c r="AB765" s="273"/>
      <c r="AC765" s="273"/>
    </row>
    <row r="766" ht="75.0" customHeight="1">
      <c r="A766" s="273"/>
      <c r="B766" s="273"/>
      <c r="C766" s="273"/>
      <c r="D766" s="273"/>
      <c r="E766" s="273"/>
      <c r="F766" s="275"/>
      <c r="G766" s="273"/>
      <c r="H766" s="273"/>
      <c r="I766" s="275"/>
      <c r="J766" s="273"/>
      <c r="K766" s="273"/>
      <c r="L766" s="273"/>
      <c r="M766" s="273"/>
      <c r="N766" s="273"/>
      <c r="O766" s="273"/>
      <c r="P766" s="275"/>
      <c r="Q766" s="273"/>
      <c r="R766" s="273"/>
      <c r="S766" s="273"/>
      <c r="T766" s="273"/>
      <c r="U766" s="273"/>
      <c r="V766" s="273"/>
      <c r="W766" s="273"/>
      <c r="X766" s="273"/>
      <c r="Y766" s="273"/>
      <c r="Z766" s="273"/>
      <c r="AA766" s="273"/>
      <c r="AB766" s="273"/>
      <c r="AC766" s="273"/>
    </row>
    <row r="767" ht="75.0" customHeight="1">
      <c r="A767" s="273"/>
      <c r="B767" s="273"/>
      <c r="C767" s="273"/>
      <c r="D767" s="273"/>
      <c r="E767" s="273"/>
      <c r="F767" s="275"/>
      <c r="G767" s="273"/>
      <c r="H767" s="273"/>
      <c r="I767" s="275"/>
      <c r="J767" s="273"/>
      <c r="K767" s="273"/>
      <c r="L767" s="273"/>
      <c r="M767" s="273"/>
      <c r="N767" s="273"/>
      <c r="O767" s="273"/>
      <c r="P767" s="275"/>
      <c r="Q767" s="273"/>
      <c r="R767" s="273"/>
      <c r="S767" s="273"/>
      <c r="T767" s="273"/>
      <c r="U767" s="273"/>
      <c r="V767" s="273"/>
      <c r="W767" s="273"/>
      <c r="X767" s="273"/>
      <c r="Y767" s="273"/>
      <c r="Z767" s="273"/>
      <c r="AA767" s="273"/>
      <c r="AB767" s="273"/>
      <c r="AC767" s="273"/>
    </row>
    <row r="768" ht="75.0" customHeight="1">
      <c r="A768" s="273"/>
      <c r="B768" s="273"/>
      <c r="C768" s="273"/>
      <c r="D768" s="273"/>
      <c r="E768" s="273"/>
      <c r="F768" s="275"/>
      <c r="G768" s="273"/>
      <c r="H768" s="273"/>
      <c r="I768" s="275"/>
      <c r="J768" s="273"/>
      <c r="K768" s="273"/>
      <c r="L768" s="273"/>
      <c r="M768" s="273"/>
      <c r="N768" s="273"/>
      <c r="O768" s="273"/>
      <c r="P768" s="275"/>
      <c r="Q768" s="273"/>
      <c r="R768" s="273"/>
      <c r="S768" s="273"/>
      <c r="T768" s="273"/>
      <c r="U768" s="273"/>
      <c r="V768" s="273"/>
      <c r="W768" s="273"/>
      <c r="X768" s="273"/>
      <c r="Y768" s="273"/>
      <c r="Z768" s="273"/>
      <c r="AA768" s="273"/>
      <c r="AB768" s="273"/>
      <c r="AC768" s="273"/>
    </row>
    <row r="769" ht="75.0" customHeight="1">
      <c r="A769" s="273"/>
      <c r="B769" s="273"/>
      <c r="C769" s="273"/>
      <c r="D769" s="273"/>
      <c r="E769" s="273"/>
      <c r="F769" s="275"/>
      <c r="G769" s="273"/>
      <c r="H769" s="273"/>
      <c r="I769" s="275"/>
      <c r="J769" s="273"/>
      <c r="K769" s="273"/>
      <c r="L769" s="273"/>
      <c r="M769" s="273"/>
      <c r="N769" s="273"/>
      <c r="O769" s="273"/>
      <c r="P769" s="275"/>
      <c r="Q769" s="273"/>
      <c r="R769" s="273"/>
      <c r="S769" s="273"/>
      <c r="T769" s="273"/>
      <c r="U769" s="273"/>
      <c r="V769" s="273"/>
      <c r="W769" s="273"/>
      <c r="X769" s="273"/>
      <c r="Y769" s="273"/>
      <c r="Z769" s="273"/>
      <c r="AA769" s="273"/>
      <c r="AB769" s="273"/>
      <c r="AC769" s="273"/>
    </row>
    <row r="770" ht="75.0" customHeight="1">
      <c r="A770" s="273"/>
      <c r="B770" s="273"/>
      <c r="C770" s="273"/>
      <c r="D770" s="273"/>
      <c r="E770" s="273"/>
      <c r="F770" s="275"/>
      <c r="G770" s="273"/>
      <c r="H770" s="273"/>
      <c r="I770" s="275"/>
      <c r="J770" s="273"/>
      <c r="K770" s="273"/>
      <c r="L770" s="273"/>
      <c r="M770" s="273"/>
      <c r="N770" s="273"/>
      <c r="O770" s="273"/>
      <c r="P770" s="275"/>
      <c r="Q770" s="273"/>
      <c r="R770" s="273"/>
      <c r="S770" s="273"/>
      <c r="T770" s="273"/>
      <c r="U770" s="273"/>
      <c r="V770" s="273"/>
      <c r="W770" s="273"/>
      <c r="X770" s="273"/>
      <c r="Y770" s="273"/>
      <c r="Z770" s="273"/>
      <c r="AA770" s="273"/>
      <c r="AB770" s="273"/>
      <c r="AC770" s="273"/>
    </row>
    <row r="771" ht="75.0" customHeight="1">
      <c r="A771" s="273"/>
      <c r="B771" s="273"/>
      <c r="C771" s="273"/>
      <c r="D771" s="273"/>
      <c r="E771" s="273"/>
      <c r="F771" s="275"/>
      <c r="G771" s="273"/>
      <c r="H771" s="273"/>
      <c r="I771" s="275"/>
      <c r="J771" s="273"/>
      <c r="K771" s="273"/>
      <c r="L771" s="273"/>
      <c r="M771" s="273"/>
      <c r="N771" s="273"/>
      <c r="O771" s="273"/>
      <c r="P771" s="275"/>
      <c r="Q771" s="273"/>
      <c r="R771" s="273"/>
      <c r="S771" s="273"/>
      <c r="T771" s="273"/>
      <c r="U771" s="273"/>
      <c r="V771" s="273"/>
      <c r="W771" s="273"/>
      <c r="X771" s="273"/>
      <c r="Y771" s="273"/>
      <c r="Z771" s="273"/>
      <c r="AA771" s="273"/>
      <c r="AB771" s="273"/>
      <c r="AC771" s="273"/>
    </row>
    <row r="772" ht="75.0" customHeight="1">
      <c r="A772" s="273"/>
      <c r="B772" s="273"/>
      <c r="C772" s="273"/>
      <c r="D772" s="273"/>
      <c r="E772" s="273"/>
      <c r="F772" s="275"/>
      <c r="G772" s="273"/>
      <c r="H772" s="273"/>
      <c r="I772" s="275"/>
      <c r="J772" s="273"/>
      <c r="K772" s="273"/>
      <c r="L772" s="273"/>
      <c r="M772" s="273"/>
      <c r="N772" s="273"/>
      <c r="O772" s="273"/>
      <c r="P772" s="275"/>
      <c r="Q772" s="273"/>
      <c r="R772" s="273"/>
      <c r="S772" s="273"/>
      <c r="T772" s="273"/>
      <c r="U772" s="273"/>
      <c r="V772" s="273"/>
      <c r="W772" s="273"/>
      <c r="X772" s="273"/>
      <c r="Y772" s="273"/>
      <c r="Z772" s="273"/>
      <c r="AA772" s="273"/>
      <c r="AB772" s="273"/>
      <c r="AC772" s="273"/>
    </row>
    <row r="773" ht="75.0" customHeight="1">
      <c r="A773" s="273"/>
      <c r="B773" s="273"/>
      <c r="C773" s="273"/>
      <c r="D773" s="273"/>
      <c r="E773" s="273"/>
      <c r="F773" s="275"/>
      <c r="G773" s="273"/>
      <c r="H773" s="273"/>
      <c r="I773" s="275"/>
      <c r="J773" s="273"/>
      <c r="K773" s="273"/>
      <c r="L773" s="273"/>
      <c r="M773" s="273"/>
      <c r="N773" s="273"/>
      <c r="O773" s="273"/>
      <c r="P773" s="275"/>
      <c r="Q773" s="273"/>
      <c r="R773" s="273"/>
      <c r="S773" s="273"/>
      <c r="T773" s="273"/>
      <c r="U773" s="273"/>
      <c r="V773" s="273"/>
      <c r="W773" s="273"/>
      <c r="X773" s="273"/>
      <c r="Y773" s="273"/>
      <c r="Z773" s="273"/>
      <c r="AA773" s="273"/>
      <c r="AB773" s="273"/>
      <c r="AC773" s="273"/>
    </row>
    <row r="774" ht="75.0" customHeight="1">
      <c r="A774" s="273"/>
      <c r="B774" s="273"/>
      <c r="C774" s="273"/>
      <c r="D774" s="273"/>
      <c r="E774" s="273"/>
      <c r="F774" s="275"/>
      <c r="G774" s="273"/>
      <c r="H774" s="273"/>
      <c r="I774" s="275"/>
      <c r="J774" s="273"/>
      <c r="K774" s="273"/>
      <c r="L774" s="273"/>
      <c r="M774" s="273"/>
      <c r="N774" s="273"/>
      <c r="O774" s="273"/>
      <c r="P774" s="275"/>
      <c r="Q774" s="273"/>
      <c r="R774" s="273"/>
      <c r="S774" s="273"/>
      <c r="T774" s="273"/>
      <c r="U774" s="273"/>
      <c r="V774" s="273"/>
      <c r="W774" s="273"/>
      <c r="X774" s="273"/>
      <c r="Y774" s="273"/>
      <c r="Z774" s="273"/>
      <c r="AA774" s="273"/>
      <c r="AB774" s="273"/>
      <c r="AC774" s="273"/>
    </row>
    <row r="775" ht="75.0" customHeight="1">
      <c r="A775" s="273"/>
      <c r="B775" s="273"/>
      <c r="C775" s="273"/>
      <c r="D775" s="273"/>
      <c r="E775" s="273"/>
      <c r="F775" s="275"/>
      <c r="G775" s="273"/>
      <c r="H775" s="273"/>
      <c r="I775" s="275"/>
      <c r="J775" s="273"/>
      <c r="K775" s="273"/>
      <c r="L775" s="273"/>
      <c r="M775" s="273"/>
      <c r="N775" s="273"/>
      <c r="O775" s="273"/>
      <c r="P775" s="275"/>
      <c r="Q775" s="273"/>
      <c r="R775" s="273"/>
      <c r="S775" s="273"/>
      <c r="T775" s="273"/>
      <c r="U775" s="273"/>
      <c r="V775" s="273"/>
      <c r="W775" s="273"/>
      <c r="X775" s="273"/>
      <c r="Y775" s="273"/>
      <c r="Z775" s="273"/>
      <c r="AA775" s="273"/>
      <c r="AB775" s="273"/>
      <c r="AC775" s="273"/>
    </row>
    <row r="776" ht="75.0" customHeight="1">
      <c r="A776" s="273"/>
      <c r="B776" s="273"/>
      <c r="C776" s="273"/>
      <c r="D776" s="273"/>
      <c r="E776" s="273"/>
      <c r="F776" s="275"/>
      <c r="G776" s="273"/>
      <c r="H776" s="273"/>
      <c r="I776" s="275"/>
      <c r="J776" s="273"/>
      <c r="K776" s="273"/>
      <c r="L776" s="273"/>
      <c r="M776" s="273"/>
      <c r="N776" s="273"/>
      <c r="O776" s="273"/>
      <c r="P776" s="275"/>
      <c r="Q776" s="273"/>
      <c r="R776" s="273"/>
      <c r="S776" s="273"/>
      <c r="T776" s="273"/>
      <c r="U776" s="273"/>
      <c r="V776" s="273"/>
      <c r="W776" s="273"/>
      <c r="X776" s="273"/>
      <c r="Y776" s="273"/>
      <c r="Z776" s="273"/>
      <c r="AA776" s="273"/>
      <c r="AB776" s="273"/>
      <c r="AC776" s="273"/>
    </row>
    <row r="777" ht="75.0" customHeight="1">
      <c r="A777" s="273"/>
      <c r="B777" s="273"/>
      <c r="C777" s="273"/>
      <c r="D777" s="273"/>
      <c r="E777" s="273"/>
      <c r="F777" s="275"/>
      <c r="G777" s="273"/>
      <c r="H777" s="273"/>
      <c r="I777" s="275"/>
      <c r="J777" s="273"/>
      <c r="K777" s="273"/>
      <c r="L777" s="273"/>
      <c r="M777" s="273"/>
      <c r="N777" s="273"/>
      <c r="O777" s="273"/>
      <c r="P777" s="275"/>
      <c r="Q777" s="273"/>
      <c r="R777" s="273"/>
      <c r="S777" s="273"/>
      <c r="T777" s="273"/>
      <c r="U777" s="273"/>
      <c r="V777" s="273"/>
      <c r="W777" s="273"/>
      <c r="X777" s="273"/>
      <c r="Y777" s="273"/>
      <c r="Z777" s="273"/>
      <c r="AA777" s="273"/>
      <c r="AB777" s="273"/>
      <c r="AC777" s="273"/>
    </row>
    <row r="778" ht="75.0" customHeight="1">
      <c r="A778" s="273"/>
      <c r="B778" s="273"/>
      <c r="C778" s="273"/>
      <c r="D778" s="273"/>
      <c r="E778" s="273"/>
      <c r="F778" s="275"/>
      <c r="G778" s="273"/>
      <c r="H778" s="273"/>
      <c r="I778" s="275"/>
      <c r="J778" s="273"/>
      <c r="K778" s="273"/>
      <c r="L778" s="273"/>
      <c r="M778" s="273"/>
      <c r="N778" s="273"/>
      <c r="O778" s="273"/>
      <c r="P778" s="275"/>
      <c r="Q778" s="273"/>
      <c r="R778" s="273"/>
      <c r="S778" s="273"/>
      <c r="T778" s="273"/>
      <c r="U778" s="273"/>
      <c r="V778" s="273"/>
      <c r="W778" s="273"/>
      <c r="X778" s="273"/>
      <c r="Y778" s="273"/>
      <c r="Z778" s="273"/>
      <c r="AA778" s="273"/>
      <c r="AB778" s="273"/>
      <c r="AC778" s="273"/>
    </row>
    <row r="779" ht="75.0" customHeight="1">
      <c r="A779" s="273"/>
      <c r="B779" s="273"/>
      <c r="C779" s="273"/>
      <c r="D779" s="273"/>
      <c r="E779" s="273"/>
      <c r="F779" s="275"/>
      <c r="G779" s="273"/>
      <c r="H779" s="273"/>
      <c r="I779" s="275"/>
      <c r="J779" s="273"/>
      <c r="K779" s="273"/>
      <c r="L779" s="273"/>
      <c r="M779" s="273"/>
      <c r="N779" s="273"/>
      <c r="O779" s="273"/>
      <c r="P779" s="275"/>
      <c r="Q779" s="273"/>
      <c r="R779" s="273"/>
      <c r="S779" s="273"/>
      <c r="T779" s="273"/>
      <c r="U779" s="273"/>
      <c r="V779" s="273"/>
      <c r="W779" s="273"/>
      <c r="X779" s="273"/>
      <c r="Y779" s="273"/>
      <c r="Z779" s="273"/>
      <c r="AA779" s="273"/>
      <c r="AB779" s="273"/>
      <c r="AC779" s="273"/>
    </row>
    <row r="780" ht="75.0" customHeight="1">
      <c r="A780" s="273"/>
      <c r="B780" s="273"/>
      <c r="C780" s="273"/>
      <c r="D780" s="273"/>
      <c r="E780" s="273"/>
      <c r="F780" s="275"/>
      <c r="G780" s="273"/>
      <c r="H780" s="273"/>
      <c r="I780" s="275"/>
      <c r="J780" s="273"/>
      <c r="K780" s="273"/>
      <c r="L780" s="273"/>
      <c r="M780" s="273"/>
      <c r="N780" s="273"/>
      <c r="O780" s="273"/>
      <c r="P780" s="275"/>
      <c r="Q780" s="273"/>
      <c r="R780" s="273"/>
      <c r="S780" s="273"/>
      <c r="T780" s="273"/>
      <c r="U780" s="273"/>
      <c r="V780" s="273"/>
      <c r="W780" s="273"/>
      <c r="X780" s="273"/>
      <c r="Y780" s="273"/>
      <c r="Z780" s="273"/>
      <c r="AA780" s="273"/>
      <c r="AB780" s="273"/>
      <c r="AC780" s="273"/>
    </row>
    <row r="781" ht="75.0" customHeight="1">
      <c r="A781" s="273"/>
      <c r="B781" s="273"/>
      <c r="C781" s="273"/>
      <c r="D781" s="273"/>
      <c r="E781" s="273"/>
      <c r="F781" s="275"/>
      <c r="G781" s="273"/>
      <c r="H781" s="273"/>
      <c r="I781" s="275"/>
      <c r="J781" s="273"/>
      <c r="K781" s="273"/>
      <c r="L781" s="273"/>
      <c r="M781" s="273"/>
      <c r="N781" s="273"/>
      <c r="O781" s="273"/>
      <c r="P781" s="275"/>
      <c r="Q781" s="273"/>
      <c r="R781" s="273"/>
      <c r="S781" s="273"/>
      <c r="T781" s="273"/>
      <c r="U781" s="273"/>
      <c r="V781" s="273"/>
      <c r="W781" s="273"/>
      <c r="X781" s="273"/>
      <c r="Y781" s="273"/>
      <c r="Z781" s="273"/>
      <c r="AA781" s="273"/>
      <c r="AB781" s="273"/>
      <c r="AC781" s="273"/>
    </row>
    <row r="782" ht="75.0" customHeight="1">
      <c r="A782" s="273"/>
      <c r="B782" s="273"/>
      <c r="C782" s="273"/>
      <c r="D782" s="273"/>
      <c r="E782" s="273"/>
      <c r="F782" s="275"/>
      <c r="G782" s="273"/>
      <c r="H782" s="273"/>
      <c r="I782" s="275"/>
      <c r="J782" s="273"/>
      <c r="K782" s="273"/>
      <c r="L782" s="273"/>
      <c r="M782" s="273"/>
      <c r="N782" s="273"/>
      <c r="O782" s="273"/>
      <c r="P782" s="275"/>
      <c r="Q782" s="273"/>
      <c r="R782" s="273"/>
      <c r="S782" s="273"/>
      <c r="T782" s="273"/>
      <c r="U782" s="273"/>
      <c r="V782" s="273"/>
      <c r="W782" s="273"/>
      <c r="X782" s="273"/>
      <c r="Y782" s="273"/>
      <c r="Z782" s="273"/>
      <c r="AA782" s="273"/>
      <c r="AB782" s="273"/>
      <c r="AC782" s="273"/>
    </row>
    <row r="783" ht="75.0" customHeight="1">
      <c r="A783" s="273"/>
      <c r="B783" s="273"/>
      <c r="C783" s="273"/>
      <c r="D783" s="273"/>
      <c r="E783" s="273"/>
      <c r="F783" s="275"/>
      <c r="G783" s="273"/>
      <c r="H783" s="273"/>
      <c r="I783" s="275"/>
      <c r="J783" s="273"/>
      <c r="K783" s="273"/>
      <c r="L783" s="273"/>
      <c r="M783" s="273"/>
      <c r="N783" s="273"/>
      <c r="O783" s="273"/>
      <c r="P783" s="275"/>
      <c r="Q783" s="273"/>
      <c r="R783" s="273"/>
      <c r="S783" s="273"/>
      <c r="T783" s="273"/>
      <c r="U783" s="273"/>
      <c r="V783" s="273"/>
      <c r="W783" s="273"/>
      <c r="X783" s="273"/>
      <c r="Y783" s="273"/>
      <c r="Z783" s="273"/>
      <c r="AA783" s="273"/>
      <c r="AB783" s="273"/>
      <c r="AC783" s="273"/>
    </row>
    <row r="784" ht="75.0" customHeight="1">
      <c r="A784" s="273"/>
      <c r="B784" s="273"/>
      <c r="C784" s="273"/>
      <c r="D784" s="273"/>
      <c r="E784" s="273"/>
      <c r="F784" s="275"/>
      <c r="G784" s="273"/>
      <c r="H784" s="273"/>
      <c r="I784" s="275"/>
      <c r="J784" s="273"/>
      <c r="K784" s="273"/>
      <c r="L784" s="273"/>
      <c r="M784" s="273"/>
      <c r="N784" s="273"/>
      <c r="O784" s="273"/>
      <c r="P784" s="275"/>
      <c r="Q784" s="273"/>
      <c r="R784" s="273"/>
      <c r="S784" s="273"/>
      <c r="T784" s="273"/>
      <c r="U784" s="273"/>
      <c r="V784" s="273"/>
      <c r="W784" s="273"/>
      <c r="X784" s="273"/>
      <c r="Y784" s="273"/>
      <c r="Z784" s="273"/>
      <c r="AA784" s="273"/>
      <c r="AB784" s="273"/>
      <c r="AC784" s="273"/>
    </row>
    <row r="785" ht="75.0" customHeight="1">
      <c r="A785" s="273"/>
      <c r="B785" s="273"/>
      <c r="C785" s="273"/>
      <c r="D785" s="273"/>
      <c r="E785" s="273"/>
      <c r="F785" s="275"/>
      <c r="G785" s="273"/>
      <c r="H785" s="273"/>
      <c r="I785" s="275"/>
      <c r="J785" s="273"/>
      <c r="K785" s="273"/>
      <c r="L785" s="273"/>
      <c r="M785" s="273"/>
      <c r="N785" s="273"/>
      <c r="O785" s="273"/>
      <c r="P785" s="275"/>
      <c r="Q785" s="273"/>
      <c r="R785" s="273"/>
      <c r="S785" s="273"/>
      <c r="T785" s="273"/>
      <c r="U785" s="273"/>
      <c r="V785" s="273"/>
      <c r="W785" s="273"/>
      <c r="X785" s="273"/>
      <c r="Y785" s="273"/>
      <c r="Z785" s="273"/>
      <c r="AA785" s="273"/>
      <c r="AB785" s="273"/>
      <c r="AC785" s="273"/>
    </row>
    <row r="786" ht="75.0" customHeight="1">
      <c r="A786" s="273"/>
      <c r="B786" s="273"/>
      <c r="C786" s="273"/>
      <c r="D786" s="273"/>
      <c r="E786" s="273"/>
      <c r="F786" s="275"/>
      <c r="G786" s="273"/>
      <c r="H786" s="273"/>
      <c r="I786" s="275"/>
      <c r="J786" s="273"/>
      <c r="K786" s="273"/>
      <c r="L786" s="273"/>
      <c r="M786" s="273"/>
      <c r="N786" s="273"/>
      <c r="O786" s="273"/>
      <c r="P786" s="275"/>
      <c r="Q786" s="273"/>
      <c r="R786" s="273"/>
      <c r="S786" s="273"/>
      <c r="T786" s="273"/>
      <c r="U786" s="273"/>
      <c r="V786" s="273"/>
      <c r="W786" s="273"/>
      <c r="X786" s="273"/>
      <c r="Y786" s="273"/>
      <c r="Z786" s="273"/>
      <c r="AA786" s="273"/>
      <c r="AB786" s="273"/>
      <c r="AC786" s="273"/>
    </row>
    <row r="787" ht="75.0" customHeight="1">
      <c r="A787" s="273"/>
      <c r="B787" s="273"/>
      <c r="C787" s="273"/>
      <c r="D787" s="273"/>
      <c r="E787" s="273"/>
      <c r="F787" s="275"/>
      <c r="G787" s="273"/>
      <c r="H787" s="273"/>
      <c r="I787" s="275"/>
      <c r="J787" s="273"/>
      <c r="K787" s="273"/>
      <c r="L787" s="273"/>
      <c r="M787" s="273"/>
      <c r="N787" s="273"/>
      <c r="O787" s="273"/>
      <c r="P787" s="275"/>
      <c r="Q787" s="273"/>
      <c r="R787" s="273"/>
      <c r="S787" s="273"/>
      <c r="T787" s="273"/>
      <c r="U787" s="273"/>
      <c r="V787" s="273"/>
      <c r="W787" s="273"/>
      <c r="X787" s="273"/>
      <c r="Y787" s="273"/>
      <c r="Z787" s="273"/>
      <c r="AA787" s="273"/>
      <c r="AB787" s="273"/>
      <c r="AC787" s="273"/>
    </row>
    <row r="788" ht="75.0" customHeight="1">
      <c r="A788" s="273"/>
      <c r="B788" s="273"/>
      <c r="C788" s="273"/>
      <c r="D788" s="273"/>
      <c r="E788" s="273"/>
      <c r="F788" s="275"/>
      <c r="G788" s="273"/>
      <c r="H788" s="273"/>
      <c r="I788" s="275"/>
      <c r="J788" s="273"/>
      <c r="K788" s="273"/>
      <c r="L788" s="273"/>
      <c r="M788" s="273"/>
      <c r="N788" s="273"/>
      <c r="O788" s="273"/>
      <c r="P788" s="275"/>
      <c r="Q788" s="273"/>
      <c r="R788" s="273"/>
      <c r="S788" s="273"/>
      <c r="T788" s="273"/>
      <c r="U788" s="273"/>
      <c r="V788" s="273"/>
      <c r="W788" s="273"/>
      <c r="X788" s="273"/>
      <c r="Y788" s="273"/>
      <c r="Z788" s="273"/>
      <c r="AA788" s="273"/>
      <c r="AB788" s="273"/>
      <c r="AC788" s="273"/>
    </row>
    <row r="789" ht="75.0" customHeight="1">
      <c r="A789" s="273"/>
      <c r="B789" s="273"/>
      <c r="C789" s="273"/>
      <c r="D789" s="273"/>
      <c r="E789" s="273"/>
      <c r="F789" s="275"/>
      <c r="G789" s="273"/>
      <c r="H789" s="273"/>
      <c r="I789" s="275"/>
      <c r="J789" s="273"/>
      <c r="K789" s="273"/>
      <c r="L789" s="273"/>
      <c r="M789" s="273"/>
      <c r="N789" s="273"/>
      <c r="O789" s="273"/>
      <c r="P789" s="275"/>
      <c r="Q789" s="273"/>
      <c r="R789" s="273"/>
      <c r="S789" s="273"/>
      <c r="T789" s="273"/>
      <c r="U789" s="273"/>
      <c r="V789" s="273"/>
      <c r="W789" s="273"/>
      <c r="X789" s="273"/>
      <c r="Y789" s="273"/>
      <c r="Z789" s="273"/>
      <c r="AA789" s="273"/>
      <c r="AB789" s="273"/>
      <c r="AC789" s="273"/>
    </row>
    <row r="790" ht="75.0" customHeight="1">
      <c r="A790" s="273"/>
      <c r="B790" s="273"/>
      <c r="C790" s="273"/>
      <c r="D790" s="273"/>
      <c r="E790" s="273"/>
      <c r="F790" s="275"/>
      <c r="G790" s="273"/>
      <c r="H790" s="273"/>
      <c r="I790" s="275"/>
      <c r="J790" s="273"/>
      <c r="K790" s="273"/>
      <c r="L790" s="273"/>
      <c r="M790" s="273"/>
      <c r="N790" s="273"/>
      <c r="O790" s="273"/>
      <c r="P790" s="275"/>
      <c r="Q790" s="273"/>
      <c r="R790" s="273"/>
      <c r="S790" s="273"/>
      <c r="T790" s="273"/>
      <c r="U790" s="273"/>
      <c r="V790" s="273"/>
      <c r="W790" s="273"/>
      <c r="X790" s="273"/>
      <c r="Y790" s="273"/>
      <c r="Z790" s="273"/>
      <c r="AA790" s="273"/>
      <c r="AB790" s="273"/>
      <c r="AC790" s="273"/>
    </row>
    <row r="791" ht="75.0" customHeight="1">
      <c r="A791" s="273"/>
      <c r="B791" s="273"/>
      <c r="C791" s="273"/>
      <c r="D791" s="273"/>
      <c r="E791" s="273"/>
      <c r="F791" s="275"/>
      <c r="G791" s="273"/>
      <c r="H791" s="273"/>
      <c r="I791" s="275"/>
      <c r="J791" s="273"/>
      <c r="K791" s="273"/>
      <c r="L791" s="273"/>
      <c r="M791" s="273"/>
      <c r="N791" s="273"/>
      <c r="O791" s="273"/>
      <c r="P791" s="275"/>
      <c r="Q791" s="273"/>
      <c r="R791" s="273"/>
      <c r="S791" s="273"/>
      <c r="T791" s="273"/>
      <c r="U791" s="273"/>
      <c r="V791" s="273"/>
      <c r="W791" s="273"/>
      <c r="X791" s="273"/>
      <c r="Y791" s="273"/>
      <c r="Z791" s="273"/>
      <c r="AA791" s="273"/>
      <c r="AB791" s="273"/>
      <c r="AC791" s="273"/>
    </row>
    <row r="792" ht="75.0" customHeight="1">
      <c r="A792" s="273"/>
      <c r="B792" s="273"/>
      <c r="C792" s="273"/>
      <c r="D792" s="273"/>
      <c r="E792" s="273"/>
      <c r="F792" s="275"/>
      <c r="G792" s="273"/>
      <c r="H792" s="273"/>
      <c r="I792" s="275"/>
      <c r="J792" s="273"/>
      <c r="K792" s="273"/>
      <c r="L792" s="273"/>
      <c r="M792" s="273"/>
      <c r="N792" s="273"/>
      <c r="O792" s="273"/>
      <c r="P792" s="275"/>
      <c r="Q792" s="273"/>
      <c r="R792" s="273"/>
      <c r="S792" s="273"/>
      <c r="T792" s="273"/>
      <c r="U792" s="273"/>
      <c r="V792" s="273"/>
      <c r="W792" s="273"/>
      <c r="X792" s="273"/>
      <c r="Y792" s="273"/>
      <c r="Z792" s="273"/>
      <c r="AA792" s="273"/>
      <c r="AB792" s="273"/>
      <c r="AC792" s="273"/>
    </row>
    <row r="793" ht="75.0" customHeight="1">
      <c r="A793" s="273"/>
      <c r="B793" s="273"/>
      <c r="C793" s="273"/>
      <c r="D793" s="273"/>
      <c r="E793" s="273"/>
      <c r="F793" s="275"/>
      <c r="G793" s="273"/>
      <c r="H793" s="273"/>
      <c r="I793" s="275"/>
      <c r="J793" s="273"/>
      <c r="K793" s="273"/>
      <c r="L793" s="273"/>
      <c r="M793" s="273"/>
      <c r="N793" s="273"/>
      <c r="O793" s="273"/>
      <c r="P793" s="275"/>
      <c r="Q793" s="273"/>
      <c r="R793" s="273"/>
      <c r="S793" s="273"/>
      <c r="T793" s="273"/>
      <c r="U793" s="273"/>
      <c r="V793" s="273"/>
      <c r="W793" s="273"/>
      <c r="X793" s="273"/>
      <c r="Y793" s="273"/>
      <c r="Z793" s="273"/>
      <c r="AA793" s="273"/>
      <c r="AB793" s="273"/>
      <c r="AC793" s="273"/>
    </row>
    <row r="794" ht="75.0" customHeight="1">
      <c r="A794" s="273"/>
      <c r="B794" s="273"/>
      <c r="C794" s="273"/>
      <c r="D794" s="273"/>
      <c r="E794" s="273"/>
      <c r="F794" s="275"/>
      <c r="G794" s="273"/>
      <c r="H794" s="273"/>
      <c r="I794" s="275"/>
      <c r="J794" s="273"/>
      <c r="K794" s="273"/>
      <c r="L794" s="273"/>
      <c r="M794" s="273"/>
      <c r="N794" s="273"/>
      <c r="O794" s="273"/>
      <c r="P794" s="275"/>
      <c r="Q794" s="273"/>
      <c r="R794" s="273"/>
      <c r="S794" s="273"/>
      <c r="T794" s="273"/>
      <c r="U794" s="273"/>
      <c r="V794" s="273"/>
      <c r="W794" s="273"/>
      <c r="X794" s="273"/>
      <c r="Y794" s="273"/>
      <c r="Z794" s="273"/>
      <c r="AA794" s="273"/>
      <c r="AB794" s="273"/>
      <c r="AC794" s="273"/>
    </row>
    <row r="795" ht="75.0" customHeight="1">
      <c r="A795" s="273"/>
      <c r="B795" s="273"/>
      <c r="C795" s="273"/>
      <c r="D795" s="273"/>
      <c r="E795" s="273"/>
      <c r="F795" s="275"/>
      <c r="G795" s="273"/>
      <c r="H795" s="273"/>
      <c r="I795" s="275"/>
      <c r="J795" s="273"/>
      <c r="K795" s="273"/>
      <c r="L795" s="273"/>
      <c r="M795" s="273"/>
      <c r="N795" s="273"/>
      <c r="O795" s="273"/>
      <c r="P795" s="275"/>
      <c r="Q795" s="273"/>
      <c r="R795" s="273"/>
      <c r="S795" s="273"/>
      <c r="T795" s="273"/>
      <c r="U795" s="273"/>
      <c r="V795" s="273"/>
      <c r="W795" s="273"/>
      <c r="X795" s="273"/>
      <c r="Y795" s="273"/>
      <c r="Z795" s="273"/>
      <c r="AA795" s="273"/>
      <c r="AB795" s="273"/>
      <c r="AC795" s="273"/>
    </row>
    <row r="796" ht="75.0" customHeight="1">
      <c r="A796" s="273"/>
      <c r="B796" s="273"/>
      <c r="C796" s="273"/>
      <c r="D796" s="273"/>
      <c r="E796" s="273"/>
      <c r="F796" s="275"/>
      <c r="G796" s="273"/>
      <c r="H796" s="273"/>
      <c r="I796" s="275"/>
      <c r="J796" s="273"/>
      <c r="K796" s="273"/>
      <c r="L796" s="273"/>
      <c r="M796" s="273"/>
      <c r="N796" s="273"/>
      <c r="O796" s="273"/>
      <c r="P796" s="275"/>
      <c r="Q796" s="273"/>
      <c r="R796" s="273"/>
      <c r="S796" s="273"/>
      <c r="T796" s="273"/>
      <c r="U796" s="273"/>
      <c r="V796" s="273"/>
      <c r="W796" s="273"/>
      <c r="X796" s="273"/>
      <c r="Y796" s="273"/>
      <c r="Z796" s="273"/>
      <c r="AA796" s="273"/>
      <c r="AB796" s="273"/>
      <c r="AC796" s="273"/>
    </row>
    <row r="797" ht="75.0" customHeight="1">
      <c r="A797" s="273"/>
      <c r="B797" s="273"/>
      <c r="C797" s="273"/>
      <c r="D797" s="273"/>
      <c r="E797" s="273"/>
      <c r="F797" s="275"/>
      <c r="G797" s="273"/>
      <c r="H797" s="273"/>
      <c r="I797" s="275"/>
      <c r="J797" s="273"/>
      <c r="K797" s="273"/>
      <c r="L797" s="273"/>
      <c r="M797" s="273"/>
      <c r="N797" s="273"/>
      <c r="O797" s="273"/>
      <c r="P797" s="275"/>
      <c r="Q797" s="273"/>
      <c r="R797" s="273"/>
      <c r="S797" s="273"/>
      <c r="T797" s="273"/>
      <c r="U797" s="273"/>
      <c r="V797" s="273"/>
      <c r="W797" s="273"/>
      <c r="X797" s="273"/>
      <c r="Y797" s="273"/>
      <c r="Z797" s="273"/>
      <c r="AA797" s="273"/>
      <c r="AB797" s="273"/>
      <c r="AC797" s="273"/>
    </row>
    <row r="798" ht="75.0" customHeight="1">
      <c r="A798" s="273"/>
      <c r="B798" s="273"/>
      <c r="C798" s="273"/>
      <c r="D798" s="273"/>
      <c r="E798" s="273"/>
      <c r="F798" s="275"/>
      <c r="G798" s="273"/>
      <c r="H798" s="273"/>
      <c r="I798" s="275"/>
      <c r="J798" s="273"/>
      <c r="K798" s="273"/>
      <c r="L798" s="273"/>
      <c r="M798" s="273"/>
      <c r="N798" s="273"/>
      <c r="O798" s="273"/>
      <c r="P798" s="275"/>
      <c r="Q798" s="273"/>
      <c r="R798" s="273"/>
      <c r="S798" s="273"/>
      <c r="T798" s="273"/>
      <c r="U798" s="273"/>
      <c r="V798" s="273"/>
      <c r="W798" s="273"/>
      <c r="X798" s="273"/>
      <c r="Y798" s="273"/>
      <c r="Z798" s="273"/>
      <c r="AA798" s="273"/>
      <c r="AB798" s="273"/>
      <c r="AC798" s="273"/>
    </row>
    <row r="799" ht="75.0" customHeight="1">
      <c r="A799" s="273"/>
      <c r="B799" s="273"/>
      <c r="C799" s="273"/>
      <c r="D799" s="273"/>
      <c r="E799" s="273"/>
      <c r="F799" s="275"/>
      <c r="G799" s="273"/>
      <c r="H799" s="273"/>
      <c r="I799" s="275"/>
      <c r="J799" s="273"/>
      <c r="K799" s="273"/>
      <c r="L799" s="273"/>
      <c r="M799" s="273"/>
      <c r="N799" s="273"/>
      <c r="O799" s="273"/>
      <c r="P799" s="275"/>
      <c r="Q799" s="273"/>
      <c r="R799" s="273"/>
      <c r="S799" s="273"/>
      <c r="T799" s="273"/>
      <c r="U799" s="273"/>
      <c r="V799" s="273"/>
      <c r="W799" s="273"/>
      <c r="X799" s="273"/>
      <c r="Y799" s="273"/>
      <c r="Z799" s="273"/>
      <c r="AA799" s="273"/>
      <c r="AB799" s="273"/>
      <c r="AC799" s="273"/>
    </row>
    <row r="800" ht="75.0" customHeight="1">
      <c r="A800" s="273"/>
      <c r="B800" s="273"/>
      <c r="C800" s="273"/>
      <c r="D800" s="273"/>
      <c r="E800" s="273"/>
      <c r="F800" s="275"/>
      <c r="G800" s="273"/>
      <c r="H800" s="273"/>
      <c r="I800" s="275"/>
      <c r="J800" s="273"/>
      <c r="K800" s="273"/>
      <c r="L800" s="273"/>
      <c r="M800" s="273"/>
      <c r="N800" s="273"/>
      <c r="O800" s="273"/>
      <c r="P800" s="275"/>
      <c r="Q800" s="273"/>
      <c r="R800" s="273"/>
      <c r="S800" s="273"/>
      <c r="T800" s="273"/>
      <c r="U800" s="273"/>
      <c r="V800" s="273"/>
      <c r="W800" s="273"/>
      <c r="X800" s="273"/>
      <c r="Y800" s="273"/>
      <c r="Z800" s="273"/>
      <c r="AA800" s="273"/>
      <c r="AB800" s="273"/>
      <c r="AC800" s="273"/>
    </row>
    <row r="801" ht="75.0" customHeight="1">
      <c r="A801" s="273"/>
      <c r="B801" s="273"/>
      <c r="C801" s="273"/>
      <c r="D801" s="273"/>
      <c r="E801" s="273"/>
      <c r="F801" s="275"/>
      <c r="G801" s="273"/>
      <c r="H801" s="273"/>
      <c r="I801" s="275"/>
      <c r="J801" s="273"/>
      <c r="K801" s="273"/>
      <c r="L801" s="273"/>
      <c r="M801" s="273"/>
      <c r="N801" s="273"/>
      <c r="O801" s="273"/>
      <c r="P801" s="275"/>
      <c r="Q801" s="273"/>
      <c r="R801" s="273"/>
      <c r="S801" s="273"/>
      <c r="T801" s="273"/>
      <c r="U801" s="273"/>
      <c r="V801" s="273"/>
      <c r="W801" s="273"/>
      <c r="X801" s="273"/>
      <c r="Y801" s="273"/>
      <c r="Z801" s="273"/>
      <c r="AA801" s="273"/>
      <c r="AB801" s="273"/>
      <c r="AC801" s="273"/>
    </row>
    <row r="802" ht="75.0" customHeight="1">
      <c r="A802" s="273"/>
      <c r="B802" s="273"/>
      <c r="C802" s="273"/>
      <c r="D802" s="273"/>
      <c r="E802" s="273"/>
      <c r="F802" s="275"/>
      <c r="G802" s="273"/>
      <c r="H802" s="273"/>
      <c r="I802" s="275"/>
      <c r="J802" s="273"/>
      <c r="K802" s="273"/>
      <c r="L802" s="273"/>
      <c r="M802" s="273"/>
      <c r="N802" s="273"/>
      <c r="O802" s="273"/>
      <c r="P802" s="275"/>
      <c r="Q802" s="273"/>
      <c r="R802" s="273"/>
      <c r="S802" s="273"/>
      <c r="T802" s="273"/>
      <c r="U802" s="273"/>
      <c r="V802" s="273"/>
      <c r="W802" s="273"/>
      <c r="X802" s="273"/>
      <c r="Y802" s="273"/>
      <c r="Z802" s="273"/>
      <c r="AA802" s="273"/>
      <c r="AB802" s="273"/>
      <c r="AC802" s="273"/>
    </row>
    <row r="803" ht="75.0" customHeight="1">
      <c r="A803" s="273"/>
      <c r="B803" s="273"/>
      <c r="C803" s="273"/>
      <c r="D803" s="273"/>
      <c r="E803" s="273"/>
      <c r="F803" s="275"/>
      <c r="G803" s="273"/>
      <c r="H803" s="273"/>
      <c r="I803" s="275"/>
      <c r="J803" s="273"/>
      <c r="K803" s="273"/>
      <c r="L803" s="273"/>
      <c r="M803" s="273"/>
      <c r="N803" s="273"/>
      <c r="O803" s="273"/>
      <c r="P803" s="275"/>
      <c r="Q803" s="273"/>
      <c r="R803" s="273"/>
      <c r="S803" s="273"/>
      <c r="T803" s="273"/>
      <c r="U803" s="273"/>
      <c r="V803" s="273"/>
      <c r="W803" s="273"/>
      <c r="X803" s="273"/>
      <c r="Y803" s="273"/>
      <c r="Z803" s="273"/>
      <c r="AA803" s="273"/>
      <c r="AB803" s="273"/>
      <c r="AC803" s="273"/>
    </row>
    <row r="804" ht="75.0" customHeight="1">
      <c r="A804" s="273"/>
      <c r="B804" s="273"/>
      <c r="C804" s="273"/>
      <c r="D804" s="273"/>
      <c r="E804" s="273"/>
      <c r="F804" s="275"/>
      <c r="G804" s="273"/>
      <c r="H804" s="273"/>
      <c r="I804" s="275"/>
      <c r="J804" s="273"/>
      <c r="K804" s="273"/>
      <c r="L804" s="273"/>
      <c r="M804" s="273"/>
      <c r="N804" s="273"/>
      <c r="O804" s="273"/>
      <c r="P804" s="275"/>
      <c r="Q804" s="273"/>
      <c r="R804" s="273"/>
      <c r="S804" s="273"/>
      <c r="T804" s="273"/>
      <c r="U804" s="273"/>
      <c r="V804" s="273"/>
      <c r="W804" s="273"/>
      <c r="X804" s="273"/>
      <c r="Y804" s="273"/>
      <c r="Z804" s="273"/>
      <c r="AA804" s="273"/>
      <c r="AB804" s="273"/>
      <c r="AC804" s="273"/>
    </row>
    <row r="805" ht="75.0" customHeight="1">
      <c r="A805" s="273"/>
      <c r="B805" s="273"/>
      <c r="C805" s="273"/>
      <c r="D805" s="273"/>
      <c r="E805" s="273"/>
      <c r="F805" s="275"/>
      <c r="G805" s="273"/>
      <c r="H805" s="273"/>
      <c r="I805" s="275"/>
      <c r="J805" s="273"/>
      <c r="K805" s="273"/>
      <c r="L805" s="273"/>
      <c r="M805" s="273"/>
      <c r="N805" s="273"/>
      <c r="O805" s="273"/>
      <c r="P805" s="275"/>
      <c r="Q805" s="273"/>
      <c r="R805" s="273"/>
      <c r="S805" s="273"/>
      <c r="T805" s="273"/>
      <c r="U805" s="273"/>
      <c r="V805" s="273"/>
      <c r="W805" s="273"/>
      <c r="X805" s="273"/>
      <c r="Y805" s="273"/>
      <c r="Z805" s="273"/>
      <c r="AA805" s="273"/>
      <c r="AB805" s="273"/>
      <c r="AC805" s="273"/>
    </row>
    <row r="806" ht="75.0" customHeight="1">
      <c r="A806" s="273"/>
      <c r="B806" s="273"/>
      <c r="C806" s="273"/>
      <c r="D806" s="273"/>
      <c r="E806" s="273"/>
      <c r="F806" s="275"/>
      <c r="G806" s="273"/>
      <c r="H806" s="273"/>
      <c r="I806" s="275"/>
      <c r="J806" s="273"/>
      <c r="K806" s="273"/>
      <c r="L806" s="273"/>
      <c r="M806" s="273"/>
      <c r="N806" s="273"/>
      <c r="O806" s="273"/>
      <c r="P806" s="275"/>
      <c r="Q806" s="273"/>
      <c r="R806" s="273"/>
      <c r="S806" s="273"/>
      <c r="T806" s="273"/>
      <c r="U806" s="273"/>
      <c r="V806" s="273"/>
      <c r="W806" s="273"/>
      <c r="X806" s="273"/>
      <c r="Y806" s="273"/>
      <c r="Z806" s="273"/>
      <c r="AA806" s="273"/>
      <c r="AB806" s="273"/>
      <c r="AC806" s="273"/>
    </row>
    <row r="807" ht="75.0" customHeight="1">
      <c r="A807" s="273"/>
      <c r="B807" s="273"/>
      <c r="C807" s="273"/>
      <c r="D807" s="273"/>
      <c r="E807" s="273"/>
      <c r="F807" s="275"/>
      <c r="G807" s="273"/>
      <c r="H807" s="273"/>
      <c r="I807" s="275"/>
      <c r="J807" s="273"/>
      <c r="K807" s="273"/>
      <c r="L807" s="273"/>
      <c r="M807" s="273"/>
      <c r="N807" s="273"/>
      <c r="O807" s="273"/>
      <c r="P807" s="275"/>
      <c r="Q807" s="273"/>
      <c r="R807" s="273"/>
      <c r="S807" s="273"/>
      <c r="T807" s="273"/>
      <c r="U807" s="273"/>
      <c r="V807" s="273"/>
      <c r="W807" s="273"/>
      <c r="X807" s="273"/>
      <c r="Y807" s="273"/>
      <c r="Z807" s="273"/>
      <c r="AA807" s="273"/>
      <c r="AB807" s="273"/>
      <c r="AC807" s="273"/>
    </row>
    <row r="808" ht="75.0" customHeight="1">
      <c r="A808" s="273"/>
      <c r="B808" s="273"/>
      <c r="C808" s="273"/>
      <c r="D808" s="273"/>
      <c r="E808" s="273"/>
      <c r="F808" s="275"/>
      <c r="G808" s="273"/>
      <c r="H808" s="273"/>
      <c r="I808" s="275"/>
      <c r="J808" s="273"/>
      <c r="K808" s="273"/>
      <c r="L808" s="273"/>
      <c r="M808" s="273"/>
      <c r="N808" s="273"/>
      <c r="O808" s="273"/>
      <c r="P808" s="275"/>
      <c r="Q808" s="273"/>
      <c r="R808" s="273"/>
      <c r="S808" s="273"/>
      <c r="T808" s="273"/>
      <c r="U808" s="273"/>
      <c r="V808" s="273"/>
      <c r="W808" s="273"/>
      <c r="X808" s="273"/>
      <c r="Y808" s="273"/>
      <c r="Z808" s="273"/>
      <c r="AA808" s="273"/>
      <c r="AB808" s="273"/>
      <c r="AC808" s="273"/>
    </row>
    <row r="809" ht="75.0" customHeight="1">
      <c r="A809" s="273"/>
      <c r="B809" s="273"/>
      <c r="C809" s="273"/>
      <c r="D809" s="273"/>
      <c r="E809" s="273"/>
      <c r="F809" s="275"/>
      <c r="G809" s="273"/>
      <c r="H809" s="273"/>
      <c r="I809" s="275"/>
      <c r="J809" s="273"/>
      <c r="K809" s="273"/>
      <c r="L809" s="273"/>
      <c r="M809" s="273"/>
      <c r="N809" s="273"/>
      <c r="O809" s="273"/>
      <c r="P809" s="275"/>
      <c r="Q809" s="273"/>
      <c r="R809" s="273"/>
      <c r="S809" s="273"/>
      <c r="T809" s="273"/>
      <c r="U809" s="273"/>
      <c r="V809" s="273"/>
      <c r="W809" s="273"/>
      <c r="X809" s="273"/>
      <c r="Y809" s="273"/>
      <c r="Z809" s="273"/>
      <c r="AA809" s="273"/>
      <c r="AB809" s="273"/>
      <c r="AC809" s="273"/>
    </row>
    <row r="810" ht="75.0" customHeight="1">
      <c r="A810" s="273"/>
      <c r="B810" s="273"/>
      <c r="C810" s="273"/>
      <c r="D810" s="273"/>
      <c r="E810" s="273"/>
      <c r="F810" s="275"/>
      <c r="G810" s="273"/>
      <c r="H810" s="273"/>
      <c r="I810" s="275"/>
      <c r="J810" s="273"/>
      <c r="K810" s="273"/>
      <c r="L810" s="273"/>
      <c r="M810" s="273"/>
      <c r="N810" s="273"/>
      <c r="O810" s="273"/>
      <c r="P810" s="275"/>
      <c r="Q810" s="273"/>
      <c r="R810" s="273"/>
      <c r="S810" s="273"/>
      <c r="T810" s="273"/>
      <c r="U810" s="273"/>
      <c r="V810" s="273"/>
      <c r="W810" s="273"/>
      <c r="X810" s="273"/>
      <c r="Y810" s="273"/>
      <c r="Z810" s="273"/>
      <c r="AA810" s="273"/>
      <c r="AB810" s="273"/>
      <c r="AC810" s="273"/>
    </row>
    <row r="811" ht="75.0" customHeight="1">
      <c r="A811" s="273"/>
      <c r="B811" s="273"/>
      <c r="C811" s="273"/>
      <c r="D811" s="273"/>
      <c r="E811" s="273"/>
      <c r="F811" s="275"/>
      <c r="G811" s="273"/>
      <c r="H811" s="273"/>
      <c r="I811" s="275"/>
      <c r="J811" s="273"/>
      <c r="K811" s="273"/>
      <c r="L811" s="273"/>
      <c r="M811" s="273"/>
      <c r="N811" s="273"/>
      <c r="O811" s="273"/>
      <c r="P811" s="275"/>
      <c r="Q811" s="273"/>
      <c r="R811" s="273"/>
      <c r="S811" s="273"/>
      <c r="T811" s="273"/>
      <c r="U811" s="273"/>
      <c r="V811" s="273"/>
      <c r="W811" s="273"/>
      <c r="X811" s="273"/>
      <c r="Y811" s="273"/>
      <c r="Z811" s="273"/>
      <c r="AA811" s="273"/>
      <c r="AB811" s="273"/>
      <c r="AC811" s="273"/>
    </row>
    <row r="812" ht="75.0" customHeight="1">
      <c r="A812" s="273"/>
      <c r="B812" s="273"/>
      <c r="C812" s="273"/>
      <c r="D812" s="273"/>
      <c r="E812" s="273"/>
      <c r="F812" s="275"/>
      <c r="G812" s="273"/>
      <c r="H812" s="273"/>
      <c r="I812" s="275"/>
      <c r="J812" s="273"/>
      <c r="K812" s="273"/>
      <c r="L812" s="273"/>
      <c r="M812" s="273"/>
      <c r="N812" s="273"/>
      <c r="O812" s="273"/>
      <c r="P812" s="275"/>
      <c r="Q812" s="273"/>
      <c r="R812" s="273"/>
      <c r="S812" s="273"/>
      <c r="T812" s="273"/>
      <c r="U812" s="273"/>
      <c r="V812" s="273"/>
      <c r="W812" s="273"/>
      <c r="X812" s="273"/>
      <c r="Y812" s="273"/>
      <c r="Z812" s="273"/>
      <c r="AA812" s="273"/>
      <c r="AB812" s="273"/>
      <c r="AC812" s="273"/>
    </row>
    <row r="813" ht="75.0" customHeight="1">
      <c r="A813" s="273"/>
      <c r="B813" s="273"/>
      <c r="C813" s="273"/>
      <c r="D813" s="273"/>
      <c r="E813" s="273"/>
      <c r="F813" s="275"/>
      <c r="G813" s="273"/>
      <c r="H813" s="273"/>
      <c r="I813" s="275"/>
      <c r="J813" s="273"/>
      <c r="K813" s="273"/>
      <c r="L813" s="273"/>
      <c r="M813" s="273"/>
      <c r="N813" s="273"/>
      <c r="O813" s="273"/>
      <c r="P813" s="275"/>
      <c r="Q813" s="273"/>
      <c r="R813" s="273"/>
      <c r="S813" s="273"/>
      <c r="T813" s="273"/>
      <c r="U813" s="273"/>
      <c r="V813" s="273"/>
      <c r="W813" s="273"/>
      <c r="X813" s="273"/>
      <c r="Y813" s="273"/>
      <c r="Z813" s="273"/>
      <c r="AA813" s="273"/>
      <c r="AB813" s="273"/>
      <c r="AC813" s="273"/>
    </row>
    <row r="814" ht="75.0" customHeight="1">
      <c r="A814" s="273"/>
      <c r="B814" s="273"/>
      <c r="C814" s="273"/>
      <c r="D814" s="273"/>
      <c r="E814" s="273"/>
      <c r="F814" s="275"/>
      <c r="G814" s="273"/>
      <c r="H814" s="273"/>
      <c r="I814" s="275"/>
      <c r="J814" s="273"/>
      <c r="K814" s="273"/>
      <c r="L814" s="273"/>
      <c r="M814" s="273"/>
      <c r="N814" s="273"/>
      <c r="O814" s="273"/>
      <c r="P814" s="275"/>
      <c r="Q814" s="273"/>
      <c r="R814" s="273"/>
      <c r="S814" s="273"/>
      <c r="T814" s="273"/>
      <c r="U814" s="273"/>
      <c r="V814" s="273"/>
      <c r="W814" s="273"/>
      <c r="X814" s="273"/>
      <c r="Y814" s="273"/>
      <c r="Z814" s="273"/>
      <c r="AA814" s="273"/>
      <c r="AB814" s="273"/>
      <c r="AC814" s="273"/>
    </row>
    <row r="815" ht="75.0" customHeight="1">
      <c r="A815" s="273"/>
      <c r="B815" s="273"/>
      <c r="C815" s="273"/>
      <c r="D815" s="273"/>
      <c r="E815" s="273"/>
      <c r="F815" s="275"/>
      <c r="G815" s="273"/>
      <c r="H815" s="273"/>
      <c r="I815" s="275"/>
      <c r="J815" s="273"/>
      <c r="K815" s="273"/>
      <c r="L815" s="273"/>
      <c r="M815" s="273"/>
      <c r="N815" s="273"/>
      <c r="O815" s="273"/>
      <c r="P815" s="275"/>
      <c r="Q815" s="273"/>
      <c r="R815" s="273"/>
      <c r="S815" s="273"/>
      <c r="T815" s="273"/>
      <c r="U815" s="273"/>
      <c r="V815" s="273"/>
      <c r="W815" s="273"/>
      <c r="X815" s="273"/>
      <c r="Y815" s="273"/>
      <c r="Z815" s="273"/>
      <c r="AA815" s="273"/>
      <c r="AB815" s="273"/>
      <c r="AC815" s="273"/>
    </row>
    <row r="816" ht="75.0" customHeight="1">
      <c r="A816" s="273"/>
      <c r="B816" s="273"/>
      <c r="C816" s="273"/>
      <c r="D816" s="273"/>
      <c r="E816" s="273"/>
      <c r="F816" s="275"/>
      <c r="G816" s="273"/>
      <c r="H816" s="273"/>
      <c r="I816" s="275"/>
      <c r="J816" s="273"/>
      <c r="K816" s="273"/>
      <c r="L816" s="273"/>
      <c r="M816" s="273"/>
      <c r="N816" s="273"/>
      <c r="O816" s="273"/>
      <c r="P816" s="275"/>
      <c r="Q816" s="273"/>
      <c r="R816" s="273"/>
      <c r="S816" s="273"/>
      <c r="T816" s="273"/>
      <c r="U816" s="273"/>
      <c r="V816" s="273"/>
      <c r="W816" s="273"/>
      <c r="X816" s="273"/>
      <c r="Y816" s="273"/>
      <c r="Z816" s="273"/>
      <c r="AA816" s="273"/>
      <c r="AB816" s="273"/>
      <c r="AC816" s="273"/>
    </row>
    <row r="817" ht="75.0" customHeight="1">
      <c r="A817" s="273"/>
      <c r="B817" s="273"/>
      <c r="C817" s="273"/>
      <c r="D817" s="273"/>
      <c r="E817" s="273"/>
      <c r="F817" s="275"/>
      <c r="G817" s="273"/>
      <c r="H817" s="273"/>
      <c r="I817" s="275"/>
      <c r="J817" s="273"/>
      <c r="K817" s="273"/>
      <c r="L817" s="273"/>
      <c r="M817" s="273"/>
      <c r="N817" s="273"/>
      <c r="O817" s="273"/>
      <c r="P817" s="275"/>
      <c r="Q817" s="273"/>
      <c r="R817" s="273"/>
      <c r="S817" s="273"/>
      <c r="T817" s="273"/>
      <c r="U817" s="273"/>
      <c r="V817" s="273"/>
      <c r="W817" s="273"/>
      <c r="X817" s="273"/>
      <c r="Y817" s="273"/>
      <c r="Z817" s="273"/>
      <c r="AA817" s="273"/>
      <c r="AB817" s="273"/>
      <c r="AC817" s="273"/>
    </row>
    <row r="818" ht="75.0" customHeight="1">
      <c r="A818" s="273"/>
      <c r="B818" s="273"/>
      <c r="C818" s="273"/>
      <c r="D818" s="273"/>
      <c r="E818" s="273"/>
      <c r="F818" s="275"/>
      <c r="G818" s="273"/>
      <c r="H818" s="273"/>
      <c r="I818" s="275"/>
      <c r="J818" s="273"/>
      <c r="K818" s="273"/>
      <c r="L818" s="273"/>
      <c r="M818" s="273"/>
      <c r="N818" s="273"/>
      <c r="O818" s="273"/>
      <c r="P818" s="275"/>
      <c r="Q818" s="273"/>
      <c r="R818" s="273"/>
      <c r="S818" s="273"/>
      <c r="T818" s="273"/>
      <c r="U818" s="273"/>
      <c r="V818" s="273"/>
      <c r="W818" s="273"/>
      <c r="X818" s="273"/>
      <c r="Y818" s="273"/>
      <c r="Z818" s="273"/>
      <c r="AA818" s="273"/>
      <c r="AB818" s="273"/>
      <c r="AC818" s="273"/>
    </row>
    <row r="819" ht="75.0" customHeight="1">
      <c r="A819" s="273"/>
      <c r="B819" s="273"/>
      <c r="C819" s="273"/>
      <c r="D819" s="273"/>
      <c r="E819" s="273"/>
      <c r="F819" s="275"/>
      <c r="G819" s="273"/>
      <c r="H819" s="273"/>
      <c r="I819" s="275"/>
      <c r="J819" s="273"/>
      <c r="K819" s="273"/>
      <c r="L819" s="273"/>
      <c r="M819" s="273"/>
      <c r="N819" s="273"/>
      <c r="O819" s="273"/>
      <c r="P819" s="275"/>
      <c r="Q819" s="273"/>
      <c r="R819" s="273"/>
      <c r="S819" s="273"/>
      <c r="T819" s="273"/>
      <c r="U819" s="273"/>
      <c r="V819" s="273"/>
      <c r="W819" s="273"/>
      <c r="X819" s="273"/>
      <c r="Y819" s="273"/>
      <c r="Z819" s="273"/>
      <c r="AA819" s="273"/>
      <c r="AB819" s="273"/>
      <c r="AC819" s="273"/>
    </row>
    <row r="820" ht="75.0" customHeight="1">
      <c r="A820" s="273"/>
      <c r="B820" s="273"/>
      <c r="C820" s="273"/>
      <c r="D820" s="273"/>
      <c r="E820" s="273"/>
      <c r="F820" s="275"/>
      <c r="G820" s="273"/>
      <c r="H820" s="273"/>
      <c r="I820" s="275"/>
      <c r="J820" s="273"/>
      <c r="K820" s="273"/>
      <c r="L820" s="273"/>
      <c r="M820" s="273"/>
      <c r="N820" s="273"/>
      <c r="O820" s="273"/>
      <c r="P820" s="275"/>
      <c r="Q820" s="273"/>
      <c r="R820" s="273"/>
      <c r="S820" s="273"/>
      <c r="T820" s="273"/>
      <c r="U820" s="273"/>
      <c r="V820" s="273"/>
      <c r="W820" s="273"/>
      <c r="X820" s="273"/>
      <c r="Y820" s="273"/>
      <c r="Z820" s="273"/>
      <c r="AA820" s="273"/>
      <c r="AB820" s="273"/>
      <c r="AC820" s="273"/>
    </row>
    <row r="821" ht="75.0" customHeight="1">
      <c r="A821" s="273"/>
      <c r="B821" s="273"/>
      <c r="C821" s="273"/>
      <c r="D821" s="273"/>
      <c r="E821" s="273"/>
      <c r="F821" s="275"/>
      <c r="G821" s="273"/>
      <c r="H821" s="273"/>
      <c r="I821" s="275"/>
      <c r="J821" s="273"/>
      <c r="K821" s="273"/>
      <c r="L821" s="273"/>
      <c r="M821" s="273"/>
      <c r="N821" s="273"/>
      <c r="O821" s="273"/>
      <c r="P821" s="275"/>
      <c r="Q821" s="273"/>
      <c r="R821" s="273"/>
      <c r="S821" s="273"/>
      <c r="T821" s="273"/>
      <c r="U821" s="273"/>
      <c r="V821" s="273"/>
      <c r="W821" s="273"/>
      <c r="X821" s="273"/>
      <c r="Y821" s="273"/>
      <c r="Z821" s="273"/>
      <c r="AA821" s="273"/>
      <c r="AB821" s="273"/>
      <c r="AC821" s="273"/>
    </row>
    <row r="822" ht="75.0" customHeight="1">
      <c r="A822" s="273"/>
      <c r="B822" s="273"/>
      <c r="C822" s="273"/>
      <c r="D822" s="273"/>
      <c r="E822" s="273"/>
      <c r="F822" s="275"/>
      <c r="G822" s="273"/>
      <c r="H822" s="273"/>
      <c r="I822" s="275"/>
      <c r="J822" s="273"/>
      <c r="K822" s="273"/>
      <c r="L822" s="273"/>
      <c r="M822" s="273"/>
      <c r="N822" s="273"/>
      <c r="O822" s="273"/>
      <c r="P822" s="275"/>
      <c r="Q822" s="273"/>
      <c r="R822" s="273"/>
      <c r="S822" s="273"/>
      <c r="T822" s="273"/>
      <c r="U822" s="273"/>
      <c r="V822" s="273"/>
      <c r="W822" s="273"/>
      <c r="X822" s="273"/>
      <c r="Y822" s="273"/>
      <c r="Z822" s="273"/>
      <c r="AA822" s="273"/>
      <c r="AB822" s="273"/>
      <c r="AC822" s="273"/>
    </row>
    <row r="823" ht="75.0" customHeight="1">
      <c r="A823" s="273"/>
      <c r="B823" s="273"/>
      <c r="C823" s="273"/>
      <c r="D823" s="273"/>
      <c r="E823" s="273"/>
      <c r="F823" s="275"/>
      <c r="G823" s="273"/>
      <c r="H823" s="273"/>
      <c r="I823" s="275"/>
      <c r="J823" s="273"/>
      <c r="K823" s="273"/>
      <c r="L823" s="273"/>
      <c r="M823" s="273"/>
      <c r="N823" s="273"/>
      <c r="O823" s="273"/>
      <c r="P823" s="275"/>
      <c r="Q823" s="273"/>
      <c r="R823" s="273"/>
      <c r="S823" s="273"/>
      <c r="T823" s="273"/>
      <c r="U823" s="273"/>
      <c r="V823" s="273"/>
      <c r="W823" s="273"/>
      <c r="X823" s="273"/>
      <c r="Y823" s="273"/>
      <c r="Z823" s="273"/>
      <c r="AA823" s="273"/>
      <c r="AB823" s="273"/>
      <c r="AC823" s="273"/>
    </row>
    <row r="824" ht="75.0" customHeight="1">
      <c r="A824" s="273"/>
      <c r="B824" s="273"/>
      <c r="C824" s="273"/>
      <c r="D824" s="273"/>
      <c r="E824" s="273"/>
      <c r="F824" s="275"/>
      <c r="G824" s="273"/>
      <c r="H824" s="273"/>
      <c r="I824" s="275"/>
      <c r="J824" s="273"/>
      <c r="K824" s="273"/>
      <c r="L824" s="273"/>
      <c r="M824" s="273"/>
      <c r="N824" s="273"/>
      <c r="O824" s="273"/>
      <c r="P824" s="275"/>
      <c r="Q824" s="273"/>
      <c r="R824" s="273"/>
      <c r="S824" s="273"/>
      <c r="T824" s="273"/>
      <c r="U824" s="273"/>
      <c r="V824" s="273"/>
      <c r="W824" s="273"/>
      <c r="X824" s="273"/>
      <c r="Y824" s="273"/>
      <c r="Z824" s="273"/>
      <c r="AA824" s="273"/>
      <c r="AB824" s="273"/>
      <c r="AC824" s="273"/>
    </row>
    <row r="825" ht="75.0" customHeight="1">
      <c r="A825" s="273"/>
      <c r="B825" s="273"/>
      <c r="C825" s="273"/>
      <c r="D825" s="273"/>
      <c r="E825" s="273"/>
      <c r="F825" s="275"/>
      <c r="G825" s="273"/>
      <c r="H825" s="273"/>
      <c r="I825" s="275"/>
      <c r="J825" s="273"/>
      <c r="K825" s="273"/>
      <c r="L825" s="273"/>
      <c r="M825" s="273"/>
      <c r="N825" s="273"/>
      <c r="O825" s="273"/>
      <c r="P825" s="275"/>
      <c r="Q825" s="273"/>
      <c r="R825" s="273"/>
      <c r="S825" s="273"/>
      <c r="T825" s="273"/>
      <c r="U825" s="273"/>
      <c r="V825" s="273"/>
      <c r="W825" s="273"/>
      <c r="X825" s="273"/>
      <c r="Y825" s="273"/>
      <c r="Z825" s="273"/>
      <c r="AA825" s="273"/>
      <c r="AB825" s="273"/>
      <c r="AC825" s="273"/>
    </row>
    <row r="826" ht="75.0" customHeight="1">
      <c r="A826" s="273"/>
      <c r="B826" s="273"/>
      <c r="C826" s="273"/>
      <c r="D826" s="273"/>
      <c r="E826" s="273"/>
      <c r="F826" s="275"/>
      <c r="G826" s="273"/>
      <c r="H826" s="273"/>
      <c r="I826" s="275"/>
      <c r="J826" s="273"/>
      <c r="K826" s="273"/>
      <c r="L826" s="273"/>
      <c r="M826" s="273"/>
      <c r="N826" s="273"/>
      <c r="O826" s="273"/>
      <c r="P826" s="275"/>
      <c r="Q826" s="273"/>
      <c r="R826" s="273"/>
      <c r="S826" s="273"/>
      <c r="T826" s="273"/>
      <c r="U826" s="273"/>
      <c r="V826" s="273"/>
      <c r="W826" s="273"/>
      <c r="X826" s="273"/>
      <c r="Y826" s="273"/>
      <c r="Z826" s="273"/>
      <c r="AA826" s="273"/>
      <c r="AB826" s="273"/>
      <c r="AC826" s="273"/>
    </row>
    <row r="827" ht="75.0" customHeight="1">
      <c r="A827" s="273"/>
      <c r="B827" s="273"/>
      <c r="C827" s="273"/>
      <c r="D827" s="273"/>
      <c r="E827" s="273"/>
      <c r="F827" s="275"/>
      <c r="G827" s="273"/>
      <c r="H827" s="273"/>
      <c r="I827" s="275"/>
      <c r="J827" s="273"/>
      <c r="K827" s="273"/>
      <c r="L827" s="273"/>
      <c r="M827" s="273"/>
      <c r="N827" s="273"/>
      <c r="O827" s="273"/>
      <c r="P827" s="275"/>
      <c r="Q827" s="273"/>
      <c r="R827" s="273"/>
      <c r="S827" s="273"/>
      <c r="T827" s="273"/>
      <c r="U827" s="273"/>
      <c r="V827" s="273"/>
      <c r="W827" s="273"/>
      <c r="X827" s="273"/>
      <c r="Y827" s="273"/>
      <c r="Z827" s="273"/>
      <c r="AA827" s="273"/>
      <c r="AB827" s="273"/>
      <c r="AC827" s="273"/>
    </row>
    <row r="828" ht="75.0" customHeight="1">
      <c r="A828" s="273"/>
      <c r="B828" s="273"/>
      <c r="C828" s="273"/>
      <c r="D828" s="273"/>
      <c r="E828" s="273"/>
      <c r="F828" s="275"/>
      <c r="G828" s="273"/>
      <c r="H828" s="273"/>
      <c r="I828" s="275"/>
      <c r="J828" s="273"/>
      <c r="K828" s="273"/>
      <c r="L828" s="273"/>
      <c r="M828" s="273"/>
      <c r="N828" s="273"/>
      <c r="O828" s="273"/>
      <c r="P828" s="275"/>
      <c r="Q828" s="273"/>
      <c r="R828" s="273"/>
      <c r="S828" s="273"/>
      <c r="T828" s="273"/>
      <c r="U828" s="273"/>
      <c r="V828" s="273"/>
      <c r="W828" s="273"/>
      <c r="X828" s="273"/>
      <c r="Y828" s="273"/>
      <c r="Z828" s="273"/>
      <c r="AA828" s="273"/>
      <c r="AB828" s="273"/>
      <c r="AC828" s="273"/>
    </row>
    <row r="829" ht="75.0" customHeight="1">
      <c r="A829" s="273"/>
      <c r="B829" s="273"/>
      <c r="C829" s="273"/>
      <c r="D829" s="273"/>
      <c r="E829" s="273"/>
      <c r="F829" s="275"/>
      <c r="G829" s="273"/>
      <c r="H829" s="273"/>
      <c r="I829" s="275"/>
      <c r="J829" s="273"/>
      <c r="K829" s="273"/>
      <c r="L829" s="273"/>
      <c r="M829" s="273"/>
      <c r="N829" s="273"/>
      <c r="O829" s="273"/>
      <c r="P829" s="275"/>
      <c r="Q829" s="273"/>
      <c r="R829" s="273"/>
      <c r="S829" s="273"/>
      <c r="T829" s="273"/>
      <c r="U829" s="273"/>
      <c r="V829" s="273"/>
      <c r="W829" s="273"/>
      <c r="X829" s="273"/>
      <c r="Y829" s="273"/>
      <c r="Z829" s="273"/>
      <c r="AA829" s="273"/>
      <c r="AB829" s="273"/>
      <c r="AC829" s="273"/>
    </row>
    <row r="830" ht="75.0" customHeight="1">
      <c r="A830" s="273"/>
      <c r="B830" s="273"/>
      <c r="C830" s="273"/>
      <c r="D830" s="273"/>
      <c r="E830" s="273"/>
      <c r="F830" s="275"/>
      <c r="G830" s="273"/>
      <c r="H830" s="273"/>
      <c r="I830" s="275"/>
      <c r="J830" s="273"/>
      <c r="K830" s="273"/>
      <c r="L830" s="273"/>
      <c r="M830" s="273"/>
      <c r="N830" s="273"/>
      <c r="O830" s="273"/>
      <c r="P830" s="275"/>
      <c r="Q830" s="273"/>
      <c r="R830" s="273"/>
      <c r="S830" s="273"/>
      <c r="T830" s="273"/>
      <c r="U830" s="273"/>
      <c r="V830" s="273"/>
      <c r="W830" s="273"/>
      <c r="X830" s="273"/>
      <c r="Y830" s="273"/>
      <c r="Z830" s="273"/>
      <c r="AA830" s="273"/>
      <c r="AB830" s="273"/>
      <c r="AC830" s="273"/>
    </row>
    <row r="831" ht="75.0" customHeight="1">
      <c r="A831" s="273"/>
      <c r="B831" s="273"/>
      <c r="C831" s="273"/>
      <c r="D831" s="273"/>
      <c r="E831" s="273"/>
      <c r="F831" s="275"/>
      <c r="G831" s="273"/>
      <c r="H831" s="273"/>
      <c r="I831" s="275"/>
      <c r="J831" s="273"/>
      <c r="K831" s="273"/>
      <c r="L831" s="273"/>
      <c r="M831" s="273"/>
      <c r="N831" s="273"/>
      <c r="O831" s="273"/>
      <c r="P831" s="275"/>
      <c r="Q831" s="273"/>
      <c r="R831" s="273"/>
      <c r="S831" s="273"/>
      <c r="T831" s="273"/>
      <c r="U831" s="273"/>
      <c r="V831" s="273"/>
      <c r="W831" s="273"/>
      <c r="X831" s="273"/>
      <c r="Y831" s="273"/>
      <c r="Z831" s="273"/>
      <c r="AA831" s="273"/>
      <c r="AB831" s="273"/>
      <c r="AC831" s="273"/>
    </row>
    <row r="832" ht="75.0" customHeight="1">
      <c r="A832" s="273"/>
      <c r="B832" s="273"/>
      <c r="C832" s="273"/>
      <c r="D832" s="273"/>
      <c r="E832" s="273"/>
      <c r="F832" s="275"/>
      <c r="G832" s="273"/>
      <c r="H832" s="273"/>
      <c r="I832" s="275"/>
      <c r="J832" s="273"/>
      <c r="K832" s="273"/>
      <c r="L832" s="273"/>
      <c r="M832" s="273"/>
      <c r="N832" s="273"/>
      <c r="O832" s="273"/>
      <c r="P832" s="275"/>
      <c r="Q832" s="273"/>
      <c r="R832" s="273"/>
      <c r="S832" s="273"/>
      <c r="T832" s="273"/>
      <c r="U832" s="273"/>
      <c r="V832" s="273"/>
      <c r="W832" s="273"/>
      <c r="X832" s="273"/>
      <c r="Y832" s="273"/>
      <c r="Z832" s="273"/>
      <c r="AA832" s="273"/>
      <c r="AB832" s="273"/>
      <c r="AC832" s="273"/>
    </row>
    <row r="833" ht="75.0" customHeight="1">
      <c r="A833" s="273"/>
      <c r="B833" s="273"/>
      <c r="C833" s="273"/>
      <c r="D833" s="273"/>
      <c r="E833" s="273"/>
      <c r="F833" s="275"/>
      <c r="G833" s="273"/>
      <c r="H833" s="273"/>
      <c r="I833" s="275"/>
      <c r="J833" s="273"/>
      <c r="K833" s="273"/>
      <c r="L833" s="273"/>
      <c r="M833" s="273"/>
      <c r="N833" s="273"/>
      <c r="O833" s="273"/>
      <c r="P833" s="275"/>
      <c r="Q833" s="273"/>
      <c r="R833" s="273"/>
      <c r="S833" s="273"/>
      <c r="T833" s="273"/>
      <c r="U833" s="273"/>
      <c r="V833" s="273"/>
      <c r="W833" s="273"/>
      <c r="X833" s="273"/>
      <c r="Y833" s="273"/>
      <c r="Z833" s="273"/>
      <c r="AA833" s="273"/>
      <c r="AB833" s="273"/>
      <c r="AC833" s="273"/>
    </row>
    <row r="834" ht="75.0" customHeight="1">
      <c r="A834" s="273"/>
      <c r="B834" s="273"/>
      <c r="C834" s="273"/>
      <c r="D834" s="273"/>
      <c r="E834" s="273"/>
      <c r="F834" s="275"/>
      <c r="G834" s="273"/>
      <c r="H834" s="273"/>
      <c r="I834" s="275"/>
      <c r="J834" s="273"/>
      <c r="K834" s="273"/>
      <c r="L834" s="273"/>
      <c r="M834" s="273"/>
      <c r="N834" s="273"/>
      <c r="O834" s="273"/>
      <c r="P834" s="275"/>
      <c r="Q834" s="273"/>
      <c r="R834" s="273"/>
      <c r="S834" s="273"/>
      <c r="T834" s="273"/>
      <c r="U834" s="273"/>
      <c r="V834" s="273"/>
      <c r="W834" s="273"/>
      <c r="X834" s="273"/>
      <c r="Y834" s="273"/>
      <c r="Z834" s="273"/>
      <c r="AA834" s="273"/>
      <c r="AB834" s="273"/>
      <c r="AC834" s="273"/>
    </row>
    <row r="835" ht="75.0" customHeight="1">
      <c r="A835" s="273"/>
      <c r="B835" s="273"/>
      <c r="C835" s="273"/>
      <c r="D835" s="273"/>
      <c r="E835" s="273"/>
      <c r="F835" s="275"/>
      <c r="G835" s="273"/>
      <c r="H835" s="273"/>
      <c r="I835" s="275"/>
      <c r="J835" s="273"/>
      <c r="K835" s="273"/>
      <c r="L835" s="273"/>
      <c r="M835" s="273"/>
      <c r="N835" s="273"/>
      <c r="O835" s="273"/>
      <c r="P835" s="275"/>
      <c r="Q835" s="273"/>
      <c r="R835" s="273"/>
      <c r="S835" s="273"/>
      <c r="T835" s="273"/>
      <c r="U835" s="273"/>
      <c r="V835" s="273"/>
      <c r="W835" s="273"/>
      <c r="X835" s="273"/>
      <c r="Y835" s="273"/>
      <c r="Z835" s="273"/>
      <c r="AA835" s="273"/>
      <c r="AB835" s="273"/>
      <c r="AC835" s="273"/>
    </row>
    <row r="836" ht="75.0" customHeight="1">
      <c r="A836" s="273"/>
      <c r="B836" s="273"/>
      <c r="C836" s="273"/>
      <c r="D836" s="273"/>
      <c r="E836" s="273"/>
      <c r="F836" s="275"/>
      <c r="G836" s="273"/>
      <c r="H836" s="273"/>
      <c r="I836" s="275"/>
      <c r="J836" s="273"/>
      <c r="K836" s="273"/>
      <c r="L836" s="273"/>
      <c r="M836" s="273"/>
      <c r="N836" s="273"/>
      <c r="O836" s="273"/>
      <c r="P836" s="275"/>
      <c r="Q836" s="273"/>
      <c r="R836" s="273"/>
      <c r="S836" s="273"/>
      <c r="T836" s="273"/>
      <c r="U836" s="273"/>
      <c r="V836" s="273"/>
      <c r="W836" s="273"/>
      <c r="X836" s="273"/>
      <c r="Y836" s="273"/>
      <c r="Z836" s="273"/>
      <c r="AA836" s="273"/>
      <c r="AB836" s="273"/>
      <c r="AC836" s="273"/>
    </row>
    <row r="837" ht="75.0" customHeight="1">
      <c r="A837" s="273"/>
      <c r="B837" s="273"/>
      <c r="C837" s="273"/>
      <c r="D837" s="273"/>
      <c r="E837" s="273"/>
      <c r="F837" s="275"/>
      <c r="G837" s="273"/>
      <c r="H837" s="273"/>
      <c r="I837" s="275"/>
      <c r="J837" s="273"/>
      <c r="K837" s="273"/>
      <c r="L837" s="273"/>
      <c r="M837" s="273"/>
      <c r="N837" s="273"/>
      <c r="O837" s="273"/>
      <c r="P837" s="275"/>
      <c r="Q837" s="273"/>
      <c r="R837" s="273"/>
      <c r="S837" s="273"/>
      <c r="T837" s="273"/>
      <c r="U837" s="273"/>
      <c r="V837" s="273"/>
      <c r="W837" s="273"/>
      <c r="X837" s="273"/>
      <c r="Y837" s="273"/>
      <c r="Z837" s="273"/>
      <c r="AA837" s="273"/>
      <c r="AB837" s="273"/>
      <c r="AC837" s="273"/>
    </row>
    <row r="838" ht="75.0" customHeight="1">
      <c r="A838" s="273"/>
      <c r="B838" s="273"/>
      <c r="C838" s="273"/>
      <c r="D838" s="273"/>
      <c r="E838" s="273"/>
      <c r="F838" s="275"/>
      <c r="G838" s="273"/>
      <c r="H838" s="273"/>
      <c r="I838" s="275"/>
      <c r="J838" s="273"/>
      <c r="K838" s="273"/>
      <c r="L838" s="273"/>
      <c r="M838" s="273"/>
      <c r="N838" s="273"/>
      <c r="O838" s="273"/>
      <c r="P838" s="275"/>
      <c r="Q838" s="273"/>
      <c r="R838" s="273"/>
      <c r="S838" s="273"/>
      <c r="T838" s="273"/>
      <c r="U838" s="273"/>
      <c r="V838" s="273"/>
      <c r="W838" s="273"/>
      <c r="X838" s="273"/>
      <c r="Y838" s="273"/>
      <c r="Z838" s="273"/>
      <c r="AA838" s="273"/>
      <c r="AB838" s="273"/>
      <c r="AC838" s="273"/>
    </row>
    <row r="839" ht="75.0" customHeight="1">
      <c r="A839" s="273"/>
      <c r="B839" s="273"/>
      <c r="C839" s="273"/>
      <c r="D839" s="273"/>
      <c r="E839" s="273"/>
      <c r="F839" s="275"/>
      <c r="G839" s="273"/>
      <c r="H839" s="273"/>
      <c r="I839" s="275"/>
      <c r="J839" s="273"/>
      <c r="K839" s="273"/>
      <c r="L839" s="273"/>
      <c r="M839" s="273"/>
      <c r="N839" s="273"/>
      <c r="O839" s="273"/>
      <c r="P839" s="275"/>
      <c r="Q839" s="273"/>
      <c r="R839" s="273"/>
      <c r="S839" s="273"/>
      <c r="T839" s="273"/>
      <c r="U839" s="273"/>
      <c r="V839" s="273"/>
      <c r="W839" s="273"/>
      <c r="X839" s="273"/>
      <c r="Y839" s="273"/>
      <c r="Z839" s="273"/>
      <c r="AA839" s="273"/>
      <c r="AB839" s="273"/>
      <c r="AC839" s="273"/>
    </row>
    <row r="840" ht="75.0" customHeight="1">
      <c r="A840" s="273"/>
      <c r="B840" s="273"/>
      <c r="C840" s="273"/>
      <c r="D840" s="273"/>
      <c r="E840" s="273"/>
      <c r="F840" s="275"/>
      <c r="G840" s="273"/>
      <c r="H840" s="273"/>
      <c r="I840" s="275"/>
      <c r="J840" s="273"/>
      <c r="K840" s="273"/>
      <c r="L840" s="273"/>
      <c r="M840" s="273"/>
      <c r="N840" s="273"/>
      <c r="O840" s="273"/>
      <c r="P840" s="275"/>
      <c r="Q840" s="273"/>
      <c r="R840" s="273"/>
      <c r="S840" s="273"/>
      <c r="T840" s="273"/>
      <c r="U840" s="273"/>
      <c r="V840" s="273"/>
      <c r="W840" s="273"/>
      <c r="X840" s="273"/>
      <c r="Y840" s="273"/>
      <c r="Z840" s="273"/>
      <c r="AA840" s="273"/>
      <c r="AB840" s="273"/>
      <c r="AC840" s="273"/>
    </row>
    <row r="841" ht="75.0" customHeight="1">
      <c r="A841" s="273"/>
      <c r="B841" s="273"/>
      <c r="C841" s="273"/>
      <c r="D841" s="273"/>
      <c r="E841" s="273"/>
      <c r="F841" s="275"/>
      <c r="G841" s="273"/>
      <c r="H841" s="273"/>
      <c r="I841" s="275"/>
      <c r="J841" s="273"/>
      <c r="K841" s="273"/>
      <c r="L841" s="273"/>
      <c r="M841" s="273"/>
      <c r="N841" s="273"/>
      <c r="O841" s="273"/>
      <c r="P841" s="275"/>
      <c r="Q841" s="273"/>
      <c r="R841" s="273"/>
      <c r="S841" s="273"/>
      <c r="T841" s="273"/>
      <c r="U841" s="273"/>
      <c r="V841" s="273"/>
      <c r="W841" s="273"/>
      <c r="X841" s="273"/>
      <c r="Y841" s="273"/>
      <c r="Z841" s="273"/>
      <c r="AA841" s="273"/>
      <c r="AB841" s="273"/>
      <c r="AC841" s="273"/>
    </row>
    <row r="842" ht="75.0" customHeight="1">
      <c r="A842" s="273"/>
      <c r="B842" s="273"/>
      <c r="C842" s="273"/>
      <c r="D842" s="273"/>
      <c r="E842" s="273"/>
      <c r="F842" s="275"/>
      <c r="G842" s="273"/>
      <c r="H842" s="273"/>
      <c r="I842" s="275"/>
      <c r="J842" s="273"/>
      <c r="K842" s="273"/>
      <c r="L842" s="273"/>
      <c r="M842" s="273"/>
      <c r="N842" s="273"/>
      <c r="O842" s="273"/>
      <c r="P842" s="275"/>
      <c r="Q842" s="273"/>
      <c r="R842" s="273"/>
      <c r="S842" s="273"/>
      <c r="T842" s="273"/>
      <c r="U842" s="273"/>
      <c r="V842" s="273"/>
      <c r="W842" s="273"/>
      <c r="X842" s="273"/>
      <c r="Y842" s="273"/>
      <c r="Z842" s="273"/>
      <c r="AA842" s="273"/>
      <c r="AB842" s="273"/>
      <c r="AC842" s="273"/>
    </row>
    <row r="843" ht="75.0" customHeight="1">
      <c r="A843" s="273"/>
      <c r="B843" s="273"/>
      <c r="C843" s="273"/>
      <c r="D843" s="273"/>
      <c r="E843" s="273"/>
      <c r="F843" s="275"/>
      <c r="G843" s="273"/>
      <c r="H843" s="273"/>
      <c r="I843" s="275"/>
      <c r="J843" s="273"/>
      <c r="K843" s="273"/>
      <c r="L843" s="273"/>
      <c r="M843" s="273"/>
      <c r="N843" s="273"/>
      <c r="O843" s="273"/>
      <c r="P843" s="275"/>
      <c r="Q843" s="273"/>
      <c r="R843" s="273"/>
      <c r="S843" s="273"/>
      <c r="T843" s="273"/>
      <c r="U843" s="273"/>
      <c r="V843" s="273"/>
      <c r="W843" s="273"/>
      <c r="X843" s="273"/>
      <c r="Y843" s="273"/>
      <c r="Z843" s="273"/>
      <c r="AA843" s="273"/>
      <c r="AB843" s="273"/>
      <c r="AC843" s="273"/>
    </row>
    <row r="844" ht="75.0" customHeight="1">
      <c r="A844" s="273"/>
      <c r="B844" s="273"/>
      <c r="C844" s="273"/>
      <c r="D844" s="273"/>
      <c r="E844" s="273"/>
      <c r="F844" s="275"/>
      <c r="G844" s="273"/>
      <c r="H844" s="273"/>
      <c r="I844" s="275"/>
      <c r="J844" s="273"/>
      <c r="K844" s="273"/>
      <c r="L844" s="273"/>
      <c r="M844" s="273"/>
      <c r="N844" s="273"/>
      <c r="O844" s="273"/>
      <c r="P844" s="275"/>
      <c r="Q844" s="273"/>
      <c r="R844" s="273"/>
      <c r="S844" s="273"/>
      <c r="T844" s="273"/>
      <c r="U844" s="273"/>
      <c r="V844" s="273"/>
      <c r="W844" s="273"/>
      <c r="X844" s="273"/>
      <c r="Y844" s="273"/>
      <c r="Z844" s="273"/>
      <c r="AA844" s="273"/>
      <c r="AB844" s="273"/>
      <c r="AC844" s="273"/>
    </row>
    <row r="845" ht="75.0" customHeight="1">
      <c r="A845" s="273"/>
      <c r="B845" s="273"/>
      <c r="C845" s="273"/>
      <c r="D845" s="273"/>
      <c r="E845" s="273"/>
      <c r="F845" s="275"/>
      <c r="G845" s="273"/>
      <c r="H845" s="273"/>
      <c r="I845" s="275"/>
      <c r="J845" s="273"/>
      <c r="K845" s="273"/>
      <c r="L845" s="273"/>
      <c r="M845" s="273"/>
      <c r="N845" s="273"/>
      <c r="O845" s="273"/>
      <c r="P845" s="275"/>
      <c r="Q845" s="273"/>
      <c r="R845" s="273"/>
      <c r="S845" s="273"/>
      <c r="T845" s="273"/>
      <c r="U845" s="273"/>
      <c r="V845" s="273"/>
      <c r="W845" s="273"/>
      <c r="X845" s="273"/>
      <c r="Y845" s="273"/>
      <c r="Z845" s="273"/>
      <c r="AA845" s="273"/>
      <c r="AB845" s="273"/>
      <c r="AC845" s="273"/>
    </row>
    <row r="846" ht="75.0" customHeight="1">
      <c r="A846" s="273"/>
      <c r="B846" s="273"/>
      <c r="C846" s="273"/>
      <c r="D846" s="273"/>
      <c r="E846" s="273"/>
      <c r="F846" s="275"/>
      <c r="G846" s="273"/>
      <c r="H846" s="273"/>
      <c r="I846" s="275"/>
      <c r="J846" s="273"/>
      <c r="K846" s="273"/>
      <c r="L846" s="273"/>
      <c r="M846" s="273"/>
      <c r="N846" s="273"/>
      <c r="O846" s="273"/>
      <c r="P846" s="275"/>
      <c r="Q846" s="273"/>
      <c r="R846" s="273"/>
      <c r="S846" s="273"/>
      <c r="T846" s="273"/>
      <c r="U846" s="273"/>
      <c r="V846" s="273"/>
      <c r="W846" s="273"/>
      <c r="X846" s="273"/>
      <c r="Y846" s="273"/>
      <c r="Z846" s="273"/>
      <c r="AA846" s="273"/>
      <c r="AB846" s="273"/>
      <c r="AC846" s="273"/>
    </row>
    <row r="847" ht="75.0" customHeight="1">
      <c r="A847" s="273"/>
      <c r="B847" s="273"/>
      <c r="C847" s="273"/>
      <c r="D847" s="273"/>
      <c r="E847" s="273"/>
      <c r="F847" s="275"/>
      <c r="G847" s="273"/>
      <c r="H847" s="273"/>
      <c r="I847" s="275"/>
      <c r="J847" s="273"/>
      <c r="K847" s="273"/>
      <c r="L847" s="273"/>
      <c r="M847" s="273"/>
      <c r="N847" s="273"/>
      <c r="O847" s="273"/>
      <c r="P847" s="275"/>
      <c r="Q847" s="273"/>
      <c r="R847" s="273"/>
      <c r="S847" s="273"/>
      <c r="T847" s="273"/>
      <c r="U847" s="273"/>
      <c r="V847" s="273"/>
      <c r="W847" s="273"/>
      <c r="X847" s="273"/>
      <c r="Y847" s="273"/>
      <c r="Z847" s="273"/>
      <c r="AA847" s="273"/>
      <c r="AB847" s="273"/>
      <c r="AC847" s="273"/>
    </row>
    <row r="848" ht="75.0" customHeight="1">
      <c r="A848" s="273"/>
      <c r="B848" s="273"/>
      <c r="C848" s="273"/>
      <c r="D848" s="273"/>
      <c r="E848" s="273"/>
      <c r="F848" s="275"/>
      <c r="G848" s="273"/>
      <c r="H848" s="273"/>
      <c r="I848" s="275"/>
      <c r="J848" s="273"/>
      <c r="K848" s="273"/>
      <c r="L848" s="273"/>
      <c r="M848" s="273"/>
      <c r="N848" s="273"/>
      <c r="O848" s="273"/>
      <c r="P848" s="275"/>
      <c r="Q848" s="273"/>
      <c r="R848" s="273"/>
      <c r="S848" s="273"/>
      <c r="T848" s="273"/>
      <c r="U848" s="273"/>
      <c r="V848" s="273"/>
      <c r="W848" s="273"/>
      <c r="X848" s="273"/>
      <c r="Y848" s="273"/>
      <c r="Z848" s="273"/>
      <c r="AA848" s="273"/>
      <c r="AB848" s="273"/>
      <c r="AC848" s="273"/>
    </row>
    <row r="849" ht="75.0" customHeight="1">
      <c r="A849" s="273"/>
      <c r="B849" s="273"/>
      <c r="C849" s="273"/>
      <c r="D849" s="273"/>
      <c r="E849" s="273"/>
      <c r="F849" s="275"/>
      <c r="G849" s="273"/>
      <c r="H849" s="273"/>
      <c r="I849" s="275"/>
      <c r="J849" s="273"/>
      <c r="K849" s="273"/>
      <c r="L849" s="273"/>
      <c r="M849" s="273"/>
      <c r="N849" s="273"/>
      <c r="O849" s="273"/>
      <c r="P849" s="275"/>
      <c r="Q849" s="273"/>
      <c r="R849" s="273"/>
      <c r="S849" s="273"/>
      <c r="T849" s="273"/>
      <c r="U849" s="273"/>
      <c r="V849" s="273"/>
      <c r="W849" s="273"/>
      <c r="X849" s="273"/>
      <c r="Y849" s="273"/>
      <c r="Z849" s="273"/>
      <c r="AA849" s="273"/>
      <c r="AB849" s="273"/>
      <c r="AC849" s="273"/>
    </row>
    <row r="850" ht="75.0" customHeight="1">
      <c r="A850" s="273"/>
      <c r="B850" s="273"/>
      <c r="C850" s="273"/>
      <c r="D850" s="273"/>
      <c r="E850" s="273"/>
      <c r="F850" s="275"/>
      <c r="G850" s="273"/>
      <c r="H850" s="273"/>
      <c r="I850" s="275"/>
      <c r="J850" s="273"/>
      <c r="K850" s="273"/>
      <c r="L850" s="273"/>
      <c r="M850" s="273"/>
      <c r="N850" s="273"/>
      <c r="O850" s="273"/>
      <c r="P850" s="275"/>
      <c r="Q850" s="273"/>
      <c r="R850" s="273"/>
      <c r="S850" s="273"/>
      <c r="T850" s="273"/>
      <c r="U850" s="273"/>
      <c r="V850" s="273"/>
      <c r="W850" s="273"/>
      <c r="X850" s="273"/>
      <c r="Y850" s="273"/>
      <c r="Z850" s="273"/>
      <c r="AA850" s="273"/>
      <c r="AB850" s="273"/>
      <c r="AC850" s="273"/>
    </row>
    <row r="851" ht="75.0" customHeight="1">
      <c r="A851" s="273"/>
      <c r="B851" s="273"/>
      <c r="C851" s="273"/>
      <c r="D851" s="273"/>
      <c r="E851" s="273"/>
      <c r="F851" s="275"/>
      <c r="G851" s="273"/>
      <c r="H851" s="273"/>
      <c r="I851" s="275"/>
      <c r="J851" s="273"/>
      <c r="K851" s="273"/>
      <c r="L851" s="273"/>
      <c r="M851" s="273"/>
      <c r="N851" s="273"/>
      <c r="O851" s="273"/>
      <c r="P851" s="275"/>
      <c r="Q851" s="273"/>
      <c r="R851" s="273"/>
      <c r="S851" s="273"/>
      <c r="T851" s="273"/>
      <c r="U851" s="273"/>
      <c r="V851" s="273"/>
      <c r="W851" s="273"/>
      <c r="X851" s="273"/>
      <c r="Y851" s="273"/>
      <c r="Z851" s="273"/>
      <c r="AA851" s="273"/>
      <c r="AB851" s="273"/>
      <c r="AC851" s="273"/>
    </row>
    <row r="852" ht="75.0" customHeight="1">
      <c r="A852" s="273"/>
      <c r="B852" s="273"/>
      <c r="C852" s="273"/>
      <c r="D852" s="273"/>
      <c r="E852" s="273"/>
      <c r="F852" s="275"/>
      <c r="G852" s="273"/>
      <c r="H852" s="273"/>
      <c r="I852" s="275"/>
      <c r="J852" s="273"/>
      <c r="K852" s="273"/>
      <c r="L852" s="273"/>
      <c r="M852" s="273"/>
      <c r="N852" s="273"/>
      <c r="O852" s="273"/>
      <c r="P852" s="275"/>
      <c r="Q852" s="273"/>
      <c r="R852" s="273"/>
      <c r="S852" s="273"/>
      <c r="T852" s="273"/>
      <c r="U852" s="273"/>
      <c r="V852" s="273"/>
      <c r="W852" s="273"/>
      <c r="X852" s="273"/>
      <c r="Y852" s="273"/>
      <c r="Z852" s="273"/>
      <c r="AA852" s="273"/>
      <c r="AB852" s="273"/>
      <c r="AC852" s="273"/>
    </row>
    <row r="853" ht="75.0" customHeight="1">
      <c r="A853" s="273"/>
      <c r="B853" s="273"/>
      <c r="C853" s="273"/>
      <c r="D853" s="273"/>
      <c r="E853" s="273"/>
      <c r="F853" s="275"/>
      <c r="G853" s="273"/>
      <c r="H853" s="273"/>
      <c r="I853" s="275"/>
      <c r="J853" s="273"/>
      <c r="K853" s="273"/>
      <c r="L853" s="273"/>
      <c r="M853" s="273"/>
      <c r="N853" s="273"/>
      <c r="O853" s="273"/>
      <c r="P853" s="275"/>
      <c r="Q853" s="273"/>
      <c r="R853" s="273"/>
      <c r="S853" s="273"/>
      <c r="T853" s="273"/>
      <c r="U853" s="273"/>
      <c r="V853" s="273"/>
      <c r="W853" s="273"/>
      <c r="X853" s="273"/>
      <c r="Y853" s="273"/>
      <c r="Z853" s="273"/>
      <c r="AA853" s="273"/>
      <c r="AB853" s="273"/>
      <c r="AC853" s="273"/>
    </row>
    <row r="854" ht="75.0" customHeight="1">
      <c r="A854" s="273"/>
      <c r="B854" s="273"/>
      <c r="C854" s="273"/>
      <c r="D854" s="273"/>
      <c r="E854" s="273"/>
      <c r="F854" s="275"/>
      <c r="G854" s="273"/>
      <c r="H854" s="273"/>
      <c r="I854" s="275"/>
      <c r="J854" s="273"/>
      <c r="K854" s="273"/>
      <c r="L854" s="273"/>
      <c r="M854" s="273"/>
      <c r="N854" s="273"/>
      <c r="O854" s="273"/>
      <c r="P854" s="275"/>
      <c r="Q854" s="273"/>
      <c r="R854" s="273"/>
      <c r="S854" s="273"/>
      <c r="T854" s="273"/>
      <c r="U854" s="273"/>
      <c r="V854" s="273"/>
      <c r="W854" s="273"/>
      <c r="X854" s="273"/>
      <c r="Y854" s="273"/>
      <c r="Z854" s="273"/>
      <c r="AA854" s="273"/>
      <c r="AB854" s="273"/>
      <c r="AC854" s="273"/>
    </row>
    <row r="855" ht="75.0" customHeight="1">
      <c r="A855" s="273"/>
      <c r="B855" s="273"/>
      <c r="C855" s="273"/>
      <c r="D855" s="273"/>
      <c r="E855" s="273"/>
      <c r="F855" s="275"/>
      <c r="G855" s="273"/>
      <c r="H855" s="273"/>
      <c r="I855" s="275"/>
      <c r="J855" s="273"/>
      <c r="K855" s="273"/>
      <c r="L855" s="273"/>
      <c r="M855" s="273"/>
      <c r="N855" s="273"/>
      <c r="O855" s="273"/>
      <c r="P855" s="275"/>
      <c r="Q855" s="273"/>
      <c r="R855" s="273"/>
      <c r="S855" s="273"/>
      <c r="T855" s="273"/>
      <c r="U855" s="273"/>
      <c r="V855" s="273"/>
      <c r="W855" s="273"/>
      <c r="X855" s="273"/>
      <c r="Y855" s="273"/>
      <c r="Z855" s="273"/>
      <c r="AA855" s="273"/>
      <c r="AB855" s="273"/>
      <c r="AC855" s="273"/>
    </row>
    <row r="856" ht="75.0" customHeight="1">
      <c r="A856" s="273"/>
      <c r="B856" s="273"/>
      <c r="C856" s="273"/>
      <c r="D856" s="273"/>
      <c r="E856" s="273"/>
      <c r="F856" s="275"/>
      <c r="G856" s="273"/>
      <c r="H856" s="273"/>
      <c r="I856" s="275"/>
      <c r="J856" s="273"/>
      <c r="K856" s="273"/>
      <c r="L856" s="273"/>
      <c r="M856" s="273"/>
      <c r="N856" s="273"/>
      <c r="O856" s="273"/>
      <c r="P856" s="275"/>
      <c r="Q856" s="273"/>
      <c r="R856" s="273"/>
      <c r="S856" s="273"/>
      <c r="T856" s="273"/>
      <c r="U856" s="273"/>
      <c r="V856" s="273"/>
      <c r="W856" s="273"/>
      <c r="X856" s="273"/>
      <c r="Y856" s="273"/>
      <c r="Z856" s="273"/>
      <c r="AA856" s="273"/>
      <c r="AB856" s="273"/>
      <c r="AC856" s="273"/>
    </row>
    <row r="857" ht="75.0" customHeight="1">
      <c r="A857" s="273"/>
      <c r="B857" s="273"/>
      <c r="C857" s="273"/>
      <c r="D857" s="273"/>
      <c r="E857" s="273"/>
      <c r="F857" s="275"/>
      <c r="G857" s="273"/>
      <c r="H857" s="273"/>
      <c r="I857" s="275"/>
      <c r="J857" s="273"/>
      <c r="K857" s="273"/>
      <c r="L857" s="273"/>
      <c r="M857" s="273"/>
      <c r="N857" s="273"/>
      <c r="O857" s="273"/>
      <c r="P857" s="275"/>
      <c r="Q857" s="273"/>
      <c r="R857" s="273"/>
      <c r="S857" s="273"/>
      <c r="T857" s="273"/>
      <c r="U857" s="273"/>
      <c r="V857" s="273"/>
      <c r="W857" s="273"/>
      <c r="X857" s="273"/>
      <c r="Y857" s="273"/>
      <c r="Z857" s="273"/>
      <c r="AA857" s="273"/>
      <c r="AB857" s="273"/>
      <c r="AC857" s="273"/>
    </row>
    <row r="858" ht="75.0" customHeight="1">
      <c r="A858" s="273"/>
      <c r="B858" s="273"/>
      <c r="C858" s="273"/>
      <c r="D858" s="273"/>
      <c r="E858" s="273"/>
      <c r="F858" s="275"/>
      <c r="G858" s="273"/>
      <c r="H858" s="273"/>
      <c r="I858" s="275"/>
      <c r="J858" s="273"/>
      <c r="K858" s="273"/>
      <c r="L858" s="273"/>
      <c r="M858" s="273"/>
      <c r="N858" s="273"/>
      <c r="O858" s="273"/>
      <c r="P858" s="275"/>
      <c r="Q858" s="273"/>
      <c r="R858" s="273"/>
      <c r="S858" s="273"/>
      <c r="T858" s="273"/>
      <c r="U858" s="273"/>
      <c r="V858" s="273"/>
      <c r="W858" s="273"/>
      <c r="X858" s="273"/>
      <c r="Y858" s="273"/>
      <c r="Z858" s="273"/>
      <c r="AA858" s="273"/>
      <c r="AB858" s="273"/>
      <c r="AC858" s="273"/>
    </row>
    <row r="859" ht="75.0" customHeight="1">
      <c r="A859" s="273"/>
      <c r="B859" s="273"/>
      <c r="C859" s="273"/>
      <c r="D859" s="273"/>
      <c r="E859" s="273"/>
      <c r="F859" s="275"/>
      <c r="G859" s="273"/>
      <c r="H859" s="273"/>
      <c r="I859" s="275"/>
      <c r="J859" s="273"/>
      <c r="K859" s="273"/>
      <c r="L859" s="273"/>
      <c r="M859" s="273"/>
      <c r="N859" s="273"/>
      <c r="O859" s="273"/>
      <c r="P859" s="275"/>
      <c r="Q859" s="273"/>
      <c r="R859" s="273"/>
      <c r="S859" s="273"/>
      <c r="T859" s="273"/>
      <c r="U859" s="273"/>
      <c r="V859" s="273"/>
      <c r="W859" s="273"/>
      <c r="X859" s="273"/>
      <c r="Y859" s="273"/>
      <c r="Z859" s="273"/>
      <c r="AA859" s="273"/>
      <c r="AB859" s="273"/>
      <c r="AC859" s="273"/>
    </row>
    <row r="860" ht="75.0" customHeight="1">
      <c r="A860" s="273"/>
      <c r="B860" s="273"/>
      <c r="C860" s="273"/>
      <c r="D860" s="273"/>
      <c r="E860" s="273"/>
      <c r="F860" s="275"/>
      <c r="G860" s="273"/>
      <c r="H860" s="273"/>
      <c r="I860" s="275"/>
      <c r="J860" s="273"/>
      <c r="K860" s="273"/>
      <c r="L860" s="273"/>
      <c r="M860" s="273"/>
      <c r="N860" s="273"/>
      <c r="O860" s="273"/>
      <c r="P860" s="275"/>
      <c r="Q860" s="273"/>
      <c r="R860" s="273"/>
      <c r="S860" s="273"/>
      <c r="T860" s="273"/>
      <c r="U860" s="273"/>
      <c r="V860" s="273"/>
      <c r="W860" s="273"/>
      <c r="X860" s="273"/>
      <c r="Y860" s="273"/>
      <c r="Z860" s="273"/>
      <c r="AA860" s="273"/>
      <c r="AB860" s="273"/>
      <c r="AC860" s="273"/>
    </row>
    <row r="861" ht="75.0" customHeight="1">
      <c r="A861" s="273"/>
      <c r="B861" s="273"/>
      <c r="C861" s="273"/>
      <c r="D861" s="273"/>
      <c r="E861" s="273"/>
      <c r="F861" s="275"/>
      <c r="G861" s="273"/>
      <c r="H861" s="273"/>
      <c r="I861" s="275"/>
      <c r="J861" s="273"/>
      <c r="K861" s="273"/>
      <c r="L861" s="273"/>
      <c r="M861" s="273"/>
      <c r="N861" s="273"/>
      <c r="O861" s="273"/>
      <c r="P861" s="275"/>
      <c r="Q861" s="273"/>
      <c r="R861" s="273"/>
      <c r="S861" s="273"/>
      <c r="T861" s="273"/>
      <c r="U861" s="273"/>
      <c r="V861" s="273"/>
      <c r="W861" s="273"/>
      <c r="X861" s="273"/>
      <c r="Y861" s="273"/>
      <c r="Z861" s="273"/>
      <c r="AA861" s="273"/>
      <c r="AB861" s="273"/>
      <c r="AC861" s="273"/>
    </row>
    <row r="862" ht="75.0" customHeight="1">
      <c r="A862" s="273"/>
      <c r="B862" s="273"/>
      <c r="C862" s="273"/>
      <c r="D862" s="273"/>
      <c r="E862" s="273"/>
      <c r="F862" s="275"/>
      <c r="G862" s="273"/>
      <c r="H862" s="273"/>
      <c r="I862" s="275"/>
      <c r="J862" s="273"/>
      <c r="K862" s="273"/>
      <c r="L862" s="273"/>
      <c r="M862" s="273"/>
      <c r="N862" s="273"/>
      <c r="O862" s="273"/>
      <c r="P862" s="275"/>
      <c r="Q862" s="273"/>
      <c r="R862" s="273"/>
      <c r="S862" s="273"/>
      <c r="T862" s="273"/>
      <c r="U862" s="273"/>
      <c r="V862" s="273"/>
      <c r="W862" s="273"/>
      <c r="X862" s="273"/>
      <c r="Y862" s="273"/>
      <c r="Z862" s="273"/>
      <c r="AA862" s="273"/>
      <c r="AB862" s="273"/>
      <c r="AC862" s="273"/>
    </row>
    <row r="863" ht="75.0" customHeight="1">
      <c r="A863" s="273"/>
      <c r="B863" s="273"/>
      <c r="C863" s="273"/>
      <c r="D863" s="273"/>
      <c r="E863" s="273"/>
      <c r="F863" s="275"/>
      <c r="G863" s="273"/>
      <c r="H863" s="273"/>
      <c r="I863" s="275"/>
      <c r="J863" s="273"/>
      <c r="K863" s="273"/>
      <c r="L863" s="273"/>
      <c r="M863" s="273"/>
      <c r="N863" s="273"/>
      <c r="O863" s="273"/>
      <c r="P863" s="275"/>
      <c r="Q863" s="273"/>
      <c r="R863" s="273"/>
      <c r="S863" s="273"/>
      <c r="T863" s="273"/>
      <c r="U863" s="273"/>
      <c r="V863" s="273"/>
      <c r="W863" s="273"/>
      <c r="X863" s="273"/>
      <c r="Y863" s="273"/>
      <c r="Z863" s="273"/>
      <c r="AA863" s="273"/>
      <c r="AB863" s="273"/>
      <c r="AC863" s="273"/>
    </row>
    <row r="864" ht="75.0" customHeight="1">
      <c r="A864" s="273"/>
      <c r="B864" s="273"/>
      <c r="C864" s="273"/>
      <c r="D864" s="273"/>
      <c r="E864" s="273"/>
      <c r="F864" s="275"/>
      <c r="G864" s="273"/>
      <c r="H864" s="273"/>
      <c r="I864" s="275"/>
      <c r="J864" s="273"/>
      <c r="K864" s="273"/>
      <c r="L864" s="273"/>
      <c r="M864" s="273"/>
      <c r="N864" s="273"/>
      <c r="O864" s="273"/>
      <c r="P864" s="275"/>
      <c r="Q864" s="273"/>
      <c r="R864" s="273"/>
      <c r="S864" s="273"/>
      <c r="T864" s="273"/>
      <c r="U864" s="273"/>
      <c r="V864" s="273"/>
      <c r="W864" s="273"/>
      <c r="X864" s="273"/>
      <c r="Y864" s="273"/>
      <c r="Z864" s="273"/>
      <c r="AA864" s="273"/>
      <c r="AB864" s="273"/>
      <c r="AC864" s="273"/>
    </row>
    <row r="865" ht="75.0" customHeight="1">
      <c r="A865" s="273"/>
      <c r="B865" s="273"/>
      <c r="C865" s="273"/>
      <c r="D865" s="273"/>
      <c r="E865" s="273"/>
      <c r="F865" s="275"/>
      <c r="G865" s="273"/>
      <c r="H865" s="273"/>
      <c r="I865" s="275"/>
      <c r="J865" s="273"/>
      <c r="K865" s="273"/>
      <c r="L865" s="273"/>
      <c r="M865" s="273"/>
      <c r="N865" s="273"/>
      <c r="O865" s="273"/>
      <c r="P865" s="275"/>
      <c r="Q865" s="273"/>
      <c r="R865" s="273"/>
      <c r="S865" s="273"/>
      <c r="T865" s="273"/>
      <c r="U865" s="273"/>
      <c r="V865" s="273"/>
      <c r="W865" s="273"/>
      <c r="X865" s="273"/>
      <c r="Y865" s="273"/>
      <c r="Z865" s="273"/>
      <c r="AA865" s="273"/>
      <c r="AB865" s="273"/>
      <c r="AC865" s="273"/>
    </row>
    <row r="866" ht="75.0" customHeight="1">
      <c r="A866" s="273"/>
      <c r="B866" s="273"/>
      <c r="C866" s="273"/>
      <c r="D866" s="273"/>
      <c r="E866" s="273"/>
      <c r="F866" s="275"/>
      <c r="G866" s="273"/>
      <c r="H866" s="273"/>
      <c r="I866" s="275"/>
      <c r="J866" s="273"/>
      <c r="K866" s="273"/>
      <c r="L866" s="273"/>
      <c r="M866" s="273"/>
      <c r="N866" s="273"/>
      <c r="O866" s="273"/>
      <c r="P866" s="275"/>
      <c r="Q866" s="273"/>
      <c r="R866" s="273"/>
      <c r="S866" s="273"/>
      <c r="T866" s="273"/>
      <c r="U866" s="273"/>
      <c r="V866" s="273"/>
      <c r="W866" s="273"/>
      <c r="X866" s="273"/>
      <c r="Y866" s="273"/>
      <c r="Z866" s="273"/>
      <c r="AA866" s="273"/>
      <c r="AB866" s="273"/>
      <c r="AC866" s="273"/>
    </row>
    <row r="867" ht="75.0" customHeight="1">
      <c r="A867" s="273"/>
      <c r="B867" s="273"/>
      <c r="C867" s="273"/>
      <c r="D867" s="273"/>
      <c r="E867" s="273"/>
      <c r="F867" s="275"/>
      <c r="G867" s="273"/>
      <c r="H867" s="273"/>
      <c r="I867" s="275"/>
      <c r="J867" s="273"/>
      <c r="K867" s="273"/>
      <c r="L867" s="273"/>
      <c r="M867" s="273"/>
      <c r="N867" s="273"/>
      <c r="O867" s="273"/>
      <c r="P867" s="275"/>
      <c r="Q867" s="273"/>
      <c r="R867" s="273"/>
      <c r="S867" s="273"/>
      <c r="T867" s="273"/>
      <c r="U867" s="273"/>
      <c r="V867" s="273"/>
      <c r="W867" s="273"/>
      <c r="X867" s="273"/>
      <c r="Y867" s="273"/>
      <c r="Z867" s="273"/>
      <c r="AA867" s="273"/>
      <c r="AB867" s="273"/>
      <c r="AC867" s="273"/>
    </row>
    <row r="868" ht="75.0" customHeight="1">
      <c r="A868" s="273"/>
      <c r="B868" s="273"/>
      <c r="C868" s="273"/>
      <c r="D868" s="273"/>
      <c r="E868" s="273"/>
      <c r="F868" s="275"/>
      <c r="G868" s="273"/>
      <c r="H868" s="273"/>
      <c r="I868" s="275"/>
      <c r="J868" s="273"/>
      <c r="K868" s="273"/>
      <c r="L868" s="273"/>
      <c r="M868" s="273"/>
      <c r="N868" s="273"/>
      <c r="O868" s="273"/>
      <c r="P868" s="275"/>
      <c r="Q868" s="273"/>
      <c r="R868" s="273"/>
      <c r="S868" s="273"/>
      <c r="T868" s="273"/>
      <c r="U868" s="273"/>
      <c r="V868" s="273"/>
      <c r="W868" s="273"/>
      <c r="X868" s="273"/>
      <c r="Y868" s="273"/>
      <c r="Z868" s="273"/>
      <c r="AA868" s="273"/>
      <c r="AB868" s="273"/>
      <c r="AC868" s="273"/>
    </row>
    <row r="869" ht="75.0" customHeight="1">
      <c r="A869" s="273"/>
      <c r="B869" s="273"/>
      <c r="C869" s="273"/>
      <c r="D869" s="273"/>
      <c r="E869" s="273"/>
      <c r="F869" s="275"/>
      <c r="G869" s="273"/>
      <c r="H869" s="273"/>
      <c r="I869" s="275"/>
      <c r="J869" s="273"/>
      <c r="K869" s="273"/>
      <c r="L869" s="273"/>
      <c r="M869" s="273"/>
      <c r="N869" s="273"/>
      <c r="O869" s="273"/>
      <c r="P869" s="275"/>
      <c r="Q869" s="273"/>
      <c r="R869" s="273"/>
      <c r="S869" s="273"/>
      <c r="T869" s="273"/>
      <c r="U869" s="273"/>
      <c r="V869" s="273"/>
      <c r="W869" s="273"/>
      <c r="X869" s="273"/>
      <c r="Y869" s="273"/>
      <c r="Z869" s="273"/>
      <c r="AA869" s="273"/>
      <c r="AB869" s="273"/>
      <c r="AC869" s="273"/>
    </row>
    <row r="870" ht="75.0" customHeight="1">
      <c r="A870" s="273"/>
      <c r="B870" s="273"/>
      <c r="C870" s="273"/>
      <c r="D870" s="273"/>
      <c r="E870" s="273"/>
      <c r="F870" s="275"/>
      <c r="G870" s="273"/>
      <c r="H870" s="273"/>
      <c r="I870" s="275"/>
      <c r="J870" s="273"/>
      <c r="K870" s="273"/>
      <c r="L870" s="273"/>
      <c r="M870" s="273"/>
      <c r="N870" s="273"/>
      <c r="O870" s="273"/>
      <c r="P870" s="275"/>
      <c r="Q870" s="273"/>
      <c r="R870" s="273"/>
      <c r="S870" s="273"/>
      <c r="T870" s="273"/>
      <c r="U870" s="273"/>
      <c r="V870" s="273"/>
      <c r="W870" s="273"/>
      <c r="X870" s="273"/>
      <c r="Y870" s="273"/>
      <c r="Z870" s="273"/>
      <c r="AA870" s="273"/>
      <c r="AB870" s="273"/>
      <c r="AC870" s="273"/>
    </row>
    <row r="871" ht="75.0" customHeight="1">
      <c r="A871" s="273"/>
      <c r="B871" s="273"/>
      <c r="C871" s="273"/>
      <c r="D871" s="273"/>
      <c r="E871" s="273"/>
      <c r="F871" s="275"/>
      <c r="G871" s="273"/>
      <c r="H871" s="273"/>
      <c r="I871" s="275"/>
      <c r="J871" s="273"/>
      <c r="K871" s="273"/>
      <c r="L871" s="273"/>
      <c r="M871" s="273"/>
      <c r="N871" s="273"/>
      <c r="O871" s="273"/>
      <c r="P871" s="275"/>
      <c r="Q871" s="273"/>
      <c r="R871" s="273"/>
      <c r="S871" s="273"/>
      <c r="T871" s="273"/>
      <c r="U871" s="273"/>
      <c r="V871" s="273"/>
      <c r="W871" s="273"/>
      <c r="X871" s="273"/>
      <c r="Y871" s="273"/>
      <c r="Z871" s="273"/>
      <c r="AA871" s="273"/>
      <c r="AB871" s="273"/>
      <c r="AC871" s="273"/>
    </row>
    <row r="872" ht="75.0" customHeight="1">
      <c r="A872" s="273"/>
      <c r="B872" s="273"/>
      <c r="C872" s="273"/>
      <c r="D872" s="273"/>
      <c r="E872" s="273"/>
      <c r="F872" s="275"/>
      <c r="G872" s="273"/>
      <c r="H872" s="273"/>
      <c r="I872" s="275"/>
      <c r="J872" s="273"/>
      <c r="K872" s="273"/>
      <c r="L872" s="273"/>
      <c r="M872" s="273"/>
      <c r="N872" s="273"/>
      <c r="O872" s="273"/>
      <c r="P872" s="275"/>
      <c r="Q872" s="273"/>
      <c r="R872" s="273"/>
      <c r="S872" s="273"/>
      <c r="T872" s="273"/>
      <c r="U872" s="273"/>
      <c r="V872" s="273"/>
      <c r="W872" s="273"/>
      <c r="X872" s="273"/>
      <c r="Y872" s="273"/>
      <c r="Z872" s="273"/>
      <c r="AA872" s="273"/>
      <c r="AB872" s="273"/>
      <c r="AC872" s="273"/>
    </row>
    <row r="873" ht="75.0" customHeight="1">
      <c r="A873" s="273"/>
      <c r="B873" s="273"/>
      <c r="C873" s="273"/>
      <c r="D873" s="273"/>
      <c r="E873" s="273"/>
      <c r="F873" s="275"/>
      <c r="G873" s="273"/>
      <c r="H873" s="273"/>
      <c r="I873" s="275"/>
      <c r="J873" s="273"/>
      <c r="K873" s="273"/>
      <c r="L873" s="273"/>
      <c r="M873" s="273"/>
      <c r="N873" s="273"/>
      <c r="O873" s="273"/>
      <c r="P873" s="275"/>
      <c r="Q873" s="273"/>
      <c r="R873" s="273"/>
      <c r="S873" s="273"/>
      <c r="T873" s="273"/>
      <c r="U873" s="273"/>
      <c r="V873" s="273"/>
      <c r="W873" s="273"/>
      <c r="X873" s="273"/>
      <c r="Y873" s="273"/>
      <c r="Z873" s="273"/>
      <c r="AA873" s="273"/>
      <c r="AB873" s="273"/>
      <c r="AC873" s="273"/>
    </row>
    <row r="874" ht="75.0" customHeight="1">
      <c r="A874" s="273"/>
      <c r="B874" s="273"/>
      <c r="C874" s="273"/>
      <c r="D874" s="273"/>
      <c r="E874" s="273"/>
      <c r="F874" s="275"/>
      <c r="G874" s="273"/>
      <c r="H874" s="273"/>
      <c r="I874" s="275"/>
      <c r="J874" s="273"/>
      <c r="K874" s="273"/>
      <c r="L874" s="273"/>
      <c r="M874" s="273"/>
      <c r="N874" s="273"/>
      <c r="O874" s="273"/>
      <c r="P874" s="275"/>
      <c r="Q874" s="273"/>
      <c r="R874" s="273"/>
      <c r="S874" s="273"/>
      <c r="T874" s="273"/>
      <c r="U874" s="273"/>
      <c r="V874" s="273"/>
      <c r="W874" s="273"/>
      <c r="X874" s="273"/>
      <c r="Y874" s="273"/>
      <c r="Z874" s="273"/>
      <c r="AA874" s="273"/>
      <c r="AB874" s="273"/>
      <c r="AC874" s="273"/>
    </row>
    <row r="875" ht="75.0" customHeight="1">
      <c r="A875" s="273"/>
      <c r="B875" s="273"/>
      <c r="C875" s="273"/>
      <c r="D875" s="273"/>
      <c r="E875" s="273"/>
      <c r="F875" s="275"/>
      <c r="G875" s="273"/>
      <c r="H875" s="273"/>
      <c r="I875" s="275"/>
      <c r="J875" s="273"/>
      <c r="K875" s="273"/>
      <c r="L875" s="273"/>
      <c r="M875" s="273"/>
      <c r="N875" s="273"/>
      <c r="O875" s="273"/>
      <c r="P875" s="275"/>
      <c r="Q875" s="273"/>
      <c r="R875" s="273"/>
      <c r="S875" s="273"/>
      <c r="T875" s="273"/>
      <c r="U875" s="273"/>
      <c r="V875" s="273"/>
      <c r="W875" s="273"/>
      <c r="X875" s="273"/>
      <c r="Y875" s="273"/>
      <c r="Z875" s="273"/>
      <c r="AA875" s="273"/>
      <c r="AB875" s="273"/>
      <c r="AC875" s="273"/>
    </row>
    <row r="876" ht="75.0" customHeight="1">
      <c r="A876" s="273"/>
      <c r="B876" s="273"/>
      <c r="C876" s="273"/>
      <c r="D876" s="273"/>
      <c r="E876" s="273"/>
      <c r="F876" s="275"/>
      <c r="G876" s="273"/>
      <c r="H876" s="273"/>
      <c r="I876" s="275"/>
      <c r="J876" s="273"/>
      <c r="K876" s="273"/>
      <c r="L876" s="273"/>
      <c r="M876" s="273"/>
      <c r="N876" s="273"/>
      <c r="O876" s="273"/>
      <c r="P876" s="275"/>
      <c r="Q876" s="273"/>
      <c r="R876" s="273"/>
      <c r="S876" s="273"/>
      <c r="T876" s="273"/>
      <c r="U876" s="273"/>
      <c r="V876" s="273"/>
      <c r="W876" s="273"/>
      <c r="X876" s="273"/>
      <c r="Y876" s="273"/>
      <c r="Z876" s="273"/>
      <c r="AA876" s="273"/>
      <c r="AB876" s="273"/>
      <c r="AC876" s="273"/>
    </row>
    <row r="877" ht="75.0" customHeight="1">
      <c r="A877" s="273"/>
      <c r="B877" s="273"/>
      <c r="C877" s="273"/>
      <c r="D877" s="273"/>
      <c r="E877" s="273"/>
      <c r="F877" s="275"/>
      <c r="G877" s="273"/>
      <c r="H877" s="273"/>
      <c r="I877" s="275"/>
      <c r="J877" s="273"/>
      <c r="K877" s="273"/>
      <c r="L877" s="273"/>
      <c r="M877" s="273"/>
      <c r="N877" s="273"/>
      <c r="O877" s="273"/>
      <c r="P877" s="275"/>
      <c r="Q877" s="273"/>
      <c r="R877" s="273"/>
      <c r="S877" s="273"/>
      <c r="T877" s="273"/>
      <c r="U877" s="273"/>
      <c r="V877" s="273"/>
      <c r="W877" s="273"/>
      <c r="X877" s="273"/>
      <c r="Y877" s="273"/>
      <c r="Z877" s="273"/>
      <c r="AA877" s="273"/>
      <c r="AB877" s="273"/>
      <c r="AC877" s="273"/>
    </row>
    <row r="878" ht="75.0" customHeight="1">
      <c r="A878" s="273"/>
      <c r="B878" s="273"/>
      <c r="C878" s="273"/>
      <c r="D878" s="273"/>
      <c r="E878" s="273"/>
      <c r="F878" s="275"/>
      <c r="G878" s="273"/>
      <c r="H878" s="273"/>
      <c r="I878" s="275"/>
      <c r="J878" s="273"/>
      <c r="K878" s="273"/>
      <c r="L878" s="273"/>
      <c r="M878" s="273"/>
      <c r="N878" s="273"/>
      <c r="O878" s="273"/>
      <c r="P878" s="275"/>
      <c r="Q878" s="273"/>
      <c r="R878" s="273"/>
      <c r="S878" s="273"/>
      <c r="T878" s="273"/>
      <c r="U878" s="273"/>
      <c r="V878" s="273"/>
      <c r="W878" s="273"/>
      <c r="X878" s="273"/>
      <c r="Y878" s="273"/>
      <c r="Z878" s="273"/>
      <c r="AA878" s="273"/>
      <c r="AB878" s="273"/>
      <c r="AC878" s="273"/>
    </row>
    <row r="879" ht="75.0" customHeight="1">
      <c r="A879" s="273"/>
      <c r="B879" s="273"/>
      <c r="C879" s="273"/>
      <c r="D879" s="273"/>
      <c r="E879" s="273"/>
      <c r="F879" s="275"/>
      <c r="G879" s="273"/>
      <c r="H879" s="273"/>
      <c r="I879" s="275"/>
      <c r="J879" s="273"/>
      <c r="K879" s="273"/>
      <c r="L879" s="273"/>
      <c r="M879" s="273"/>
      <c r="N879" s="273"/>
      <c r="O879" s="273"/>
      <c r="P879" s="275"/>
      <c r="Q879" s="273"/>
      <c r="R879" s="273"/>
      <c r="S879" s="273"/>
      <c r="T879" s="273"/>
      <c r="U879" s="273"/>
      <c r="V879" s="273"/>
      <c r="W879" s="273"/>
      <c r="X879" s="273"/>
      <c r="Y879" s="273"/>
      <c r="Z879" s="273"/>
      <c r="AA879" s="273"/>
      <c r="AB879" s="273"/>
      <c r="AC879" s="273"/>
    </row>
    <row r="880" ht="75.0" customHeight="1">
      <c r="A880" s="273"/>
      <c r="B880" s="273"/>
      <c r="C880" s="273"/>
      <c r="D880" s="273"/>
      <c r="E880" s="273"/>
      <c r="F880" s="275"/>
      <c r="G880" s="273"/>
      <c r="H880" s="273"/>
      <c r="I880" s="275"/>
      <c r="J880" s="273"/>
      <c r="K880" s="273"/>
      <c r="L880" s="273"/>
      <c r="M880" s="273"/>
      <c r="N880" s="273"/>
      <c r="O880" s="273"/>
      <c r="P880" s="275"/>
      <c r="Q880" s="273"/>
      <c r="R880" s="273"/>
      <c r="S880" s="273"/>
      <c r="T880" s="273"/>
      <c r="U880" s="273"/>
      <c r="V880" s="273"/>
      <c r="W880" s="273"/>
      <c r="X880" s="273"/>
      <c r="Y880" s="273"/>
      <c r="Z880" s="273"/>
      <c r="AA880" s="273"/>
      <c r="AB880" s="273"/>
      <c r="AC880" s="273"/>
    </row>
    <row r="881" ht="75.0" customHeight="1">
      <c r="A881" s="273"/>
      <c r="B881" s="273"/>
      <c r="C881" s="273"/>
      <c r="D881" s="273"/>
      <c r="E881" s="273"/>
      <c r="F881" s="275"/>
      <c r="G881" s="273"/>
      <c r="H881" s="273"/>
      <c r="I881" s="275"/>
      <c r="J881" s="273"/>
      <c r="K881" s="273"/>
      <c r="L881" s="273"/>
      <c r="M881" s="273"/>
      <c r="N881" s="273"/>
      <c r="O881" s="273"/>
      <c r="P881" s="275"/>
      <c r="Q881" s="273"/>
      <c r="R881" s="273"/>
      <c r="S881" s="273"/>
      <c r="T881" s="273"/>
      <c r="U881" s="273"/>
      <c r="V881" s="273"/>
      <c r="W881" s="273"/>
      <c r="X881" s="273"/>
      <c r="Y881" s="273"/>
      <c r="Z881" s="273"/>
      <c r="AA881" s="273"/>
      <c r="AB881" s="273"/>
      <c r="AC881" s="273"/>
    </row>
    <row r="882" ht="75.0" customHeight="1">
      <c r="A882" s="273"/>
      <c r="B882" s="273"/>
      <c r="C882" s="273"/>
      <c r="D882" s="273"/>
      <c r="E882" s="273"/>
      <c r="F882" s="275"/>
      <c r="G882" s="273"/>
      <c r="H882" s="273"/>
      <c r="I882" s="275"/>
      <c r="J882" s="273"/>
      <c r="K882" s="273"/>
      <c r="L882" s="273"/>
      <c r="M882" s="273"/>
      <c r="N882" s="273"/>
      <c r="O882" s="273"/>
      <c r="P882" s="275"/>
      <c r="Q882" s="273"/>
      <c r="R882" s="273"/>
      <c r="S882" s="273"/>
      <c r="T882" s="273"/>
      <c r="U882" s="273"/>
      <c r="V882" s="273"/>
      <c r="W882" s="273"/>
      <c r="X882" s="273"/>
      <c r="Y882" s="273"/>
      <c r="Z882" s="273"/>
      <c r="AA882" s="273"/>
      <c r="AB882" s="273"/>
      <c r="AC882" s="273"/>
    </row>
    <row r="883" ht="75.0" customHeight="1">
      <c r="A883" s="273"/>
      <c r="B883" s="273"/>
      <c r="C883" s="273"/>
      <c r="D883" s="273"/>
      <c r="E883" s="273"/>
      <c r="F883" s="275"/>
      <c r="G883" s="273"/>
      <c r="H883" s="273"/>
      <c r="I883" s="275"/>
      <c r="J883" s="273"/>
      <c r="K883" s="273"/>
      <c r="L883" s="273"/>
      <c r="M883" s="273"/>
      <c r="N883" s="273"/>
      <c r="O883" s="273"/>
      <c r="P883" s="275"/>
      <c r="Q883" s="273"/>
      <c r="R883" s="273"/>
      <c r="S883" s="273"/>
      <c r="T883" s="273"/>
      <c r="U883" s="273"/>
      <c r="V883" s="273"/>
      <c r="W883" s="273"/>
      <c r="X883" s="273"/>
      <c r="Y883" s="273"/>
      <c r="Z883" s="273"/>
      <c r="AA883" s="273"/>
      <c r="AB883" s="273"/>
      <c r="AC883" s="273"/>
    </row>
    <row r="884" ht="75.0" customHeight="1">
      <c r="A884" s="273"/>
      <c r="B884" s="273"/>
      <c r="C884" s="273"/>
      <c r="D884" s="273"/>
      <c r="E884" s="273"/>
      <c r="F884" s="275"/>
      <c r="G884" s="273"/>
      <c r="H884" s="273"/>
      <c r="I884" s="275"/>
      <c r="J884" s="273"/>
      <c r="K884" s="273"/>
      <c r="L884" s="273"/>
      <c r="M884" s="273"/>
      <c r="N884" s="273"/>
      <c r="O884" s="273"/>
      <c r="P884" s="275"/>
      <c r="Q884" s="273"/>
      <c r="R884" s="273"/>
      <c r="S884" s="273"/>
      <c r="T884" s="273"/>
      <c r="U884" s="273"/>
      <c r="V884" s="273"/>
      <c r="W884" s="273"/>
      <c r="X884" s="273"/>
      <c r="Y884" s="273"/>
      <c r="Z884" s="273"/>
      <c r="AA884" s="273"/>
      <c r="AB884" s="273"/>
      <c r="AC884" s="273"/>
    </row>
    <row r="885" ht="75.0" customHeight="1">
      <c r="A885" s="273"/>
      <c r="B885" s="273"/>
      <c r="C885" s="273"/>
      <c r="D885" s="273"/>
      <c r="E885" s="273"/>
      <c r="F885" s="275"/>
      <c r="G885" s="273"/>
      <c r="H885" s="273"/>
      <c r="I885" s="275"/>
      <c r="J885" s="273"/>
      <c r="K885" s="273"/>
      <c r="L885" s="273"/>
      <c r="M885" s="273"/>
      <c r="N885" s="273"/>
      <c r="O885" s="273"/>
      <c r="P885" s="275"/>
      <c r="Q885" s="273"/>
      <c r="R885" s="273"/>
      <c r="S885" s="273"/>
      <c r="T885" s="273"/>
      <c r="U885" s="273"/>
      <c r="V885" s="273"/>
      <c r="W885" s="273"/>
      <c r="X885" s="273"/>
      <c r="Y885" s="273"/>
      <c r="Z885" s="273"/>
      <c r="AA885" s="273"/>
      <c r="AB885" s="273"/>
      <c r="AC885" s="273"/>
    </row>
    <row r="886" ht="75.0" customHeight="1">
      <c r="A886" s="273"/>
      <c r="B886" s="273"/>
      <c r="C886" s="273"/>
      <c r="D886" s="273"/>
      <c r="E886" s="273"/>
      <c r="F886" s="275"/>
      <c r="G886" s="273"/>
      <c r="H886" s="273"/>
      <c r="I886" s="275"/>
      <c r="J886" s="273"/>
      <c r="K886" s="273"/>
      <c r="L886" s="273"/>
      <c r="M886" s="273"/>
      <c r="N886" s="273"/>
      <c r="O886" s="273"/>
      <c r="P886" s="275"/>
      <c r="Q886" s="273"/>
      <c r="R886" s="273"/>
      <c r="S886" s="273"/>
      <c r="T886" s="273"/>
      <c r="U886" s="273"/>
      <c r="V886" s="273"/>
      <c r="W886" s="273"/>
      <c r="X886" s="273"/>
      <c r="Y886" s="273"/>
      <c r="Z886" s="273"/>
      <c r="AA886" s="273"/>
      <c r="AB886" s="273"/>
      <c r="AC886" s="273"/>
    </row>
    <row r="887" ht="75.0" customHeight="1">
      <c r="A887" s="273"/>
      <c r="B887" s="273"/>
      <c r="C887" s="273"/>
      <c r="D887" s="273"/>
      <c r="E887" s="273"/>
      <c r="F887" s="275"/>
      <c r="G887" s="273"/>
      <c r="H887" s="273"/>
      <c r="I887" s="275"/>
      <c r="J887" s="273"/>
      <c r="K887" s="273"/>
      <c r="L887" s="273"/>
      <c r="M887" s="273"/>
      <c r="N887" s="273"/>
      <c r="O887" s="273"/>
      <c r="P887" s="275"/>
      <c r="Q887" s="273"/>
      <c r="R887" s="273"/>
      <c r="S887" s="273"/>
      <c r="T887" s="273"/>
      <c r="U887" s="273"/>
      <c r="V887" s="273"/>
      <c r="W887" s="273"/>
      <c r="X887" s="273"/>
      <c r="Y887" s="273"/>
      <c r="Z887" s="273"/>
      <c r="AA887" s="273"/>
      <c r="AB887" s="273"/>
      <c r="AC887" s="273"/>
    </row>
    <row r="888" ht="75.0" customHeight="1">
      <c r="A888" s="273"/>
      <c r="B888" s="273"/>
      <c r="C888" s="273"/>
      <c r="D888" s="273"/>
      <c r="E888" s="273"/>
      <c r="F888" s="275"/>
      <c r="G888" s="273"/>
      <c r="H888" s="273"/>
      <c r="I888" s="275"/>
      <c r="J888" s="273"/>
      <c r="K888" s="273"/>
      <c r="L888" s="273"/>
      <c r="M888" s="273"/>
      <c r="N888" s="273"/>
      <c r="O888" s="273"/>
      <c r="P888" s="275"/>
      <c r="Q888" s="273"/>
      <c r="R888" s="273"/>
      <c r="S888" s="273"/>
      <c r="T888" s="273"/>
      <c r="U888" s="273"/>
      <c r="V888" s="273"/>
      <c r="W888" s="273"/>
      <c r="X888" s="273"/>
      <c r="Y888" s="273"/>
      <c r="Z888" s="273"/>
      <c r="AA888" s="273"/>
      <c r="AB888" s="273"/>
      <c r="AC888" s="273"/>
    </row>
    <row r="889" ht="75.0" customHeight="1">
      <c r="A889" s="273"/>
      <c r="B889" s="273"/>
      <c r="C889" s="273"/>
      <c r="D889" s="273"/>
      <c r="E889" s="273"/>
      <c r="F889" s="275"/>
      <c r="G889" s="273"/>
      <c r="H889" s="273"/>
      <c r="I889" s="275"/>
      <c r="J889" s="273"/>
      <c r="K889" s="273"/>
      <c r="L889" s="273"/>
      <c r="M889" s="273"/>
      <c r="N889" s="273"/>
      <c r="O889" s="273"/>
      <c r="P889" s="275"/>
      <c r="Q889" s="273"/>
      <c r="R889" s="273"/>
      <c r="S889" s="273"/>
      <c r="T889" s="273"/>
      <c r="U889" s="273"/>
      <c r="V889" s="273"/>
      <c r="W889" s="273"/>
      <c r="X889" s="273"/>
      <c r="Y889" s="273"/>
      <c r="Z889" s="273"/>
      <c r="AA889" s="273"/>
      <c r="AB889" s="273"/>
      <c r="AC889" s="273"/>
    </row>
    <row r="890" ht="75.0" customHeight="1">
      <c r="A890" s="273"/>
      <c r="B890" s="273"/>
      <c r="C890" s="273"/>
      <c r="D890" s="273"/>
      <c r="E890" s="273"/>
      <c r="F890" s="275"/>
      <c r="G890" s="273"/>
      <c r="H890" s="273"/>
      <c r="I890" s="275"/>
      <c r="J890" s="273"/>
      <c r="K890" s="273"/>
      <c r="L890" s="273"/>
      <c r="M890" s="273"/>
      <c r="N890" s="273"/>
      <c r="O890" s="273"/>
      <c r="P890" s="275"/>
      <c r="Q890" s="273"/>
      <c r="R890" s="273"/>
      <c r="S890" s="273"/>
      <c r="T890" s="273"/>
      <c r="U890" s="273"/>
      <c r="V890" s="273"/>
      <c r="W890" s="273"/>
      <c r="X890" s="273"/>
      <c r="Y890" s="273"/>
      <c r="Z890" s="273"/>
      <c r="AA890" s="273"/>
      <c r="AB890" s="273"/>
      <c r="AC890" s="273"/>
    </row>
    <row r="891" ht="75.0" customHeight="1">
      <c r="A891" s="273"/>
      <c r="B891" s="273"/>
      <c r="C891" s="273"/>
      <c r="D891" s="273"/>
      <c r="E891" s="273"/>
      <c r="F891" s="275"/>
      <c r="G891" s="273"/>
      <c r="H891" s="273"/>
      <c r="I891" s="275"/>
      <c r="J891" s="273"/>
      <c r="K891" s="273"/>
      <c r="L891" s="273"/>
      <c r="M891" s="273"/>
      <c r="N891" s="273"/>
      <c r="O891" s="273"/>
      <c r="P891" s="275"/>
      <c r="Q891" s="273"/>
      <c r="R891" s="273"/>
      <c r="S891" s="273"/>
      <c r="T891" s="273"/>
      <c r="U891" s="273"/>
      <c r="V891" s="273"/>
      <c r="W891" s="273"/>
      <c r="X891" s="273"/>
      <c r="Y891" s="273"/>
      <c r="Z891" s="273"/>
      <c r="AA891" s="273"/>
      <c r="AB891" s="273"/>
      <c r="AC891" s="273"/>
    </row>
    <row r="892" ht="75.0" customHeight="1">
      <c r="A892" s="273"/>
      <c r="B892" s="273"/>
      <c r="C892" s="273"/>
      <c r="D892" s="273"/>
      <c r="E892" s="273"/>
      <c r="F892" s="275"/>
      <c r="G892" s="273"/>
      <c r="H892" s="273"/>
      <c r="I892" s="275"/>
      <c r="J892" s="273"/>
      <c r="K892" s="273"/>
      <c r="L892" s="273"/>
      <c r="M892" s="273"/>
      <c r="N892" s="273"/>
      <c r="O892" s="273"/>
      <c r="P892" s="275"/>
      <c r="Q892" s="273"/>
      <c r="R892" s="273"/>
      <c r="S892" s="273"/>
      <c r="T892" s="273"/>
      <c r="U892" s="273"/>
      <c r="V892" s="273"/>
      <c r="W892" s="273"/>
      <c r="X892" s="273"/>
      <c r="Y892" s="273"/>
      <c r="Z892" s="273"/>
      <c r="AA892" s="273"/>
      <c r="AB892" s="273"/>
      <c r="AC892" s="273"/>
    </row>
    <row r="893" ht="75.0" customHeight="1">
      <c r="A893" s="273"/>
      <c r="B893" s="273"/>
      <c r="C893" s="273"/>
      <c r="D893" s="273"/>
      <c r="E893" s="273"/>
      <c r="F893" s="275"/>
      <c r="G893" s="273"/>
      <c r="H893" s="273"/>
      <c r="I893" s="275"/>
      <c r="J893" s="273"/>
      <c r="K893" s="273"/>
      <c r="L893" s="273"/>
      <c r="M893" s="273"/>
      <c r="N893" s="273"/>
      <c r="O893" s="273"/>
      <c r="P893" s="275"/>
      <c r="Q893" s="273"/>
      <c r="R893" s="273"/>
      <c r="S893" s="273"/>
      <c r="T893" s="273"/>
      <c r="U893" s="273"/>
      <c r="V893" s="273"/>
      <c r="W893" s="273"/>
      <c r="X893" s="273"/>
      <c r="Y893" s="273"/>
      <c r="Z893" s="273"/>
      <c r="AA893" s="273"/>
      <c r="AB893" s="273"/>
      <c r="AC893" s="273"/>
    </row>
    <row r="894" ht="75.0" customHeight="1">
      <c r="A894" s="273"/>
      <c r="B894" s="273"/>
      <c r="C894" s="273"/>
      <c r="D894" s="273"/>
      <c r="E894" s="273"/>
      <c r="F894" s="275"/>
      <c r="G894" s="273"/>
      <c r="H894" s="273"/>
      <c r="I894" s="275"/>
      <c r="J894" s="273"/>
      <c r="K894" s="273"/>
      <c r="L894" s="273"/>
      <c r="M894" s="273"/>
      <c r="N894" s="273"/>
      <c r="O894" s="273"/>
      <c r="P894" s="275"/>
      <c r="Q894" s="273"/>
      <c r="R894" s="273"/>
      <c r="S894" s="273"/>
      <c r="T894" s="273"/>
      <c r="U894" s="273"/>
      <c r="V894" s="273"/>
      <c r="W894" s="273"/>
      <c r="X894" s="273"/>
      <c r="Y894" s="273"/>
      <c r="Z894" s="273"/>
      <c r="AA894" s="273"/>
      <c r="AB894" s="273"/>
      <c r="AC894" s="273"/>
    </row>
    <row r="895" ht="75.0" customHeight="1">
      <c r="A895" s="273"/>
      <c r="B895" s="273"/>
      <c r="C895" s="273"/>
      <c r="D895" s="273"/>
      <c r="E895" s="273"/>
      <c r="F895" s="275"/>
      <c r="G895" s="273"/>
      <c r="H895" s="273"/>
      <c r="I895" s="275"/>
      <c r="J895" s="273"/>
      <c r="K895" s="273"/>
      <c r="L895" s="273"/>
      <c r="M895" s="273"/>
      <c r="N895" s="273"/>
      <c r="O895" s="273"/>
      <c r="P895" s="275"/>
      <c r="Q895" s="273"/>
      <c r="R895" s="273"/>
      <c r="S895" s="273"/>
      <c r="T895" s="273"/>
      <c r="U895" s="273"/>
      <c r="V895" s="273"/>
      <c r="W895" s="273"/>
      <c r="X895" s="273"/>
      <c r="Y895" s="273"/>
      <c r="Z895" s="273"/>
      <c r="AA895" s="273"/>
      <c r="AB895" s="273"/>
      <c r="AC895" s="273"/>
    </row>
    <row r="896" ht="75.0" customHeight="1">
      <c r="A896" s="273"/>
      <c r="B896" s="273"/>
      <c r="C896" s="273"/>
      <c r="D896" s="273"/>
      <c r="E896" s="273"/>
      <c r="F896" s="275"/>
      <c r="G896" s="273"/>
      <c r="H896" s="273"/>
      <c r="I896" s="275"/>
      <c r="J896" s="273"/>
      <c r="K896" s="273"/>
      <c r="L896" s="273"/>
      <c r="M896" s="273"/>
      <c r="N896" s="273"/>
      <c r="O896" s="273"/>
      <c r="P896" s="275"/>
      <c r="Q896" s="273"/>
      <c r="R896" s="273"/>
      <c r="S896" s="273"/>
      <c r="T896" s="273"/>
      <c r="U896" s="273"/>
      <c r="V896" s="273"/>
      <c r="W896" s="273"/>
      <c r="X896" s="273"/>
      <c r="Y896" s="273"/>
      <c r="Z896" s="273"/>
      <c r="AA896" s="273"/>
      <c r="AB896" s="273"/>
      <c r="AC896" s="273"/>
    </row>
    <row r="897" ht="75.0" customHeight="1">
      <c r="A897" s="273"/>
      <c r="B897" s="273"/>
      <c r="C897" s="273"/>
      <c r="D897" s="273"/>
      <c r="E897" s="273"/>
      <c r="F897" s="275"/>
      <c r="G897" s="273"/>
      <c r="H897" s="273"/>
      <c r="I897" s="275"/>
      <c r="J897" s="273"/>
      <c r="K897" s="273"/>
      <c r="L897" s="273"/>
      <c r="M897" s="273"/>
      <c r="N897" s="273"/>
      <c r="O897" s="273"/>
      <c r="P897" s="275"/>
      <c r="Q897" s="273"/>
      <c r="R897" s="273"/>
      <c r="S897" s="273"/>
      <c r="T897" s="273"/>
      <c r="U897" s="273"/>
      <c r="V897" s="273"/>
      <c r="W897" s="273"/>
      <c r="X897" s="273"/>
      <c r="Y897" s="273"/>
      <c r="Z897" s="273"/>
      <c r="AA897" s="273"/>
      <c r="AB897" s="273"/>
      <c r="AC897" s="273"/>
    </row>
    <row r="898" ht="75.0" customHeight="1">
      <c r="A898" s="273"/>
      <c r="B898" s="273"/>
      <c r="C898" s="273"/>
      <c r="D898" s="273"/>
      <c r="E898" s="273"/>
      <c r="F898" s="275"/>
      <c r="G898" s="273"/>
      <c r="H898" s="273"/>
      <c r="I898" s="275"/>
      <c r="J898" s="273"/>
      <c r="K898" s="273"/>
      <c r="L898" s="273"/>
      <c r="M898" s="273"/>
      <c r="N898" s="273"/>
      <c r="O898" s="273"/>
      <c r="P898" s="275"/>
      <c r="Q898" s="273"/>
      <c r="R898" s="273"/>
      <c r="S898" s="273"/>
      <c r="T898" s="273"/>
      <c r="U898" s="273"/>
      <c r="V898" s="273"/>
      <c r="W898" s="273"/>
      <c r="X898" s="273"/>
      <c r="Y898" s="273"/>
      <c r="Z898" s="273"/>
      <c r="AA898" s="273"/>
      <c r="AB898" s="273"/>
      <c r="AC898" s="273"/>
    </row>
    <row r="899" ht="75.0" customHeight="1">
      <c r="A899" s="273"/>
      <c r="B899" s="273"/>
      <c r="C899" s="273"/>
      <c r="D899" s="273"/>
      <c r="E899" s="273"/>
      <c r="F899" s="275"/>
      <c r="G899" s="273"/>
      <c r="H899" s="273"/>
      <c r="I899" s="275"/>
      <c r="J899" s="273"/>
      <c r="K899" s="273"/>
      <c r="L899" s="273"/>
      <c r="M899" s="273"/>
      <c r="N899" s="273"/>
      <c r="O899" s="273"/>
      <c r="P899" s="275"/>
      <c r="Q899" s="273"/>
      <c r="R899" s="273"/>
      <c r="S899" s="273"/>
      <c r="T899" s="273"/>
      <c r="U899" s="273"/>
      <c r="V899" s="273"/>
      <c r="W899" s="273"/>
      <c r="X899" s="273"/>
      <c r="Y899" s="273"/>
      <c r="Z899" s="273"/>
      <c r="AA899" s="273"/>
      <c r="AB899" s="273"/>
      <c r="AC899" s="273"/>
    </row>
    <row r="900" ht="75.0" customHeight="1">
      <c r="A900" s="273"/>
      <c r="B900" s="273"/>
      <c r="C900" s="273"/>
      <c r="D900" s="273"/>
      <c r="E900" s="273"/>
      <c r="F900" s="275"/>
      <c r="G900" s="273"/>
      <c r="H900" s="273"/>
      <c r="I900" s="275"/>
      <c r="J900" s="273"/>
      <c r="K900" s="273"/>
      <c r="L900" s="273"/>
      <c r="M900" s="273"/>
      <c r="N900" s="273"/>
      <c r="O900" s="273"/>
      <c r="P900" s="275"/>
      <c r="Q900" s="273"/>
      <c r="R900" s="273"/>
      <c r="S900" s="273"/>
      <c r="T900" s="273"/>
      <c r="U900" s="273"/>
      <c r="V900" s="273"/>
      <c r="W900" s="273"/>
      <c r="X900" s="273"/>
      <c r="Y900" s="273"/>
      <c r="Z900" s="273"/>
      <c r="AA900" s="273"/>
      <c r="AB900" s="273"/>
      <c r="AC900" s="273"/>
    </row>
    <row r="901" ht="75.0" customHeight="1">
      <c r="A901" s="273"/>
      <c r="B901" s="273"/>
      <c r="C901" s="273"/>
      <c r="D901" s="273"/>
      <c r="E901" s="273"/>
      <c r="F901" s="275"/>
      <c r="G901" s="273"/>
      <c r="H901" s="273"/>
      <c r="I901" s="275"/>
      <c r="J901" s="273"/>
      <c r="K901" s="273"/>
      <c r="L901" s="273"/>
      <c r="M901" s="273"/>
      <c r="N901" s="273"/>
      <c r="O901" s="273"/>
      <c r="P901" s="275"/>
      <c r="Q901" s="273"/>
      <c r="R901" s="273"/>
      <c r="S901" s="273"/>
      <c r="T901" s="273"/>
      <c r="U901" s="273"/>
      <c r="V901" s="273"/>
      <c r="W901" s="273"/>
      <c r="X901" s="273"/>
      <c r="Y901" s="273"/>
      <c r="Z901" s="273"/>
      <c r="AA901" s="273"/>
      <c r="AB901" s="273"/>
      <c r="AC901" s="273"/>
    </row>
    <row r="902" ht="75.0" customHeight="1">
      <c r="A902" s="273"/>
      <c r="B902" s="273"/>
      <c r="C902" s="273"/>
      <c r="D902" s="273"/>
      <c r="E902" s="273"/>
      <c r="F902" s="275"/>
      <c r="G902" s="273"/>
      <c r="H902" s="273"/>
      <c r="I902" s="275"/>
      <c r="J902" s="273"/>
      <c r="K902" s="273"/>
      <c r="L902" s="273"/>
      <c r="M902" s="273"/>
      <c r="N902" s="273"/>
      <c r="O902" s="273"/>
      <c r="P902" s="275"/>
      <c r="Q902" s="273"/>
      <c r="R902" s="273"/>
      <c r="S902" s="273"/>
      <c r="T902" s="273"/>
      <c r="U902" s="273"/>
      <c r="V902" s="273"/>
      <c r="W902" s="273"/>
      <c r="X902" s="273"/>
      <c r="Y902" s="273"/>
      <c r="Z902" s="273"/>
      <c r="AA902" s="273"/>
      <c r="AB902" s="273"/>
      <c r="AC902" s="273"/>
    </row>
    <row r="903" ht="75.0" customHeight="1">
      <c r="A903" s="273"/>
      <c r="B903" s="273"/>
      <c r="C903" s="273"/>
      <c r="D903" s="273"/>
      <c r="E903" s="273"/>
      <c r="F903" s="275"/>
      <c r="G903" s="273"/>
      <c r="H903" s="273"/>
      <c r="I903" s="275"/>
      <c r="J903" s="273"/>
      <c r="K903" s="273"/>
      <c r="L903" s="273"/>
      <c r="M903" s="273"/>
      <c r="N903" s="273"/>
      <c r="O903" s="273"/>
      <c r="P903" s="275"/>
      <c r="Q903" s="273"/>
      <c r="R903" s="273"/>
      <c r="S903" s="273"/>
      <c r="T903" s="273"/>
      <c r="U903" s="273"/>
      <c r="V903" s="273"/>
      <c r="W903" s="273"/>
      <c r="X903" s="273"/>
      <c r="Y903" s="273"/>
      <c r="Z903" s="273"/>
      <c r="AA903" s="273"/>
      <c r="AB903" s="273"/>
      <c r="AC903" s="273"/>
    </row>
    <row r="904" ht="75.0" customHeight="1">
      <c r="A904" s="273"/>
      <c r="B904" s="273"/>
      <c r="C904" s="273"/>
      <c r="D904" s="273"/>
      <c r="E904" s="273"/>
      <c r="F904" s="275"/>
      <c r="G904" s="273"/>
      <c r="H904" s="273"/>
      <c r="I904" s="275"/>
      <c r="J904" s="273"/>
      <c r="K904" s="273"/>
      <c r="L904" s="273"/>
      <c r="M904" s="273"/>
      <c r="N904" s="273"/>
      <c r="O904" s="273"/>
      <c r="P904" s="275"/>
      <c r="Q904" s="273"/>
      <c r="R904" s="273"/>
      <c r="S904" s="273"/>
      <c r="T904" s="273"/>
      <c r="U904" s="273"/>
      <c r="V904" s="273"/>
      <c r="W904" s="273"/>
      <c r="X904" s="273"/>
      <c r="Y904" s="273"/>
      <c r="Z904" s="273"/>
      <c r="AA904" s="273"/>
      <c r="AB904" s="273"/>
      <c r="AC904" s="273"/>
    </row>
    <row r="905" ht="75.0" customHeight="1">
      <c r="A905" s="273"/>
      <c r="B905" s="273"/>
      <c r="C905" s="273"/>
      <c r="D905" s="273"/>
      <c r="E905" s="273"/>
      <c r="F905" s="275"/>
      <c r="G905" s="273"/>
      <c r="H905" s="273"/>
      <c r="I905" s="275"/>
      <c r="J905" s="273"/>
      <c r="K905" s="273"/>
      <c r="L905" s="273"/>
      <c r="M905" s="273"/>
      <c r="N905" s="273"/>
      <c r="O905" s="273"/>
      <c r="P905" s="275"/>
      <c r="Q905" s="273"/>
      <c r="R905" s="273"/>
      <c r="S905" s="273"/>
      <c r="T905" s="273"/>
      <c r="U905" s="273"/>
      <c r="V905" s="273"/>
      <c r="W905" s="273"/>
      <c r="X905" s="273"/>
      <c r="Y905" s="273"/>
      <c r="Z905" s="273"/>
      <c r="AA905" s="273"/>
      <c r="AB905" s="273"/>
      <c r="AC905" s="273"/>
    </row>
    <row r="906" ht="75.0" customHeight="1">
      <c r="A906" s="273"/>
      <c r="B906" s="273"/>
      <c r="C906" s="273"/>
      <c r="D906" s="273"/>
      <c r="E906" s="273"/>
      <c r="F906" s="275"/>
      <c r="G906" s="273"/>
      <c r="H906" s="273"/>
      <c r="I906" s="275"/>
      <c r="J906" s="273"/>
      <c r="K906" s="273"/>
      <c r="L906" s="273"/>
      <c r="M906" s="273"/>
      <c r="N906" s="273"/>
      <c r="O906" s="273"/>
      <c r="P906" s="275"/>
      <c r="Q906" s="273"/>
      <c r="R906" s="273"/>
      <c r="S906" s="273"/>
      <c r="T906" s="273"/>
      <c r="U906" s="273"/>
      <c r="V906" s="273"/>
      <c r="W906" s="273"/>
      <c r="X906" s="273"/>
      <c r="Y906" s="273"/>
      <c r="Z906" s="273"/>
      <c r="AA906" s="273"/>
      <c r="AB906" s="273"/>
      <c r="AC906" s="273"/>
    </row>
    <row r="907" ht="75.0" customHeight="1">
      <c r="A907" s="273"/>
      <c r="B907" s="273"/>
      <c r="C907" s="273"/>
      <c r="D907" s="273"/>
      <c r="E907" s="273"/>
      <c r="F907" s="275"/>
      <c r="G907" s="273"/>
      <c r="H907" s="273"/>
      <c r="I907" s="275"/>
      <c r="J907" s="273"/>
      <c r="K907" s="273"/>
      <c r="L907" s="273"/>
      <c r="M907" s="273"/>
      <c r="N907" s="273"/>
      <c r="O907" s="273"/>
      <c r="P907" s="275"/>
      <c r="Q907" s="273"/>
      <c r="R907" s="273"/>
      <c r="S907" s="273"/>
      <c r="T907" s="273"/>
      <c r="U907" s="273"/>
      <c r="V907" s="273"/>
      <c r="W907" s="273"/>
      <c r="X907" s="273"/>
      <c r="Y907" s="273"/>
      <c r="Z907" s="273"/>
      <c r="AA907" s="273"/>
      <c r="AB907" s="273"/>
      <c r="AC907" s="273"/>
    </row>
    <row r="908" ht="75.0" customHeight="1">
      <c r="A908" s="273"/>
      <c r="B908" s="273"/>
      <c r="C908" s="273"/>
      <c r="D908" s="273"/>
      <c r="E908" s="273"/>
      <c r="F908" s="275"/>
      <c r="G908" s="273"/>
      <c r="H908" s="273"/>
      <c r="I908" s="275"/>
      <c r="J908" s="273"/>
      <c r="K908" s="273"/>
      <c r="L908" s="273"/>
      <c r="M908" s="273"/>
      <c r="N908" s="273"/>
      <c r="O908" s="273"/>
      <c r="P908" s="275"/>
      <c r="Q908" s="273"/>
      <c r="R908" s="273"/>
      <c r="S908" s="273"/>
      <c r="T908" s="273"/>
      <c r="U908" s="273"/>
      <c r="V908" s="273"/>
      <c r="W908" s="273"/>
      <c r="X908" s="273"/>
      <c r="Y908" s="273"/>
      <c r="Z908" s="273"/>
      <c r="AA908" s="273"/>
      <c r="AB908" s="273"/>
      <c r="AC908" s="273"/>
    </row>
    <row r="909" ht="75.0" customHeight="1">
      <c r="A909" s="273"/>
      <c r="B909" s="273"/>
      <c r="C909" s="273"/>
      <c r="D909" s="273"/>
      <c r="E909" s="273"/>
      <c r="F909" s="275"/>
      <c r="G909" s="273"/>
      <c r="H909" s="273"/>
      <c r="I909" s="275"/>
      <c r="J909" s="273"/>
      <c r="K909" s="273"/>
      <c r="L909" s="273"/>
      <c r="M909" s="273"/>
      <c r="N909" s="273"/>
      <c r="O909" s="273"/>
      <c r="P909" s="275"/>
      <c r="Q909" s="273"/>
      <c r="R909" s="273"/>
      <c r="S909" s="273"/>
      <c r="T909" s="273"/>
      <c r="U909" s="273"/>
      <c r="V909" s="273"/>
      <c r="W909" s="273"/>
      <c r="X909" s="273"/>
      <c r="Y909" s="273"/>
      <c r="Z909" s="273"/>
      <c r="AA909" s="273"/>
      <c r="AB909" s="273"/>
      <c r="AC909" s="273"/>
    </row>
    <row r="910" ht="75.0" customHeight="1">
      <c r="A910" s="273"/>
      <c r="B910" s="273"/>
      <c r="C910" s="273"/>
      <c r="D910" s="273"/>
      <c r="E910" s="273"/>
      <c r="F910" s="275"/>
      <c r="G910" s="273"/>
      <c r="H910" s="273"/>
      <c r="I910" s="275"/>
      <c r="J910" s="273"/>
      <c r="K910" s="273"/>
      <c r="L910" s="273"/>
      <c r="M910" s="273"/>
      <c r="N910" s="273"/>
      <c r="O910" s="273"/>
      <c r="P910" s="275"/>
      <c r="Q910" s="273"/>
      <c r="R910" s="273"/>
      <c r="S910" s="273"/>
      <c r="T910" s="273"/>
      <c r="U910" s="273"/>
      <c r="V910" s="273"/>
      <c r="W910" s="273"/>
      <c r="X910" s="273"/>
      <c r="Y910" s="273"/>
      <c r="Z910" s="273"/>
      <c r="AA910" s="273"/>
      <c r="AB910" s="273"/>
      <c r="AC910" s="273"/>
    </row>
    <row r="911" ht="75.0" customHeight="1">
      <c r="A911" s="273"/>
      <c r="B911" s="273"/>
      <c r="C911" s="273"/>
      <c r="D911" s="273"/>
      <c r="E911" s="273"/>
      <c r="F911" s="275"/>
      <c r="G911" s="273"/>
      <c r="H911" s="273"/>
      <c r="I911" s="275"/>
      <c r="J911" s="273"/>
      <c r="K911" s="273"/>
      <c r="L911" s="273"/>
      <c r="M911" s="273"/>
      <c r="N911" s="273"/>
      <c r="O911" s="273"/>
      <c r="P911" s="275"/>
      <c r="Q911" s="273"/>
      <c r="R911" s="273"/>
      <c r="S911" s="273"/>
      <c r="T911" s="273"/>
      <c r="U911" s="273"/>
      <c r="V911" s="273"/>
      <c r="W911" s="273"/>
      <c r="X911" s="273"/>
      <c r="Y911" s="273"/>
      <c r="Z911" s="273"/>
      <c r="AA911" s="273"/>
      <c r="AB911" s="273"/>
      <c r="AC911" s="273"/>
    </row>
    <row r="912" ht="75.0" customHeight="1">
      <c r="A912" s="273"/>
      <c r="B912" s="273"/>
      <c r="C912" s="273"/>
      <c r="D912" s="273"/>
      <c r="E912" s="273"/>
      <c r="F912" s="275"/>
      <c r="G912" s="273"/>
      <c r="H912" s="273"/>
      <c r="I912" s="275"/>
      <c r="J912" s="273"/>
      <c r="K912" s="273"/>
      <c r="L912" s="273"/>
      <c r="M912" s="273"/>
      <c r="N912" s="273"/>
      <c r="O912" s="273"/>
      <c r="P912" s="275"/>
      <c r="Q912" s="273"/>
      <c r="R912" s="273"/>
      <c r="S912" s="273"/>
      <c r="T912" s="273"/>
      <c r="U912" s="273"/>
      <c r="V912" s="273"/>
      <c r="W912" s="273"/>
      <c r="X912" s="273"/>
      <c r="Y912" s="273"/>
      <c r="Z912" s="273"/>
      <c r="AA912" s="273"/>
      <c r="AB912" s="273"/>
      <c r="AC912" s="273"/>
    </row>
    <row r="913" ht="75.0" customHeight="1">
      <c r="A913" s="273"/>
      <c r="B913" s="273"/>
      <c r="C913" s="273"/>
      <c r="D913" s="273"/>
      <c r="E913" s="273"/>
      <c r="F913" s="275"/>
      <c r="G913" s="273"/>
      <c r="H913" s="273"/>
      <c r="I913" s="275"/>
      <c r="J913" s="273"/>
      <c r="K913" s="273"/>
      <c r="L913" s="273"/>
      <c r="M913" s="273"/>
      <c r="N913" s="273"/>
      <c r="O913" s="273"/>
      <c r="P913" s="275"/>
      <c r="Q913" s="273"/>
      <c r="R913" s="273"/>
      <c r="S913" s="273"/>
      <c r="T913" s="273"/>
      <c r="U913" s="273"/>
      <c r="V913" s="273"/>
      <c r="W913" s="273"/>
      <c r="X913" s="273"/>
      <c r="Y913" s="273"/>
      <c r="Z913" s="273"/>
      <c r="AA913" s="273"/>
      <c r="AB913" s="273"/>
      <c r="AC913" s="273"/>
    </row>
    <row r="914" ht="75.0" customHeight="1">
      <c r="A914" s="273"/>
      <c r="B914" s="273"/>
      <c r="C914" s="273"/>
      <c r="D914" s="273"/>
      <c r="E914" s="273"/>
      <c r="F914" s="275"/>
      <c r="G914" s="273"/>
      <c r="H914" s="273"/>
      <c r="I914" s="275"/>
      <c r="J914" s="273"/>
      <c r="K914" s="273"/>
      <c r="L914" s="273"/>
      <c r="M914" s="273"/>
      <c r="N914" s="273"/>
      <c r="O914" s="273"/>
      <c r="P914" s="275"/>
      <c r="Q914" s="273"/>
      <c r="R914" s="273"/>
      <c r="S914" s="273"/>
      <c r="T914" s="273"/>
      <c r="U914" s="273"/>
      <c r="V914" s="273"/>
      <c r="W914" s="273"/>
      <c r="X914" s="273"/>
      <c r="Y914" s="273"/>
      <c r="Z914" s="273"/>
      <c r="AA914" s="273"/>
      <c r="AB914" s="273"/>
      <c r="AC914" s="273"/>
    </row>
    <row r="915" ht="75.0" customHeight="1">
      <c r="A915" s="273"/>
      <c r="B915" s="273"/>
      <c r="C915" s="273"/>
      <c r="D915" s="273"/>
      <c r="E915" s="273"/>
      <c r="F915" s="275"/>
      <c r="G915" s="273"/>
      <c r="H915" s="273"/>
      <c r="I915" s="275"/>
      <c r="J915" s="273"/>
      <c r="K915" s="273"/>
      <c r="L915" s="273"/>
      <c r="M915" s="273"/>
      <c r="N915" s="273"/>
      <c r="O915" s="273"/>
      <c r="P915" s="275"/>
      <c r="Q915" s="273"/>
      <c r="R915" s="273"/>
      <c r="S915" s="273"/>
      <c r="T915" s="273"/>
      <c r="U915" s="273"/>
      <c r="V915" s="273"/>
      <c r="W915" s="273"/>
      <c r="X915" s="273"/>
      <c r="Y915" s="273"/>
      <c r="Z915" s="273"/>
      <c r="AA915" s="273"/>
      <c r="AB915" s="273"/>
      <c r="AC915" s="273"/>
    </row>
    <row r="916" ht="75.0" customHeight="1">
      <c r="A916" s="273"/>
      <c r="B916" s="273"/>
      <c r="C916" s="273"/>
      <c r="D916" s="273"/>
      <c r="E916" s="273"/>
      <c r="F916" s="275"/>
      <c r="G916" s="273"/>
      <c r="H916" s="273"/>
      <c r="I916" s="275"/>
      <c r="J916" s="273"/>
      <c r="K916" s="273"/>
      <c r="L916" s="273"/>
      <c r="M916" s="273"/>
      <c r="N916" s="273"/>
      <c r="O916" s="273"/>
      <c r="P916" s="275"/>
      <c r="Q916" s="273"/>
      <c r="R916" s="273"/>
      <c r="S916" s="273"/>
      <c r="T916" s="273"/>
      <c r="U916" s="273"/>
      <c r="V916" s="273"/>
      <c r="W916" s="273"/>
      <c r="X916" s="273"/>
      <c r="Y916" s="273"/>
      <c r="Z916" s="273"/>
      <c r="AA916" s="273"/>
      <c r="AB916" s="273"/>
      <c r="AC916" s="273"/>
    </row>
    <row r="917" ht="75.0" customHeight="1">
      <c r="A917" s="273"/>
      <c r="B917" s="273"/>
      <c r="C917" s="273"/>
      <c r="D917" s="273"/>
      <c r="E917" s="273"/>
      <c r="F917" s="275"/>
      <c r="G917" s="273"/>
      <c r="H917" s="273"/>
      <c r="I917" s="275"/>
      <c r="J917" s="273"/>
      <c r="K917" s="273"/>
      <c r="L917" s="273"/>
      <c r="M917" s="273"/>
      <c r="N917" s="273"/>
      <c r="O917" s="273"/>
      <c r="P917" s="275"/>
      <c r="Q917" s="273"/>
      <c r="R917" s="273"/>
      <c r="S917" s="273"/>
      <c r="T917" s="273"/>
      <c r="U917" s="273"/>
      <c r="V917" s="273"/>
      <c r="W917" s="273"/>
      <c r="X917" s="273"/>
      <c r="Y917" s="273"/>
      <c r="Z917" s="273"/>
      <c r="AA917" s="273"/>
      <c r="AB917" s="273"/>
      <c r="AC917" s="273"/>
    </row>
    <row r="918" ht="75.0" customHeight="1">
      <c r="A918" s="273"/>
      <c r="B918" s="273"/>
      <c r="C918" s="273"/>
      <c r="D918" s="273"/>
      <c r="E918" s="273"/>
      <c r="F918" s="275"/>
      <c r="G918" s="273"/>
      <c r="H918" s="273"/>
      <c r="I918" s="275"/>
      <c r="J918" s="273"/>
      <c r="K918" s="273"/>
      <c r="L918" s="273"/>
      <c r="M918" s="273"/>
      <c r="N918" s="273"/>
      <c r="O918" s="273"/>
      <c r="P918" s="275"/>
      <c r="Q918" s="273"/>
      <c r="R918" s="273"/>
      <c r="S918" s="273"/>
      <c r="T918" s="273"/>
      <c r="U918" s="273"/>
      <c r="V918" s="273"/>
      <c r="W918" s="273"/>
      <c r="X918" s="273"/>
      <c r="Y918" s="273"/>
      <c r="Z918" s="273"/>
      <c r="AA918" s="273"/>
      <c r="AB918" s="273"/>
      <c r="AC918" s="273"/>
    </row>
    <row r="919" ht="75.0" customHeight="1">
      <c r="A919" s="273"/>
      <c r="B919" s="273"/>
      <c r="C919" s="273"/>
      <c r="D919" s="273"/>
      <c r="E919" s="273"/>
      <c r="F919" s="275"/>
      <c r="G919" s="273"/>
      <c r="H919" s="273"/>
      <c r="I919" s="275"/>
      <c r="J919" s="273"/>
      <c r="K919" s="273"/>
      <c r="L919" s="273"/>
      <c r="M919" s="273"/>
      <c r="N919" s="273"/>
      <c r="O919" s="273"/>
      <c r="P919" s="275"/>
      <c r="Q919" s="273"/>
      <c r="R919" s="273"/>
      <c r="S919" s="273"/>
      <c r="T919" s="273"/>
      <c r="U919" s="273"/>
      <c r="V919" s="273"/>
      <c r="W919" s="273"/>
      <c r="X919" s="273"/>
      <c r="Y919" s="273"/>
      <c r="Z919" s="273"/>
      <c r="AA919" s="273"/>
      <c r="AB919" s="273"/>
      <c r="AC919" s="273"/>
    </row>
    <row r="920" ht="75.0" customHeight="1">
      <c r="A920" s="273"/>
      <c r="B920" s="273"/>
      <c r="C920" s="273"/>
      <c r="D920" s="273"/>
      <c r="E920" s="273"/>
      <c r="F920" s="275"/>
      <c r="G920" s="273"/>
      <c r="H920" s="273"/>
      <c r="I920" s="275"/>
      <c r="J920" s="273"/>
      <c r="K920" s="273"/>
      <c r="L920" s="273"/>
      <c r="M920" s="273"/>
      <c r="N920" s="273"/>
      <c r="O920" s="273"/>
      <c r="P920" s="275"/>
      <c r="Q920" s="273"/>
      <c r="R920" s="273"/>
      <c r="S920" s="273"/>
      <c r="T920" s="273"/>
      <c r="U920" s="273"/>
      <c r="V920" s="273"/>
      <c r="W920" s="273"/>
      <c r="X920" s="273"/>
      <c r="Y920" s="273"/>
      <c r="Z920" s="273"/>
      <c r="AA920" s="273"/>
      <c r="AB920" s="273"/>
      <c r="AC920" s="273"/>
    </row>
    <row r="921" ht="75.0" customHeight="1">
      <c r="A921" s="273"/>
      <c r="B921" s="273"/>
      <c r="C921" s="273"/>
      <c r="D921" s="273"/>
      <c r="E921" s="273"/>
      <c r="F921" s="275"/>
      <c r="G921" s="273"/>
      <c r="H921" s="273"/>
      <c r="I921" s="275"/>
      <c r="J921" s="273"/>
      <c r="K921" s="273"/>
      <c r="L921" s="273"/>
      <c r="M921" s="273"/>
      <c r="N921" s="273"/>
      <c r="O921" s="273"/>
      <c r="P921" s="275"/>
      <c r="Q921" s="273"/>
      <c r="R921" s="273"/>
      <c r="S921" s="273"/>
      <c r="T921" s="273"/>
      <c r="U921" s="273"/>
      <c r="V921" s="273"/>
      <c r="W921" s="273"/>
      <c r="X921" s="273"/>
      <c r="Y921" s="273"/>
      <c r="Z921" s="273"/>
      <c r="AA921" s="273"/>
      <c r="AB921" s="273"/>
      <c r="AC921" s="273"/>
    </row>
    <row r="922" ht="75.0" customHeight="1">
      <c r="A922" s="273"/>
      <c r="B922" s="273"/>
      <c r="C922" s="273"/>
      <c r="D922" s="273"/>
      <c r="E922" s="273"/>
      <c r="F922" s="275"/>
      <c r="G922" s="273"/>
      <c r="H922" s="273"/>
      <c r="I922" s="275"/>
      <c r="J922" s="273"/>
      <c r="K922" s="273"/>
      <c r="L922" s="273"/>
      <c r="M922" s="273"/>
      <c r="N922" s="273"/>
      <c r="O922" s="273"/>
      <c r="P922" s="275"/>
      <c r="Q922" s="273"/>
      <c r="R922" s="273"/>
      <c r="S922" s="273"/>
      <c r="T922" s="273"/>
      <c r="U922" s="273"/>
      <c r="V922" s="273"/>
      <c r="W922" s="273"/>
      <c r="X922" s="273"/>
      <c r="Y922" s="273"/>
      <c r="Z922" s="273"/>
      <c r="AA922" s="273"/>
      <c r="AB922" s="273"/>
      <c r="AC922" s="273"/>
    </row>
    <row r="923" ht="75.0" customHeight="1">
      <c r="A923" s="273"/>
      <c r="B923" s="273"/>
      <c r="C923" s="273"/>
      <c r="D923" s="273"/>
      <c r="E923" s="273"/>
      <c r="F923" s="275"/>
      <c r="G923" s="273"/>
      <c r="H923" s="273"/>
      <c r="I923" s="275"/>
      <c r="J923" s="273"/>
      <c r="K923" s="273"/>
      <c r="L923" s="273"/>
      <c r="M923" s="273"/>
      <c r="N923" s="273"/>
      <c r="O923" s="273"/>
      <c r="P923" s="275"/>
      <c r="Q923" s="273"/>
      <c r="R923" s="273"/>
      <c r="S923" s="273"/>
      <c r="T923" s="273"/>
      <c r="U923" s="273"/>
      <c r="V923" s="273"/>
      <c r="W923" s="273"/>
      <c r="X923" s="273"/>
      <c r="Y923" s="273"/>
      <c r="Z923" s="273"/>
      <c r="AA923" s="273"/>
      <c r="AB923" s="273"/>
      <c r="AC923" s="273"/>
    </row>
    <row r="924" ht="75.0" customHeight="1">
      <c r="A924" s="273"/>
      <c r="B924" s="273"/>
      <c r="C924" s="273"/>
      <c r="D924" s="273"/>
      <c r="E924" s="273"/>
      <c r="F924" s="275"/>
      <c r="G924" s="273"/>
      <c r="H924" s="273"/>
      <c r="I924" s="275"/>
      <c r="J924" s="273"/>
      <c r="K924" s="273"/>
      <c r="L924" s="273"/>
      <c r="M924" s="273"/>
      <c r="N924" s="273"/>
      <c r="O924" s="273"/>
      <c r="P924" s="275"/>
      <c r="Q924" s="273"/>
      <c r="R924" s="273"/>
      <c r="S924" s="273"/>
      <c r="T924" s="273"/>
      <c r="U924" s="273"/>
      <c r="V924" s="273"/>
      <c r="W924" s="273"/>
      <c r="X924" s="273"/>
      <c r="Y924" s="273"/>
      <c r="Z924" s="273"/>
      <c r="AA924" s="273"/>
      <c r="AB924" s="273"/>
      <c r="AC924" s="273"/>
    </row>
    <row r="925" ht="75.0" customHeight="1">
      <c r="A925" s="273"/>
      <c r="B925" s="273"/>
      <c r="C925" s="273"/>
      <c r="D925" s="273"/>
      <c r="E925" s="273"/>
      <c r="F925" s="275"/>
      <c r="G925" s="273"/>
      <c r="H925" s="273"/>
      <c r="I925" s="275"/>
      <c r="J925" s="273"/>
      <c r="K925" s="273"/>
      <c r="L925" s="273"/>
      <c r="M925" s="273"/>
      <c r="N925" s="273"/>
      <c r="O925" s="273"/>
      <c r="P925" s="275"/>
      <c r="Q925" s="273"/>
      <c r="R925" s="273"/>
      <c r="S925" s="273"/>
      <c r="T925" s="273"/>
      <c r="U925" s="273"/>
      <c r="V925" s="273"/>
      <c r="W925" s="273"/>
      <c r="X925" s="273"/>
      <c r="Y925" s="273"/>
      <c r="Z925" s="273"/>
      <c r="AA925" s="273"/>
      <c r="AB925" s="273"/>
      <c r="AC925" s="273"/>
    </row>
    <row r="926" ht="75.0" customHeight="1">
      <c r="A926" s="273"/>
      <c r="B926" s="273"/>
      <c r="C926" s="273"/>
      <c r="D926" s="273"/>
      <c r="E926" s="273"/>
      <c r="F926" s="275"/>
      <c r="G926" s="273"/>
      <c r="H926" s="273"/>
      <c r="I926" s="275"/>
      <c r="J926" s="273"/>
      <c r="K926" s="273"/>
      <c r="L926" s="273"/>
      <c r="M926" s="273"/>
      <c r="N926" s="273"/>
      <c r="O926" s="273"/>
      <c r="P926" s="275"/>
      <c r="Q926" s="273"/>
      <c r="R926" s="273"/>
      <c r="S926" s="273"/>
      <c r="T926" s="273"/>
      <c r="U926" s="273"/>
      <c r="V926" s="273"/>
      <c r="W926" s="273"/>
      <c r="X926" s="273"/>
      <c r="Y926" s="273"/>
      <c r="Z926" s="273"/>
      <c r="AA926" s="273"/>
      <c r="AB926" s="273"/>
      <c r="AC926" s="273"/>
    </row>
    <row r="927" ht="75.0" customHeight="1">
      <c r="A927" s="273"/>
      <c r="B927" s="273"/>
      <c r="C927" s="273"/>
      <c r="D927" s="273"/>
      <c r="E927" s="273"/>
      <c r="F927" s="275"/>
      <c r="G927" s="273"/>
      <c r="H927" s="273"/>
      <c r="I927" s="275"/>
      <c r="J927" s="273"/>
      <c r="K927" s="273"/>
      <c r="L927" s="273"/>
      <c r="M927" s="273"/>
      <c r="N927" s="273"/>
      <c r="O927" s="273"/>
      <c r="P927" s="275"/>
      <c r="Q927" s="273"/>
      <c r="R927" s="273"/>
      <c r="S927" s="273"/>
      <c r="T927" s="273"/>
      <c r="U927" s="273"/>
      <c r="V927" s="273"/>
      <c r="W927" s="273"/>
      <c r="X927" s="273"/>
      <c r="Y927" s="273"/>
      <c r="Z927" s="273"/>
      <c r="AA927" s="273"/>
      <c r="AB927" s="273"/>
      <c r="AC927" s="273"/>
    </row>
    <row r="928" ht="75.0" customHeight="1">
      <c r="A928" s="273"/>
      <c r="B928" s="273"/>
      <c r="C928" s="273"/>
      <c r="D928" s="273"/>
      <c r="E928" s="273"/>
      <c r="F928" s="275"/>
      <c r="G928" s="273"/>
      <c r="H928" s="273"/>
      <c r="I928" s="275"/>
      <c r="J928" s="273"/>
      <c r="K928" s="273"/>
      <c r="L928" s="273"/>
      <c r="M928" s="273"/>
      <c r="N928" s="273"/>
      <c r="O928" s="273"/>
      <c r="P928" s="275"/>
      <c r="Q928" s="273"/>
      <c r="R928" s="273"/>
      <c r="S928" s="273"/>
      <c r="T928" s="273"/>
      <c r="U928" s="273"/>
      <c r="V928" s="273"/>
      <c r="W928" s="273"/>
      <c r="X928" s="273"/>
      <c r="Y928" s="273"/>
      <c r="Z928" s="273"/>
      <c r="AA928" s="273"/>
      <c r="AB928" s="273"/>
      <c r="AC928" s="273"/>
    </row>
    <row r="929" ht="75.0" customHeight="1">
      <c r="A929" s="273"/>
      <c r="B929" s="273"/>
      <c r="C929" s="273"/>
      <c r="D929" s="273"/>
      <c r="E929" s="273"/>
      <c r="F929" s="275"/>
      <c r="G929" s="273"/>
      <c r="H929" s="273"/>
      <c r="I929" s="275"/>
      <c r="J929" s="273"/>
      <c r="K929" s="273"/>
      <c r="L929" s="273"/>
      <c r="M929" s="273"/>
      <c r="N929" s="273"/>
      <c r="O929" s="273"/>
      <c r="P929" s="275"/>
      <c r="Q929" s="273"/>
      <c r="R929" s="273"/>
      <c r="S929" s="273"/>
      <c r="T929" s="273"/>
      <c r="U929" s="273"/>
      <c r="V929" s="273"/>
      <c r="W929" s="273"/>
      <c r="X929" s="273"/>
      <c r="Y929" s="273"/>
      <c r="Z929" s="273"/>
      <c r="AA929" s="273"/>
      <c r="AB929" s="273"/>
      <c r="AC929" s="273"/>
    </row>
    <row r="930" ht="75.0" customHeight="1">
      <c r="A930" s="273"/>
      <c r="B930" s="273"/>
      <c r="C930" s="273"/>
      <c r="D930" s="273"/>
      <c r="E930" s="273"/>
      <c r="F930" s="275"/>
      <c r="G930" s="273"/>
      <c r="H930" s="273"/>
      <c r="I930" s="275"/>
      <c r="J930" s="273"/>
      <c r="K930" s="273"/>
      <c r="L930" s="273"/>
      <c r="M930" s="273"/>
      <c r="N930" s="273"/>
      <c r="O930" s="273"/>
      <c r="P930" s="275"/>
      <c r="Q930" s="273"/>
      <c r="R930" s="273"/>
      <c r="S930" s="273"/>
      <c r="T930" s="273"/>
      <c r="U930" s="273"/>
      <c r="V930" s="273"/>
      <c r="W930" s="273"/>
      <c r="X930" s="273"/>
      <c r="Y930" s="273"/>
      <c r="Z930" s="273"/>
      <c r="AA930" s="273"/>
      <c r="AB930" s="273"/>
      <c r="AC930" s="273"/>
    </row>
    <row r="931" ht="75.0" customHeight="1">
      <c r="A931" s="273"/>
      <c r="B931" s="273"/>
      <c r="C931" s="273"/>
      <c r="D931" s="273"/>
      <c r="E931" s="273"/>
      <c r="F931" s="275"/>
      <c r="G931" s="273"/>
      <c r="H931" s="273"/>
      <c r="I931" s="275"/>
      <c r="J931" s="273"/>
      <c r="K931" s="273"/>
      <c r="L931" s="273"/>
      <c r="M931" s="273"/>
      <c r="N931" s="273"/>
      <c r="O931" s="273"/>
      <c r="P931" s="275"/>
      <c r="Q931" s="273"/>
      <c r="R931" s="273"/>
      <c r="S931" s="273"/>
      <c r="T931" s="273"/>
      <c r="U931" s="273"/>
      <c r="V931" s="273"/>
      <c r="W931" s="273"/>
      <c r="X931" s="273"/>
      <c r="Y931" s="273"/>
      <c r="Z931" s="273"/>
      <c r="AA931" s="273"/>
      <c r="AB931" s="273"/>
      <c r="AC931" s="273"/>
    </row>
    <row r="932" ht="75.0" customHeight="1">
      <c r="A932" s="273"/>
      <c r="B932" s="273"/>
      <c r="C932" s="273"/>
      <c r="D932" s="273"/>
      <c r="E932" s="273"/>
      <c r="F932" s="275"/>
      <c r="G932" s="273"/>
      <c r="H932" s="273"/>
      <c r="I932" s="275"/>
      <c r="J932" s="273"/>
      <c r="K932" s="273"/>
      <c r="L932" s="273"/>
      <c r="M932" s="273"/>
      <c r="N932" s="273"/>
      <c r="O932" s="273"/>
      <c r="P932" s="275"/>
      <c r="Q932" s="273"/>
      <c r="R932" s="273"/>
      <c r="S932" s="273"/>
      <c r="T932" s="273"/>
      <c r="U932" s="273"/>
      <c r="V932" s="273"/>
      <c r="W932" s="273"/>
      <c r="X932" s="273"/>
      <c r="Y932" s="273"/>
      <c r="Z932" s="273"/>
      <c r="AA932" s="273"/>
      <c r="AB932" s="273"/>
      <c r="AC932" s="273"/>
    </row>
    <row r="933" ht="75.0" customHeight="1">
      <c r="A933" s="273"/>
      <c r="B933" s="273"/>
      <c r="C933" s="273"/>
      <c r="D933" s="273"/>
      <c r="E933" s="273"/>
      <c r="F933" s="275"/>
      <c r="G933" s="273"/>
      <c r="H933" s="273"/>
      <c r="I933" s="275"/>
      <c r="J933" s="273"/>
      <c r="K933" s="273"/>
      <c r="L933" s="273"/>
      <c r="M933" s="273"/>
      <c r="N933" s="273"/>
      <c r="O933" s="273"/>
      <c r="P933" s="275"/>
      <c r="Q933" s="273"/>
      <c r="R933" s="273"/>
      <c r="S933" s="273"/>
      <c r="T933" s="273"/>
      <c r="U933" s="273"/>
      <c r="V933" s="273"/>
      <c r="W933" s="273"/>
      <c r="X933" s="273"/>
      <c r="Y933" s="273"/>
      <c r="Z933" s="273"/>
      <c r="AA933" s="273"/>
      <c r="AB933" s="273"/>
      <c r="AC933" s="273"/>
    </row>
    <row r="934" ht="75.0" customHeight="1">
      <c r="A934" s="273"/>
      <c r="B934" s="273"/>
      <c r="C934" s="273"/>
      <c r="D934" s="273"/>
      <c r="E934" s="273"/>
      <c r="F934" s="275"/>
      <c r="G934" s="273"/>
      <c r="H934" s="273"/>
      <c r="I934" s="275"/>
      <c r="J934" s="273"/>
      <c r="K934" s="273"/>
      <c r="L934" s="273"/>
      <c r="M934" s="273"/>
      <c r="N934" s="273"/>
      <c r="O934" s="273"/>
      <c r="P934" s="275"/>
      <c r="Q934" s="273"/>
      <c r="R934" s="273"/>
      <c r="S934" s="273"/>
      <c r="T934" s="273"/>
      <c r="U934" s="273"/>
      <c r="V934" s="273"/>
      <c r="W934" s="273"/>
      <c r="X934" s="273"/>
      <c r="Y934" s="273"/>
      <c r="Z934" s="273"/>
      <c r="AA934" s="273"/>
      <c r="AB934" s="273"/>
      <c r="AC934" s="273"/>
    </row>
    <row r="935" ht="75.0" customHeight="1">
      <c r="A935" s="273"/>
      <c r="B935" s="273"/>
      <c r="C935" s="273"/>
      <c r="D935" s="273"/>
      <c r="E935" s="273"/>
      <c r="F935" s="275"/>
      <c r="G935" s="273"/>
      <c r="H935" s="273"/>
      <c r="I935" s="275"/>
      <c r="J935" s="273"/>
      <c r="K935" s="273"/>
      <c r="L935" s="273"/>
      <c r="M935" s="273"/>
      <c r="N935" s="273"/>
      <c r="O935" s="273"/>
      <c r="P935" s="275"/>
      <c r="Q935" s="273"/>
      <c r="R935" s="273"/>
      <c r="S935" s="273"/>
      <c r="T935" s="273"/>
      <c r="U935" s="273"/>
      <c r="V935" s="273"/>
      <c r="W935" s="273"/>
      <c r="X935" s="273"/>
      <c r="Y935" s="273"/>
      <c r="Z935" s="273"/>
      <c r="AA935" s="273"/>
      <c r="AB935" s="273"/>
      <c r="AC935" s="273"/>
    </row>
    <row r="936" ht="75.0" customHeight="1">
      <c r="A936" s="273"/>
      <c r="B936" s="273"/>
      <c r="C936" s="273"/>
      <c r="D936" s="273"/>
      <c r="E936" s="273"/>
      <c r="F936" s="275"/>
      <c r="G936" s="273"/>
      <c r="H936" s="273"/>
      <c r="I936" s="275"/>
      <c r="J936" s="273"/>
      <c r="K936" s="273"/>
      <c r="L936" s="273"/>
      <c r="M936" s="273"/>
      <c r="N936" s="273"/>
      <c r="O936" s="273"/>
      <c r="P936" s="275"/>
      <c r="Q936" s="273"/>
      <c r="R936" s="273"/>
      <c r="S936" s="273"/>
      <c r="T936" s="273"/>
      <c r="U936" s="273"/>
      <c r="V936" s="273"/>
      <c r="W936" s="273"/>
      <c r="X936" s="273"/>
      <c r="Y936" s="273"/>
      <c r="Z936" s="273"/>
      <c r="AA936" s="273"/>
      <c r="AB936" s="273"/>
      <c r="AC936" s="273"/>
    </row>
    <row r="937" ht="75.0" customHeight="1">
      <c r="A937" s="273"/>
      <c r="B937" s="273"/>
      <c r="C937" s="273"/>
      <c r="D937" s="273"/>
      <c r="E937" s="273"/>
      <c r="F937" s="275"/>
      <c r="G937" s="273"/>
      <c r="H937" s="273"/>
      <c r="I937" s="275"/>
      <c r="J937" s="273"/>
      <c r="K937" s="273"/>
      <c r="L937" s="273"/>
      <c r="M937" s="273"/>
      <c r="N937" s="273"/>
      <c r="O937" s="273"/>
      <c r="P937" s="275"/>
      <c r="Q937" s="273"/>
      <c r="R937" s="273"/>
      <c r="S937" s="273"/>
      <c r="T937" s="273"/>
      <c r="U937" s="273"/>
      <c r="V937" s="273"/>
      <c r="W937" s="273"/>
      <c r="X937" s="273"/>
      <c r="Y937" s="273"/>
      <c r="Z937" s="273"/>
      <c r="AA937" s="273"/>
      <c r="AB937" s="273"/>
      <c r="AC937" s="273"/>
    </row>
    <row r="938" ht="75.0" customHeight="1">
      <c r="A938" s="273"/>
      <c r="B938" s="273"/>
      <c r="C938" s="273"/>
      <c r="D938" s="273"/>
      <c r="E938" s="273"/>
      <c r="F938" s="275"/>
      <c r="G938" s="273"/>
      <c r="H938" s="273"/>
      <c r="I938" s="275"/>
      <c r="J938" s="273"/>
      <c r="K938" s="273"/>
      <c r="L938" s="273"/>
      <c r="M938" s="273"/>
      <c r="N938" s="273"/>
      <c r="O938" s="273"/>
      <c r="P938" s="275"/>
      <c r="Q938" s="273"/>
      <c r="R938" s="273"/>
      <c r="S938" s="273"/>
      <c r="T938" s="273"/>
      <c r="U938" s="273"/>
      <c r="V938" s="273"/>
      <c r="W938" s="273"/>
      <c r="X938" s="273"/>
      <c r="Y938" s="273"/>
      <c r="Z938" s="273"/>
      <c r="AA938" s="273"/>
      <c r="AB938" s="273"/>
      <c r="AC938" s="273"/>
    </row>
    <row r="939" ht="75.0" customHeight="1">
      <c r="A939" s="273"/>
      <c r="B939" s="273"/>
      <c r="C939" s="273"/>
      <c r="D939" s="273"/>
      <c r="E939" s="273"/>
      <c r="F939" s="275"/>
      <c r="G939" s="273"/>
      <c r="H939" s="273"/>
      <c r="I939" s="275"/>
      <c r="J939" s="273"/>
      <c r="K939" s="273"/>
      <c r="L939" s="273"/>
      <c r="M939" s="273"/>
      <c r="N939" s="273"/>
      <c r="O939" s="273"/>
      <c r="P939" s="275"/>
      <c r="Q939" s="273"/>
      <c r="R939" s="273"/>
      <c r="S939" s="273"/>
      <c r="T939" s="273"/>
      <c r="U939" s="273"/>
      <c r="V939" s="273"/>
      <c r="W939" s="273"/>
      <c r="X939" s="273"/>
      <c r="Y939" s="273"/>
      <c r="Z939" s="273"/>
      <c r="AA939" s="273"/>
      <c r="AB939" s="273"/>
      <c r="AC939" s="273"/>
    </row>
    <row r="940" ht="75.0" customHeight="1">
      <c r="A940" s="273"/>
      <c r="B940" s="273"/>
      <c r="C940" s="273"/>
      <c r="D940" s="273"/>
      <c r="E940" s="273"/>
      <c r="F940" s="275"/>
      <c r="G940" s="273"/>
      <c r="H940" s="273"/>
      <c r="I940" s="275"/>
      <c r="J940" s="273"/>
      <c r="K940" s="273"/>
      <c r="L940" s="273"/>
      <c r="M940" s="273"/>
      <c r="N940" s="273"/>
      <c r="O940" s="273"/>
      <c r="P940" s="275"/>
      <c r="Q940" s="273"/>
      <c r="R940" s="273"/>
      <c r="S940" s="273"/>
      <c r="T940" s="273"/>
      <c r="U940" s="273"/>
      <c r="V940" s="273"/>
      <c r="W940" s="273"/>
      <c r="X940" s="273"/>
      <c r="Y940" s="273"/>
      <c r="Z940" s="273"/>
      <c r="AA940" s="273"/>
      <c r="AB940" s="273"/>
      <c r="AC940" s="273"/>
    </row>
    <row r="941" ht="75.0" customHeight="1">
      <c r="A941" s="273"/>
      <c r="B941" s="273"/>
      <c r="C941" s="273"/>
      <c r="D941" s="273"/>
      <c r="E941" s="273"/>
      <c r="F941" s="275"/>
      <c r="G941" s="273"/>
      <c r="H941" s="273"/>
      <c r="I941" s="275"/>
      <c r="J941" s="273"/>
      <c r="K941" s="273"/>
      <c r="L941" s="273"/>
      <c r="M941" s="273"/>
      <c r="N941" s="273"/>
      <c r="O941" s="273"/>
      <c r="P941" s="275"/>
      <c r="Q941" s="273"/>
      <c r="R941" s="273"/>
      <c r="S941" s="273"/>
      <c r="T941" s="273"/>
      <c r="U941" s="273"/>
      <c r="V941" s="273"/>
      <c r="W941" s="273"/>
      <c r="X941" s="273"/>
      <c r="Y941" s="273"/>
      <c r="Z941" s="273"/>
      <c r="AA941" s="273"/>
      <c r="AB941" s="273"/>
      <c r="AC941" s="273"/>
    </row>
    <row r="942" ht="75.0" customHeight="1">
      <c r="A942" s="273"/>
      <c r="B942" s="273"/>
      <c r="C942" s="273"/>
      <c r="D942" s="273"/>
      <c r="E942" s="273"/>
      <c r="F942" s="275"/>
      <c r="G942" s="273"/>
      <c r="H942" s="273"/>
      <c r="I942" s="275"/>
      <c r="J942" s="273"/>
      <c r="K942" s="273"/>
      <c r="L942" s="273"/>
      <c r="M942" s="273"/>
      <c r="N942" s="273"/>
      <c r="O942" s="273"/>
      <c r="P942" s="275"/>
      <c r="Q942" s="273"/>
      <c r="R942" s="273"/>
      <c r="S942" s="273"/>
      <c r="T942" s="273"/>
      <c r="U942" s="273"/>
      <c r="V942" s="273"/>
      <c r="W942" s="273"/>
      <c r="X942" s="273"/>
      <c r="Y942" s="273"/>
      <c r="Z942" s="273"/>
      <c r="AA942" s="273"/>
      <c r="AB942" s="273"/>
      <c r="AC942" s="273"/>
    </row>
    <row r="943" ht="75.0" customHeight="1">
      <c r="A943" s="273"/>
      <c r="B943" s="273"/>
      <c r="C943" s="273"/>
      <c r="D943" s="273"/>
      <c r="E943" s="273"/>
      <c r="F943" s="275"/>
      <c r="G943" s="273"/>
      <c r="H943" s="273"/>
      <c r="I943" s="275"/>
      <c r="J943" s="273"/>
      <c r="K943" s="273"/>
      <c r="L943" s="273"/>
      <c r="M943" s="273"/>
      <c r="N943" s="273"/>
      <c r="O943" s="273"/>
      <c r="P943" s="275"/>
      <c r="Q943" s="273"/>
      <c r="R943" s="273"/>
      <c r="S943" s="273"/>
      <c r="T943" s="273"/>
      <c r="U943" s="273"/>
      <c r="V943" s="273"/>
      <c r="W943" s="273"/>
      <c r="X943" s="273"/>
      <c r="Y943" s="273"/>
      <c r="Z943" s="273"/>
      <c r="AA943" s="273"/>
      <c r="AB943" s="273"/>
      <c r="AC943" s="273"/>
    </row>
    <row r="944" ht="75.0" customHeight="1">
      <c r="A944" s="273"/>
      <c r="B944" s="273"/>
      <c r="C944" s="273"/>
      <c r="D944" s="273"/>
      <c r="E944" s="273"/>
      <c r="F944" s="275"/>
      <c r="G944" s="273"/>
      <c r="H944" s="273"/>
      <c r="I944" s="275"/>
      <c r="J944" s="273"/>
      <c r="K944" s="273"/>
      <c r="L944" s="273"/>
      <c r="M944" s="273"/>
      <c r="N944" s="273"/>
      <c r="O944" s="273"/>
      <c r="P944" s="275"/>
      <c r="Q944" s="273"/>
      <c r="R944" s="273"/>
      <c r="S944" s="273"/>
      <c r="T944" s="273"/>
      <c r="U944" s="273"/>
      <c r="V944" s="273"/>
      <c r="W944" s="273"/>
      <c r="X944" s="273"/>
      <c r="Y944" s="273"/>
      <c r="Z944" s="273"/>
      <c r="AA944" s="273"/>
      <c r="AB944" s="273"/>
      <c r="AC944" s="273"/>
    </row>
    <row r="945" ht="75.0" customHeight="1">
      <c r="A945" s="273"/>
      <c r="B945" s="273"/>
      <c r="C945" s="273"/>
      <c r="D945" s="273"/>
      <c r="E945" s="273"/>
      <c r="F945" s="275"/>
      <c r="G945" s="273"/>
      <c r="H945" s="273"/>
      <c r="I945" s="275"/>
      <c r="J945" s="273"/>
      <c r="K945" s="273"/>
      <c r="L945" s="273"/>
      <c r="M945" s="273"/>
      <c r="N945" s="273"/>
      <c r="O945" s="273"/>
      <c r="P945" s="275"/>
      <c r="Q945" s="273"/>
      <c r="R945" s="273"/>
      <c r="S945" s="273"/>
      <c r="T945" s="273"/>
      <c r="U945" s="273"/>
      <c r="V945" s="273"/>
      <c r="W945" s="273"/>
      <c r="X945" s="273"/>
      <c r="Y945" s="273"/>
      <c r="Z945" s="273"/>
      <c r="AA945" s="273"/>
      <c r="AB945" s="273"/>
      <c r="AC945" s="273"/>
    </row>
    <row r="946" ht="75.0" customHeight="1">
      <c r="A946" s="273"/>
      <c r="B946" s="273"/>
      <c r="C946" s="273"/>
      <c r="D946" s="273"/>
      <c r="E946" s="273"/>
      <c r="F946" s="275"/>
      <c r="G946" s="273"/>
      <c r="H946" s="273"/>
      <c r="I946" s="275"/>
      <c r="J946" s="273"/>
      <c r="K946" s="273"/>
      <c r="L946" s="273"/>
      <c r="M946" s="273"/>
      <c r="N946" s="273"/>
      <c r="O946" s="273"/>
      <c r="P946" s="275"/>
      <c r="Q946" s="273"/>
      <c r="R946" s="273"/>
      <c r="S946" s="273"/>
      <c r="T946" s="273"/>
      <c r="U946" s="273"/>
      <c r="V946" s="273"/>
      <c r="W946" s="273"/>
      <c r="X946" s="273"/>
      <c r="Y946" s="273"/>
      <c r="Z946" s="273"/>
      <c r="AA946" s="273"/>
      <c r="AB946" s="273"/>
      <c r="AC946" s="273"/>
    </row>
    <row r="947" ht="75.0" customHeight="1">
      <c r="A947" s="273"/>
      <c r="B947" s="273"/>
      <c r="C947" s="273"/>
      <c r="D947" s="273"/>
      <c r="E947" s="273"/>
      <c r="F947" s="275"/>
      <c r="G947" s="273"/>
      <c r="H947" s="273"/>
      <c r="I947" s="275"/>
      <c r="J947" s="273"/>
      <c r="K947" s="273"/>
      <c r="L947" s="273"/>
      <c r="M947" s="273"/>
      <c r="N947" s="273"/>
      <c r="O947" s="273"/>
      <c r="P947" s="275"/>
      <c r="Q947" s="273"/>
      <c r="R947" s="273"/>
      <c r="S947" s="273"/>
      <c r="T947" s="273"/>
      <c r="U947" s="273"/>
      <c r="V947" s="273"/>
      <c r="W947" s="273"/>
      <c r="X947" s="273"/>
      <c r="Y947" s="273"/>
      <c r="Z947" s="273"/>
      <c r="AA947" s="273"/>
      <c r="AB947" s="273"/>
      <c r="AC947" s="273"/>
    </row>
    <row r="948" ht="75.0" customHeight="1">
      <c r="A948" s="273"/>
      <c r="B948" s="273"/>
      <c r="C948" s="273"/>
      <c r="D948" s="273"/>
      <c r="E948" s="273"/>
      <c r="F948" s="275"/>
      <c r="G948" s="273"/>
      <c r="H948" s="273"/>
      <c r="I948" s="275"/>
      <c r="J948" s="273"/>
      <c r="K948" s="273"/>
      <c r="L948" s="273"/>
      <c r="M948" s="273"/>
      <c r="N948" s="273"/>
      <c r="O948" s="273"/>
      <c r="P948" s="275"/>
      <c r="Q948" s="273"/>
      <c r="R948" s="273"/>
      <c r="S948" s="273"/>
      <c r="T948" s="273"/>
      <c r="U948" s="273"/>
      <c r="V948" s="273"/>
      <c r="W948" s="273"/>
      <c r="X948" s="273"/>
      <c r="Y948" s="273"/>
      <c r="Z948" s="273"/>
      <c r="AA948" s="273"/>
      <c r="AB948" s="273"/>
      <c r="AC948" s="273"/>
    </row>
    <row r="949" ht="75.0" customHeight="1">
      <c r="A949" s="273"/>
      <c r="B949" s="273"/>
      <c r="C949" s="273"/>
      <c r="D949" s="273"/>
      <c r="E949" s="273"/>
      <c r="F949" s="275"/>
      <c r="G949" s="273"/>
      <c r="H949" s="273"/>
      <c r="I949" s="275"/>
      <c r="J949" s="273"/>
      <c r="K949" s="273"/>
      <c r="L949" s="273"/>
      <c r="M949" s="273"/>
      <c r="N949" s="273"/>
      <c r="O949" s="273"/>
      <c r="P949" s="275"/>
      <c r="Q949" s="273"/>
      <c r="R949" s="273"/>
      <c r="S949" s="273"/>
      <c r="T949" s="273"/>
      <c r="U949" s="273"/>
      <c r="V949" s="273"/>
      <c r="W949" s="273"/>
      <c r="X949" s="273"/>
      <c r="Y949" s="273"/>
      <c r="Z949" s="273"/>
      <c r="AA949" s="273"/>
      <c r="AB949" s="273"/>
      <c r="AC949" s="273"/>
    </row>
    <row r="950" ht="75.0" customHeight="1">
      <c r="A950" s="273"/>
      <c r="B950" s="273"/>
      <c r="C950" s="273"/>
      <c r="D950" s="273"/>
      <c r="E950" s="273"/>
      <c r="F950" s="275"/>
      <c r="G950" s="273"/>
      <c r="H950" s="273"/>
      <c r="I950" s="275"/>
      <c r="J950" s="273"/>
      <c r="K950" s="273"/>
      <c r="L950" s="273"/>
      <c r="M950" s="273"/>
      <c r="N950" s="273"/>
      <c r="O950" s="273"/>
      <c r="P950" s="275"/>
      <c r="Q950" s="273"/>
      <c r="R950" s="273"/>
      <c r="S950" s="273"/>
      <c r="T950" s="273"/>
      <c r="U950" s="273"/>
      <c r="V950" s="273"/>
      <c r="W950" s="273"/>
      <c r="X950" s="273"/>
      <c r="Y950" s="273"/>
      <c r="Z950" s="273"/>
      <c r="AA950" s="273"/>
      <c r="AB950" s="273"/>
      <c r="AC950" s="273"/>
    </row>
    <row r="951" ht="75.0" customHeight="1">
      <c r="A951" s="273"/>
      <c r="B951" s="273"/>
      <c r="C951" s="273"/>
      <c r="D951" s="273"/>
      <c r="E951" s="273"/>
      <c r="F951" s="275"/>
      <c r="G951" s="273"/>
      <c r="H951" s="273"/>
      <c r="I951" s="275"/>
      <c r="J951" s="273"/>
      <c r="K951" s="273"/>
      <c r="L951" s="273"/>
      <c r="M951" s="273"/>
      <c r="N951" s="273"/>
      <c r="O951" s="273"/>
      <c r="P951" s="275"/>
      <c r="Q951" s="273"/>
      <c r="R951" s="273"/>
      <c r="S951" s="273"/>
      <c r="T951" s="273"/>
      <c r="U951" s="273"/>
      <c r="V951" s="273"/>
      <c r="W951" s="273"/>
      <c r="X951" s="273"/>
      <c r="Y951" s="273"/>
      <c r="Z951" s="273"/>
      <c r="AA951" s="273"/>
      <c r="AB951" s="273"/>
      <c r="AC951" s="273"/>
    </row>
    <row r="952" ht="75.0" customHeight="1">
      <c r="A952" s="273"/>
      <c r="B952" s="273"/>
      <c r="C952" s="273"/>
      <c r="D952" s="273"/>
      <c r="E952" s="273"/>
      <c r="F952" s="275"/>
      <c r="G952" s="273"/>
      <c r="H952" s="273"/>
      <c r="I952" s="275"/>
      <c r="J952" s="273"/>
      <c r="K952" s="273"/>
      <c r="L952" s="273"/>
      <c r="M952" s="273"/>
      <c r="N952" s="273"/>
      <c r="O952" s="273"/>
      <c r="P952" s="275"/>
      <c r="Q952" s="273"/>
      <c r="R952" s="273"/>
      <c r="S952" s="273"/>
      <c r="T952" s="273"/>
      <c r="U952" s="273"/>
      <c r="V952" s="273"/>
      <c r="W952" s="273"/>
      <c r="X952" s="273"/>
      <c r="Y952" s="273"/>
      <c r="Z952" s="273"/>
      <c r="AA952" s="273"/>
      <c r="AB952" s="273"/>
      <c r="AC952" s="273"/>
    </row>
    <row r="953" ht="75.0" customHeight="1">
      <c r="A953" s="273"/>
      <c r="B953" s="273"/>
      <c r="C953" s="273"/>
      <c r="D953" s="273"/>
      <c r="E953" s="273"/>
      <c r="F953" s="275"/>
      <c r="G953" s="273"/>
      <c r="H953" s="273"/>
      <c r="I953" s="275"/>
      <c r="J953" s="273"/>
      <c r="K953" s="273"/>
      <c r="L953" s="273"/>
      <c r="M953" s="273"/>
      <c r="N953" s="273"/>
      <c r="O953" s="273"/>
      <c r="P953" s="275"/>
      <c r="Q953" s="273"/>
      <c r="R953" s="273"/>
      <c r="S953" s="273"/>
      <c r="T953" s="273"/>
      <c r="U953" s="273"/>
      <c r="V953" s="273"/>
      <c r="W953" s="273"/>
      <c r="X953" s="273"/>
      <c r="Y953" s="273"/>
      <c r="Z953" s="273"/>
      <c r="AA953" s="273"/>
      <c r="AB953" s="273"/>
      <c r="AC953" s="273"/>
    </row>
    <row r="954" ht="75.0" customHeight="1">
      <c r="A954" s="273"/>
      <c r="B954" s="273"/>
      <c r="C954" s="273"/>
      <c r="D954" s="273"/>
      <c r="E954" s="273"/>
      <c r="F954" s="275"/>
      <c r="G954" s="273"/>
      <c r="H954" s="273"/>
      <c r="I954" s="275"/>
      <c r="J954" s="273"/>
      <c r="K954" s="273"/>
      <c r="L954" s="273"/>
      <c r="M954" s="273"/>
      <c r="N954" s="273"/>
      <c r="O954" s="273"/>
      <c r="P954" s="275"/>
      <c r="Q954" s="273"/>
      <c r="R954" s="273"/>
      <c r="S954" s="273"/>
      <c r="T954" s="273"/>
      <c r="U954" s="273"/>
      <c r="V954" s="273"/>
      <c r="W954" s="273"/>
      <c r="X954" s="273"/>
      <c r="Y954" s="273"/>
      <c r="Z954" s="273"/>
      <c r="AA954" s="273"/>
      <c r="AB954" s="273"/>
      <c r="AC954" s="273"/>
    </row>
    <row r="955" ht="75.0" customHeight="1">
      <c r="A955" s="273"/>
      <c r="B955" s="273"/>
      <c r="C955" s="273"/>
      <c r="D955" s="273"/>
      <c r="E955" s="273"/>
      <c r="F955" s="275"/>
      <c r="G955" s="273"/>
      <c r="H955" s="273"/>
      <c r="I955" s="275"/>
      <c r="J955" s="273"/>
      <c r="K955" s="273"/>
      <c r="L955" s="273"/>
      <c r="M955" s="273"/>
      <c r="N955" s="273"/>
      <c r="O955" s="273"/>
      <c r="P955" s="275"/>
      <c r="Q955" s="273"/>
      <c r="R955" s="273"/>
      <c r="S955" s="273"/>
      <c r="T955" s="273"/>
      <c r="U955" s="273"/>
      <c r="V955" s="273"/>
      <c r="W955" s="273"/>
      <c r="X955" s="273"/>
      <c r="Y955" s="273"/>
      <c r="Z955" s="273"/>
      <c r="AA955" s="273"/>
      <c r="AB955" s="273"/>
      <c r="AC955" s="273"/>
    </row>
    <row r="956" ht="75.0" customHeight="1">
      <c r="A956" s="273"/>
      <c r="B956" s="273"/>
      <c r="C956" s="273"/>
      <c r="D956" s="273"/>
      <c r="E956" s="273"/>
      <c r="F956" s="275"/>
      <c r="G956" s="273"/>
      <c r="H956" s="273"/>
      <c r="I956" s="275"/>
      <c r="J956" s="273"/>
      <c r="K956" s="273"/>
      <c r="L956" s="273"/>
      <c r="M956" s="273"/>
      <c r="N956" s="273"/>
      <c r="O956" s="273"/>
      <c r="P956" s="275"/>
      <c r="Q956" s="273"/>
      <c r="R956" s="273"/>
      <c r="S956" s="273"/>
      <c r="T956" s="273"/>
      <c r="U956" s="273"/>
      <c r="V956" s="273"/>
      <c r="W956" s="273"/>
      <c r="X956" s="273"/>
      <c r="Y956" s="273"/>
      <c r="Z956" s="273"/>
      <c r="AA956" s="273"/>
      <c r="AB956" s="273"/>
      <c r="AC956" s="273"/>
    </row>
    <row r="957" ht="75.0" customHeight="1">
      <c r="A957" s="273"/>
      <c r="B957" s="273"/>
      <c r="C957" s="273"/>
      <c r="D957" s="273"/>
      <c r="E957" s="273"/>
      <c r="F957" s="275"/>
      <c r="G957" s="273"/>
      <c r="H957" s="273"/>
      <c r="I957" s="275"/>
      <c r="J957" s="273"/>
      <c r="K957" s="273"/>
      <c r="L957" s="273"/>
      <c r="M957" s="273"/>
      <c r="N957" s="273"/>
      <c r="O957" s="273"/>
      <c r="P957" s="275"/>
      <c r="Q957" s="273"/>
      <c r="R957" s="273"/>
      <c r="S957" s="273"/>
      <c r="T957" s="273"/>
      <c r="U957" s="273"/>
      <c r="V957" s="273"/>
      <c r="W957" s="273"/>
      <c r="X957" s="273"/>
      <c r="Y957" s="273"/>
      <c r="Z957" s="273"/>
      <c r="AA957" s="273"/>
      <c r="AB957" s="273"/>
      <c r="AC957" s="273"/>
    </row>
    <row r="958" ht="75.0" customHeight="1">
      <c r="A958" s="273"/>
      <c r="B958" s="273"/>
      <c r="C958" s="273"/>
      <c r="D958" s="273"/>
      <c r="E958" s="273"/>
      <c r="F958" s="275"/>
      <c r="G958" s="273"/>
      <c r="H958" s="273"/>
      <c r="I958" s="275"/>
      <c r="J958" s="273"/>
      <c r="K958" s="273"/>
      <c r="L958" s="273"/>
      <c r="M958" s="273"/>
      <c r="N958" s="273"/>
      <c r="O958" s="273"/>
      <c r="P958" s="275"/>
      <c r="Q958" s="273"/>
      <c r="R958" s="273"/>
      <c r="S958" s="273"/>
      <c r="T958" s="273"/>
      <c r="U958" s="273"/>
      <c r="V958" s="273"/>
      <c r="W958" s="273"/>
      <c r="X958" s="273"/>
      <c r="Y958" s="273"/>
      <c r="Z958" s="273"/>
      <c r="AA958" s="273"/>
      <c r="AB958" s="273"/>
      <c r="AC958" s="273"/>
    </row>
    <row r="959" ht="75.0" customHeight="1">
      <c r="A959" s="273"/>
      <c r="B959" s="273"/>
      <c r="C959" s="273"/>
      <c r="D959" s="273"/>
      <c r="E959" s="273"/>
      <c r="F959" s="275"/>
      <c r="G959" s="273"/>
      <c r="H959" s="273"/>
      <c r="I959" s="275"/>
      <c r="J959" s="273"/>
      <c r="K959" s="273"/>
      <c r="L959" s="273"/>
      <c r="M959" s="273"/>
      <c r="N959" s="273"/>
      <c r="O959" s="273"/>
      <c r="P959" s="275"/>
      <c r="Q959" s="273"/>
      <c r="R959" s="273"/>
      <c r="S959" s="273"/>
      <c r="T959" s="273"/>
      <c r="U959" s="273"/>
      <c r="V959" s="273"/>
      <c r="W959" s="273"/>
      <c r="X959" s="273"/>
      <c r="Y959" s="273"/>
      <c r="Z959" s="273"/>
      <c r="AA959" s="273"/>
      <c r="AB959" s="273"/>
      <c r="AC959" s="273"/>
    </row>
    <row r="960" ht="75.0" customHeight="1">
      <c r="A960" s="273"/>
      <c r="B960" s="273"/>
      <c r="C960" s="273"/>
      <c r="D960" s="273"/>
      <c r="E960" s="273"/>
      <c r="F960" s="275"/>
      <c r="G960" s="273"/>
      <c r="H960" s="273"/>
      <c r="I960" s="275"/>
      <c r="J960" s="273"/>
      <c r="K960" s="273"/>
      <c r="L960" s="273"/>
      <c r="M960" s="273"/>
      <c r="N960" s="273"/>
      <c r="O960" s="273"/>
      <c r="P960" s="275"/>
      <c r="Q960" s="273"/>
      <c r="R960" s="273"/>
      <c r="S960" s="273"/>
      <c r="T960" s="273"/>
      <c r="U960" s="273"/>
      <c r="V960" s="273"/>
      <c r="W960" s="273"/>
      <c r="X960" s="273"/>
      <c r="Y960" s="273"/>
      <c r="Z960" s="273"/>
      <c r="AA960" s="273"/>
      <c r="AB960" s="273"/>
      <c r="AC960" s="273"/>
    </row>
    <row r="961" ht="75.0" customHeight="1">
      <c r="A961" s="273"/>
      <c r="B961" s="273"/>
      <c r="C961" s="273"/>
      <c r="D961" s="273"/>
      <c r="E961" s="273"/>
      <c r="F961" s="275"/>
      <c r="G961" s="273"/>
      <c r="H961" s="273"/>
      <c r="I961" s="275"/>
      <c r="J961" s="273"/>
      <c r="K961" s="273"/>
      <c r="L961" s="273"/>
      <c r="M961" s="273"/>
      <c r="N961" s="273"/>
      <c r="O961" s="273"/>
      <c r="P961" s="275"/>
      <c r="Q961" s="273"/>
      <c r="R961" s="273"/>
      <c r="S961" s="273"/>
      <c r="T961" s="273"/>
      <c r="U961" s="273"/>
      <c r="V961" s="273"/>
      <c r="W961" s="273"/>
      <c r="X961" s="273"/>
      <c r="Y961" s="273"/>
      <c r="Z961" s="273"/>
      <c r="AA961" s="273"/>
      <c r="AB961" s="273"/>
      <c r="AC961" s="273"/>
    </row>
    <row r="962" ht="75.0" customHeight="1">
      <c r="A962" s="273"/>
      <c r="B962" s="273"/>
      <c r="C962" s="273"/>
      <c r="D962" s="273"/>
      <c r="E962" s="273"/>
      <c r="F962" s="275"/>
      <c r="G962" s="273"/>
      <c r="H962" s="273"/>
      <c r="I962" s="275"/>
      <c r="J962" s="273"/>
      <c r="K962" s="273"/>
      <c r="L962" s="273"/>
      <c r="M962" s="273"/>
      <c r="N962" s="273"/>
      <c r="O962" s="273"/>
      <c r="P962" s="275"/>
      <c r="Q962" s="273"/>
      <c r="R962" s="273"/>
      <c r="S962" s="273"/>
      <c r="T962" s="273"/>
      <c r="U962" s="273"/>
      <c r="V962" s="273"/>
      <c r="W962" s="273"/>
      <c r="X962" s="273"/>
      <c r="Y962" s="273"/>
      <c r="Z962" s="273"/>
      <c r="AA962" s="273"/>
      <c r="AB962" s="273"/>
      <c r="AC962" s="273"/>
    </row>
    <row r="963" ht="75.0" customHeight="1">
      <c r="A963" s="273"/>
      <c r="B963" s="273"/>
      <c r="C963" s="273"/>
      <c r="D963" s="273"/>
      <c r="E963" s="273"/>
      <c r="F963" s="275"/>
      <c r="G963" s="273"/>
      <c r="H963" s="273"/>
      <c r="I963" s="275"/>
      <c r="J963" s="273"/>
      <c r="K963" s="273"/>
      <c r="L963" s="273"/>
      <c r="M963" s="273"/>
      <c r="N963" s="273"/>
      <c r="O963" s="273"/>
      <c r="P963" s="275"/>
      <c r="Q963" s="273"/>
      <c r="R963" s="273"/>
      <c r="S963" s="273"/>
      <c r="T963" s="273"/>
      <c r="U963" s="273"/>
      <c r="V963" s="273"/>
      <c r="W963" s="273"/>
      <c r="X963" s="273"/>
      <c r="Y963" s="273"/>
      <c r="Z963" s="273"/>
      <c r="AA963" s="273"/>
      <c r="AB963" s="273"/>
      <c r="AC963" s="273"/>
    </row>
    <row r="964" ht="75.0" customHeight="1">
      <c r="A964" s="273"/>
      <c r="B964" s="273"/>
      <c r="C964" s="273"/>
      <c r="D964" s="273"/>
      <c r="E964" s="273"/>
      <c r="F964" s="275"/>
      <c r="G964" s="273"/>
      <c r="H964" s="273"/>
      <c r="I964" s="275"/>
      <c r="J964" s="273"/>
      <c r="K964" s="273"/>
      <c r="L964" s="273"/>
      <c r="M964" s="273"/>
      <c r="N964" s="273"/>
      <c r="O964" s="273"/>
      <c r="P964" s="275"/>
      <c r="Q964" s="273"/>
      <c r="R964" s="273"/>
      <c r="S964" s="273"/>
      <c r="T964" s="273"/>
      <c r="U964" s="273"/>
      <c r="V964" s="273"/>
      <c r="W964" s="273"/>
      <c r="X964" s="273"/>
      <c r="Y964" s="273"/>
      <c r="Z964" s="273"/>
      <c r="AA964" s="273"/>
      <c r="AB964" s="273"/>
      <c r="AC964" s="273"/>
    </row>
    <row r="965" ht="75.0" customHeight="1">
      <c r="A965" s="273"/>
      <c r="B965" s="273"/>
      <c r="C965" s="273"/>
      <c r="D965" s="273"/>
      <c r="E965" s="273"/>
      <c r="F965" s="275"/>
      <c r="G965" s="273"/>
      <c r="H965" s="273"/>
      <c r="I965" s="275"/>
      <c r="J965" s="273"/>
      <c r="K965" s="273"/>
      <c r="L965" s="273"/>
      <c r="M965" s="273"/>
      <c r="N965" s="273"/>
      <c r="O965" s="273"/>
      <c r="P965" s="275"/>
      <c r="Q965" s="273"/>
      <c r="R965" s="273"/>
      <c r="S965" s="273"/>
      <c r="T965" s="273"/>
      <c r="U965" s="273"/>
      <c r="V965" s="273"/>
      <c r="W965" s="273"/>
      <c r="X965" s="273"/>
      <c r="Y965" s="273"/>
      <c r="Z965" s="273"/>
      <c r="AA965" s="273"/>
      <c r="AB965" s="273"/>
      <c r="AC965" s="273"/>
    </row>
    <row r="966" ht="75.0" customHeight="1">
      <c r="A966" s="273"/>
      <c r="B966" s="273"/>
      <c r="C966" s="273"/>
      <c r="D966" s="273"/>
      <c r="E966" s="273"/>
      <c r="F966" s="275"/>
      <c r="G966" s="273"/>
      <c r="H966" s="273"/>
      <c r="I966" s="275"/>
      <c r="J966" s="273"/>
      <c r="K966" s="273"/>
      <c r="L966" s="273"/>
      <c r="M966" s="273"/>
      <c r="N966" s="273"/>
      <c r="O966" s="273"/>
      <c r="P966" s="275"/>
      <c r="Q966" s="273"/>
      <c r="R966" s="273"/>
      <c r="S966" s="273"/>
      <c r="T966" s="273"/>
      <c r="U966" s="273"/>
      <c r="V966" s="273"/>
      <c r="W966" s="273"/>
      <c r="X966" s="273"/>
      <c r="Y966" s="273"/>
      <c r="Z966" s="273"/>
      <c r="AA966" s="273"/>
      <c r="AB966" s="273"/>
      <c r="AC966" s="273"/>
    </row>
    <row r="967" ht="75.0" customHeight="1">
      <c r="A967" s="273"/>
      <c r="B967" s="273"/>
      <c r="C967" s="273"/>
      <c r="D967" s="273"/>
      <c r="E967" s="273"/>
      <c r="F967" s="275"/>
      <c r="G967" s="273"/>
      <c r="H967" s="273"/>
      <c r="I967" s="275"/>
      <c r="J967" s="273"/>
      <c r="K967" s="273"/>
      <c r="L967" s="273"/>
      <c r="M967" s="273"/>
      <c r="N967" s="273"/>
      <c r="O967" s="273"/>
      <c r="P967" s="275"/>
      <c r="Q967" s="273"/>
      <c r="R967" s="273"/>
      <c r="S967" s="273"/>
      <c r="T967" s="273"/>
      <c r="U967" s="273"/>
      <c r="V967" s="273"/>
      <c r="W967" s="273"/>
      <c r="X967" s="273"/>
      <c r="Y967" s="273"/>
      <c r="Z967" s="273"/>
      <c r="AA967" s="273"/>
      <c r="AB967" s="273"/>
      <c r="AC967" s="273"/>
    </row>
    <row r="968" ht="75.0" customHeight="1">
      <c r="A968" s="273"/>
      <c r="B968" s="273"/>
      <c r="C968" s="273"/>
      <c r="D968" s="273"/>
      <c r="E968" s="273"/>
      <c r="F968" s="275"/>
      <c r="G968" s="273"/>
      <c r="H968" s="273"/>
      <c r="I968" s="275"/>
      <c r="J968" s="273"/>
      <c r="K968" s="273"/>
      <c r="L968" s="273"/>
      <c r="M968" s="273"/>
      <c r="N968" s="273"/>
      <c r="O968" s="273"/>
      <c r="P968" s="275"/>
      <c r="Q968" s="273"/>
      <c r="R968" s="273"/>
      <c r="S968" s="273"/>
      <c r="T968" s="273"/>
      <c r="U968" s="273"/>
      <c r="V968" s="273"/>
      <c r="W968" s="273"/>
      <c r="X968" s="273"/>
      <c r="Y968" s="273"/>
      <c r="Z968" s="273"/>
      <c r="AA968" s="273"/>
      <c r="AB968" s="273"/>
      <c r="AC968" s="273"/>
    </row>
    <row r="969" ht="75.0" customHeight="1">
      <c r="A969" s="273"/>
      <c r="B969" s="273"/>
      <c r="C969" s="273"/>
      <c r="D969" s="273"/>
      <c r="E969" s="273"/>
      <c r="F969" s="275"/>
      <c r="G969" s="273"/>
      <c r="H969" s="273"/>
      <c r="I969" s="275"/>
      <c r="J969" s="273"/>
      <c r="K969" s="273"/>
      <c r="L969" s="273"/>
      <c r="M969" s="273"/>
      <c r="N969" s="273"/>
      <c r="O969" s="273"/>
      <c r="P969" s="275"/>
      <c r="Q969" s="273"/>
      <c r="R969" s="273"/>
      <c r="S969" s="273"/>
      <c r="T969" s="273"/>
      <c r="U969" s="273"/>
      <c r="V969" s="273"/>
      <c r="W969" s="273"/>
      <c r="X969" s="273"/>
      <c r="Y969" s="273"/>
      <c r="Z969" s="273"/>
      <c r="AA969" s="273"/>
      <c r="AB969" s="273"/>
      <c r="AC969" s="273"/>
    </row>
    <row r="970" ht="75.0" customHeight="1">
      <c r="A970" s="273"/>
      <c r="B970" s="273"/>
      <c r="C970" s="273"/>
      <c r="D970" s="273"/>
      <c r="E970" s="273"/>
      <c r="F970" s="275"/>
      <c r="G970" s="273"/>
      <c r="H970" s="273"/>
      <c r="I970" s="275"/>
      <c r="J970" s="273"/>
      <c r="K970" s="273"/>
      <c r="L970" s="273"/>
      <c r="M970" s="273"/>
      <c r="N970" s="273"/>
      <c r="O970" s="273"/>
      <c r="P970" s="275"/>
      <c r="Q970" s="273"/>
      <c r="R970" s="273"/>
      <c r="S970" s="273"/>
      <c r="T970" s="273"/>
      <c r="U970" s="273"/>
      <c r="V970" s="273"/>
      <c r="W970" s="273"/>
      <c r="X970" s="273"/>
      <c r="Y970" s="273"/>
      <c r="Z970" s="273"/>
      <c r="AA970" s="273"/>
      <c r="AB970" s="273"/>
      <c r="AC970" s="273"/>
    </row>
    <row r="971" ht="75.0" customHeight="1">
      <c r="A971" s="273"/>
      <c r="B971" s="273"/>
      <c r="C971" s="273"/>
      <c r="D971" s="273"/>
      <c r="E971" s="273"/>
      <c r="F971" s="275"/>
      <c r="G971" s="273"/>
      <c r="H971" s="273"/>
      <c r="I971" s="275"/>
      <c r="J971" s="273"/>
      <c r="K971" s="273"/>
      <c r="L971" s="273"/>
      <c r="M971" s="273"/>
      <c r="N971" s="273"/>
      <c r="O971" s="273"/>
      <c r="P971" s="275"/>
      <c r="Q971" s="273"/>
      <c r="R971" s="273"/>
      <c r="S971" s="273"/>
      <c r="T971" s="273"/>
      <c r="U971" s="273"/>
      <c r="V971" s="273"/>
      <c r="W971" s="273"/>
      <c r="X971" s="273"/>
      <c r="Y971" s="273"/>
      <c r="Z971" s="273"/>
      <c r="AA971" s="273"/>
      <c r="AB971" s="273"/>
      <c r="AC971" s="273"/>
    </row>
    <row r="972" ht="75.0" customHeight="1">
      <c r="A972" s="273"/>
      <c r="B972" s="273"/>
      <c r="C972" s="273"/>
      <c r="D972" s="273"/>
      <c r="E972" s="273"/>
      <c r="F972" s="275"/>
      <c r="G972" s="273"/>
      <c r="H972" s="273"/>
      <c r="I972" s="275"/>
      <c r="J972" s="273"/>
      <c r="K972" s="273"/>
      <c r="L972" s="273"/>
      <c r="M972" s="273"/>
      <c r="N972" s="273"/>
      <c r="O972" s="273"/>
      <c r="P972" s="275"/>
      <c r="Q972" s="273"/>
      <c r="R972" s="273"/>
      <c r="S972" s="273"/>
      <c r="T972" s="273"/>
      <c r="U972" s="273"/>
      <c r="V972" s="273"/>
      <c r="W972" s="273"/>
      <c r="X972" s="273"/>
      <c r="Y972" s="273"/>
      <c r="Z972" s="273"/>
      <c r="AA972" s="273"/>
      <c r="AB972" s="273"/>
      <c r="AC972" s="273"/>
    </row>
    <row r="973" ht="75.0" customHeight="1">
      <c r="A973" s="273"/>
      <c r="B973" s="273"/>
      <c r="C973" s="273"/>
      <c r="D973" s="273"/>
      <c r="E973" s="273"/>
      <c r="F973" s="275"/>
      <c r="G973" s="273"/>
      <c r="H973" s="273"/>
      <c r="I973" s="275"/>
      <c r="J973" s="273"/>
      <c r="K973" s="273"/>
      <c r="L973" s="273"/>
      <c r="M973" s="273"/>
      <c r="N973" s="273"/>
      <c r="O973" s="273"/>
      <c r="P973" s="275"/>
      <c r="Q973" s="273"/>
      <c r="R973" s="273"/>
      <c r="S973" s="273"/>
      <c r="T973" s="273"/>
      <c r="U973" s="273"/>
      <c r="V973" s="273"/>
      <c r="W973" s="273"/>
      <c r="X973" s="273"/>
      <c r="Y973" s="273"/>
      <c r="Z973" s="273"/>
      <c r="AA973" s="273"/>
      <c r="AB973" s="273"/>
      <c r="AC973" s="273"/>
    </row>
    <row r="974" ht="75.0" customHeight="1">
      <c r="A974" s="273"/>
      <c r="B974" s="273"/>
      <c r="C974" s="273"/>
      <c r="D974" s="273"/>
      <c r="E974" s="273"/>
      <c r="F974" s="275"/>
      <c r="G974" s="273"/>
      <c r="H974" s="273"/>
      <c r="I974" s="275"/>
      <c r="J974" s="273"/>
      <c r="K974" s="273"/>
      <c r="L974" s="273"/>
      <c r="M974" s="273"/>
      <c r="N974" s="273"/>
      <c r="O974" s="273"/>
      <c r="P974" s="275"/>
      <c r="Q974" s="273"/>
      <c r="R974" s="273"/>
      <c r="S974" s="273"/>
      <c r="T974" s="273"/>
      <c r="U974" s="273"/>
      <c r="V974" s="273"/>
      <c r="W974" s="273"/>
      <c r="X974" s="273"/>
      <c r="Y974" s="273"/>
      <c r="Z974" s="273"/>
      <c r="AA974" s="273"/>
      <c r="AB974" s="273"/>
      <c r="AC974" s="273"/>
    </row>
    <row r="975" ht="75.0" customHeight="1">
      <c r="A975" s="273"/>
      <c r="B975" s="273"/>
      <c r="C975" s="273"/>
      <c r="D975" s="273"/>
      <c r="E975" s="273"/>
      <c r="F975" s="275"/>
      <c r="G975" s="273"/>
      <c r="H975" s="273"/>
      <c r="I975" s="275"/>
      <c r="J975" s="273"/>
      <c r="K975" s="273"/>
      <c r="L975" s="273"/>
      <c r="M975" s="273"/>
      <c r="N975" s="273"/>
      <c r="O975" s="273"/>
      <c r="P975" s="275"/>
      <c r="Q975" s="273"/>
      <c r="R975" s="273"/>
      <c r="S975" s="273"/>
      <c r="T975" s="273"/>
      <c r="U975" s="273"/>
      <c r="V975" s="273"/>
      <c r="W975" s="273"/>
      <c r="X975" s="273"/>
      <c r="Y975" s="273"/>
      <c r="Z975" s="273"/>
      <c r="AA975" s="273"/>
      <c r="AB975" s="273"/>
      <c r="AC975" s="273"/>
    </row>
    <row r="976" ht="75.0" customHeight="1">
      <c r="A976" s="273"/>
      <c r="B976" s="273"/>
      <c r="C976" s="273"/>
      <c r="D976" s="273"/>
      <c r="E976" s="273"/>
      <c r="F976" s="275"/>
      <c r="G976" s="273"/>
      <c r="H976" s="273"/>
      <c r="I976" s="275"/>
      <c r="J976" s="273"/>
      <c r="K976" s="273"/>
      <c r="L976" s="273"/>
      <c r="M976" s="273"/>
      <c r="N976" s="273"/>
      <c r="O976" s="273"/>
      <c r="P976" s="275"/>
      <c r="Q976" s="273"/>
      <c r="R976" s="273"/>
      <c r="S976" s="273"/>
      <c r="T976" s="273"/>
      <c r="U976" s="273"/>
      <c r="V976" s="273"/>
      <c r="W976" s="273"/>
      <c r="X976" s="273"/>
      <c r="Y976" s="273"/>
      <c r="Z976" s="273"/>
      <c r="AA976" s="273"/>
      <c r="AB976" s="273"/>
      <c r="AC976" s="273"/>
    </row>
    <row r="977" ht="75.0" customHeight="1">
      <c r="A977" s="273"/>
      <c r="B977" s="273"/>
      <c r="C977" s="273"/>
      <c r="D977" s="273"/>
      <c r="E977" s="273"/>
      <c r="F977" s="275"/>
      <c r="G977" s="273"/>
      <c r="H977" s="273"/>
      <c r="I977" s="275"/>
      <c r="J977" s="273"/>
      <c r="K977" s="273"/>
      <c r="L977" s="273"/>
      <c r="M977" s="273"/>
      <c r="N977" s="273"/>
      <c r="O977" s="273"/>
      <c r="P977" s="275"/>
      <c r="Q977" s="273"/>
      <c r="R977" s="273"/>
      <c r="S977" s="273"/>
      <c r="T977" s="273"/>
      <c r="U977" s="273"/>
      <c r="V977" s="273"/>
      <c r="W977" s="273"/>
      <c r="X977" s="273"/>
      <c r="Y977" s="273"/>
      <c r="Z977" s="273"/>
      <c r="AA977" s="273"/>
      <c r="AB977" s="273"/>
      <c r="AC977" s="273"/>
    </row>
    <row r="978" ht="75.0" customHeight="1">
      <c r="A978" s="273"/>
      <c r="B978" s="273"/>
      <c r="C978" s="273"/>
      <c r="D978" s="273"/>
      <c r="E978" s="273"/>
      <c r="F978" s="275"/>
      <c r="G978" s="273"/>
      <c r="H978" s="273"/>
      <c r="I978" s="275"/>
      <c r="J978" s="273"/>
      <c r="K978" s="273"/>
      <c r="L978" s="273"/>
      <c r="M978" s="273"/>
      <c r="N978" s="273"/>
      <c r="O978" s="273"/>
      <c r="P978" s="275"/>
      <c r="Q978" s="273"/>
      <c r="R978" s="273"/>
      <c r="S978" s="273"/>
      <c r="T978" s="273"/>
      <c r="U978" s="273"/>
      <c r="V978" s="273"/>
      <c r="W978" s="273"/>
      <c r="X978" s="273"/>
      <c r="Y978" s="273"/>
      <c r="Z978" s="273"/>
      <c r="AA978" s="273"/>
      <c r="AB978" s="273"/>
      <c r="AC978" s="273"/>
    </row>
    <row r="979" ht="75.0" customHeight="1">
      <c r="A979" s="273"/>
      <c r="B979" s="273"/>
      <c r="C979" s="273"/>
      <c r="D979" s="273"/>
      <c r="E979" s="273"/>
      <c r="F979" s="275"/>
      <c r="G979" s="273"/>
      <c r="H979" s="273"/>
      <c r="I979" s="275"/>
      <c r="J979" s="273"/>
      <c r="K979" s="273"/>
      <c r="L979" s="273"/>
      <c r="M979" s="273"/>
      <c r="N979" s="273"/>
      <c r="O979" s="273"/>
      <c r="P979" s="275"/>
      <c r="Q979" s="273"/>
      <c r="R979" s="273"/>
      <c r="S979" s="273"/>
      <c r="T979" s="273"/>
      <c r="U979" s="273"/>
      <c r="V979" s="273"/>
      <c r="W979" s="273"/>
      <c r="X979" s="273"/>
      <c r="Y979" s="273"/>
      <c r="Z979" s="273"/>
      <c r="AA979" s="273"/>
      <c r="AB979" s="273"/>
      <c r="AC979" s="273"/>
    </row>
    <row r="980" ht="75.0" customHeight="1">
      <c r="A980" s="273"/>
      <c r="B980" s="273"/>
      <c r="C980" s="273"/>
      <c r="D980" s="273"/>
      <c r="E980" s="273"/>
      <c r="F980" s="275"/>
      <c r="G980" s="273"/>
      <c r="H980" s="273"/>
      <c r="I980" s="275"/>
      <c r="J980" s="273"/>
      <c r="K980" s="273"/>
      <c r="L980" s="273"/>
      <c r="M980" s="273"/>
      <c r="N980" s="273"/>
      <c r="O980" s="273"/>
      <c r="P980" s="275"/>
      <c r="Q980" s="273"/>
      <c r="R980" s="273"/>
      <c r="S980" s="273"/>
      <c r="T980" s="273"/>
      <c r="U980" s="273"/>
      <c r="V980" s="273"/>
      <c r="W980" s="273"/>
      <c r="X980" s="273"/>
      <c r="Y980" s="273"/>
      <c r="Z980" s="273"/>
      <c r="AA980" s="273"/>
      <c r="AB980" s="273"/>
      <c r="AC980" s="273"/>
    </row>
    <row r="981" ht="75.0" customHeight="1">
      <c r="A981" s="273"/>
      <c r="B981" s="273"/>
      <c r="C981" s="273"/>
      <c r="D981" s="273"/>
      <c r="E981" s="273"/>
      <c r="F981" s="275"/>
      <c r="G981" s="273"/>
      <c r="H981" s="273"/>
      <c r="I981" s="275"/>
      <c r="J981" s="273"/>
      <c r="K981" s="273"/>
      <c r="L981" s="273"/>
      <c r="M981" s="273"/>
      <c r="N981" s="273"/>
      <c r="O981" s="273"/>
      <c r="P981" s="275"/>
      <c r="Q981" s="273"/>
      <c r="R981" s="273"/>
      <c r="S981" s="273"/>
      <c r="T981" s="273"/>
      <c r="U981" s="273"/>
      <c r="V981" s="273"/>
      <c r="W981" s="273"/>
      <c r="X981" s="273"/>
      <c r="Y981" s="273"/>
      <c r="Z981" s="273"/>
      <c r="AA981" s="273"/>
      <c r="AB981" s="273"/>
      <c r="AC981" s="273"/>
    </row>
    <row r="982" ht="75.0" customHeight="1">
      <c r="A982" s="273"/>
      <c r="B982" s="273"/>
      <c r="C982" s="273"/>
      <c r="D982" s="273"/>
      <c r="E982" s="273"/>
      <c r="F982" s="275"/>
      <c r="G982" s="273"/>
      <c r="H982" s="273"/>
      <c r="I982" s="275"/>
      <c r="J982" s="273"/>
      <c r="K982" s="273"/>
      <c r="L982" s="273"/>
      <c r="M982" s="273"/>
      <c r="N982" s="273"/>
      <c r="O982" s="273"/>
      <c r="P982" s="275"/>
      <c r="Q982" s="273"/>
      <c r="R982" s="273"/>
      <c r="S982" s="273"/>
      <c r="T982" s="273"/>
      <c r="U982" s="273"/>
      <c r="V982" s="273"/>
      <c r="W982" s="273"/>
      <c r="X982" s="273"/>
      <c r="Y982" s="273"/>
      <c r="Z982" s="273"/>
      <c r="AA982" s="273"/>
      <c r="AB982" s="273"/>
      <c r="AC982" s="273"/>
    </row>
    <row r="983" ht="75.0" customHeight="1">
      <c r="A983" s="273"/>
      <c r="B983" s="273"/>
      <c r="C983" s="273"/>
      <c r="D983" s="273"/>
      <c r="E983" s="273"/>
      <c r="F983" s="275"/>
      <c r="G983" s="273"/>
      <c r="H983" s="273"/>
      <c r="I983" s="275"/>
      <c r="J983" s="273"/>
      <c r="K983" s="273"/>
      <c r="L983" s="273"/>
      <c r="M983" s="273"/>
      <c r="N983" s="273"/>
      <c r="O983" s="273"/>
      <c r="P983" s="275"/>
      <c r="Q983" s="273"/>
      <c r="R983" s="273"/>
      <c r="S983" s="273"/>
      <c r="T983" s="273"/>
      <c r="U983" s="273"/>
      <c r="V983" s="273"/>
      <c r="W983" s="273"/>
      <c r="X983" s="273"/>
      <c r="Y983" s="273"/>
      <c r="Z983" s="273"/>
      <c r="AA983" s="273"/>
      <c r="AB983" s="273"/>
      <c r="AC983" s="273"/>
    </row>
    <row r="984" ht="75.0" customHeight="1">
      <c r="A984" s="273"/>
      <c r="B984" s="273"/>
      <c r="C984" s="273"/>
      <c r="D984" s="273"/>
      <c r="E984" s="273"/>
      <c r="F984" s="275"/>
      <c r="G984" s="273"/>
      <c r="H984" s="273"/>
      <c r="I984" s="275"/>
      <c r="J984" s="273"/>
      <c r="K984" s="273"/>
      <c r="L984" s="273"/>
      <c r="M984" s="273"/>
      <c r="N984" s="273"/>
      <c r="O984" s="273"/>
      <c r="P984" s="275"/>
      <c r="Q984" s="273"/>
      <c r="R984" s="273"/>
      <c r="S984" s="273"/>
      <c r="T984" s="273"/>
      <c r="U984" s="273"/>
      <c r="V984" s="273"/>
      <c r="W984" s="273"/>
      <c r="X984" s="273"/>
      <c r="Y984" s="273"/>
      <c r="Z984" s="273"/>
      <c r="AA984" s="273"/>
      <c r="AB984" s="273"/>
      <c r="AC984" s="273"/>
    </row>
    <row r="985" ht="75.0" customHeight="1">
      <c r="A985" s="273"/>
      <c r="B985" s="273"/>
      <c r="C985" s="273"/>
      <c r="D985" s="273"/>
      <c r="E985" s="273"/>
      <c r="F985" s="275"/>
      <c r="G985" s="273"/>
      <c r="H985" s="273"/>
      <c r="I985" s="275"/>
      <c r="J985" s="273"/>
      <c r="K985" s="273"/>
      <c r="L985" s="273"/>
      <c r="M985" s="273"/>
      <c r="N985" s="273"/>
      <c r="O985" s="273"/>
      <c r="P985" s="275"/>
      <c r="Q985" s="273"/>
      <c r="R985" s="273"/>
      <c r="S985" s="273"/>
      <c r="T985" s="273"/>
      <c r="U985" s="273"/>
      <c r="V985" s="273"/>
      <c r="W985" s="273"/>
      <c r="X985" s="273"/>
      <c r="Y985" s="273"/>
      <c r="Z985" s="273"/>
      <c r="AA985" s="273"/>
      <c r="AB985" s="273"/>
      <c r="AC985" s="273"/>
    </row>
    <row r="986" ht="75.0" customHeight="1">
      <c r="A986" s="273"/>
      <c r="B986" s="273"/>
      <c r="C986" s="273"/>
      <c r="D986" s="273"/>
      <c r="E986" s="273"/>
      <c r="F986" s="275"/>
      <c r="G986" s="273"/>
      <c r="H986" s="273"/>
      <c r="I986" s="275"/>
      <c r="J986" s="273"/>
      <c r="K986" s="273"/>
      <c r="L986" s="273"/>
      <c r="M986" s="273"/>
      <c r="N986" s="273"/>
      <c r="O986" s="273"/>
      <c r="P986" s="275"/>
      <c r="Q986" s="273"/>
      <c r="R986" s="273"/>
      <c r="S986" s="273"/>
      <c r="T986" s="273"/>
      <c r="U986" s="273"/>
      <c r="V986" s="273"/>
      <c r="W986" s="273"/>
      <c r="X986" s="273"/>
      <c r="Y986" s="273"/>
      <c r="Z986" s="273"/>
      <c r="AA986" s="273"/>
      <c r="AB986" s="273"/>
      <c r="AC986" s="273"/>
    </row>
    <row r="987" ht="75.0" customHeight="1">
      <c r="A987" s="273"/>
      <c r="B987" s="273"/>
      <c r="C987" s="273"/>
      <c r="D987" s="273"/>
      <c r="E987" s="273"/>
      <c r="F987" s="275"/>
      <c r="G987" s="273"/>
      <c r="H987" s="273"/>
      <c r="I987" s="275"/>
      <c r="J987" s="273"/>
      <c r="K987" s="273"/>
      <c r="L987" s="273"/>
      <c r="M987" s="273"/>
      <c r="N987" s="273"/>
      <c r="O987" s="273"/>
      <c r="P987" s="275"/>
      <c r="Q987" s="273"/>
      <c r="R987" s="273"/>
      <c r="S987" s="273"/>
      <c r="T987" s="273"/>
      <c r="U987" s="273"/>
      <c r="V987" s="273"/>
      <c r="W987" s="273"/>
      <c r="X987" s="273"/>
      <c r="Y987" s="273"/>
      <c r="Z987" s="273"/>
      <c r="AA987" s="273"/>
      <c r="AB987" s="273"/>
      <c r="AC987" s="273"/>
    </row>
    <row r="988" ht="75.0" customHeight="1">
      <c r="A988" s="273"/>
      <c r="B988" s="273"/>
      <c r="C988" s="273"/>
      <c r="D988" s="273"/>
      <c r="E988" s="273"/>
      <c r="F988" s="275"/>
      <c r="G988" s="273"/>
      <c r="H988" s="273"/>
      <c r="I988" s="275"/>
      <c r="J988" s="273"/>
      <c r="K988" s="273"/>
      <c r="L988" s="273"/>
      <c r="M988" s="273"/>
      <c r="N988" s="273"/>
      <c r="O988" s="273"/>
      <c r="P988" s="275"/>
      <c r="Q988" s="273"/>
      <c r="R988" s="273"/>
      <c r="S988" s="273"/>
      <c r="T988" s="273"/>
      <c r="U988" s="273"/>
      <c r="V988" s="273"/>
      <c r="W988" s="273"/>
      <c r="X988" s="273"/>
      <c r="Y988" s="273"/>
      <c r="Z988" s="273"/>
      <c r="AA988" s="273"/>
      <c r="AB988" s="273"/>
      <c r="AC988" s="273"/>
    </row>
    <row r="989" ht="75.0" customHeight="1">
      <c r="A989" s="273"/>
      <c r="B989" s="273"/>
      <c r="C989" s="273"/>
      <c r="D989" s="273"/>
      <c r="E989" s="273"/>
      <c r="F989" s="275"/>
      <c r="G989" s="273"/>
      <c r="H989" s="273"/>
      <c r="I989" s="275"/>
      <c r="J989" s="273"/>
      <c r="K989" s="273"/>
      <c r="L989" s="273"/>
      <c r="M989" s="273"/>
      <c r="N989" s="273"/>
      <c r="O989" s="273"/>
      <c r="P989" s="275"/>
      <c r="Q989" s="273"/>
      <c r="R989" s="273"/>
      <c r="S989" s="273"/>
      <c r="T989" s="273"/>
      <c r="U989" s="273"/>
      <c r="V989" s="273"/>
      <c r="W989" s="273"/>
      <c r="X989" s="273"/>
      <c r="Y989" s="273"/>
      <c r="Z989" s="273"/>
      <c r="AA989" s="273"/>
      <c r="AB989" s="273"/>
      <c r="AC989" s="273"/>
    </row>
    <row r="990" ht="75.0" customHeight="1">
      <c r="A990" s="273"/>
      <c r="B990" s="273"/>
      <c r="C990" s="273"/>
      <c r="D990" s="273"/>
      <c r="E990" s="273"/>
      <c r="F990" s="275"/>
      <c r="G990" s="273"/>
      <c r="H990" s="273"/>
      <c r="I990" s="275"/>
      <c r="J990" s="273"/>
      <c r="K990" s="273"/>
      <c r="L990" s="273"/>
      <c r="M990" s="273"/>
      <c r="N990" s="273"/>
      <c r="O990" s="273"/>
      <c r="P990" s="275"/>
      <c r="Q990" s="273"/>
      <c r="R990" s="273"/>
      <c r="S990" s="273"/>
      <c r="T990" s="273"/>
      <c r="U990" s="273"/>
      <c r="V990" s="273"/>
      <c r="W990" s="273"/>
      <c r="X990" s="273"/>
      <c r="Y990" s="273"/>
      <c r="Z990" s="273"/>
      <c r="AA990" s="273"/>
      <c r="AB990" s="273"/>
      <c r="AC990" s="273"/>
    </row>
    <row r="991" ht="75.0" customHeight="1">
      <c r="A991" s="273"/>
      <c r="B991" s="273"/>
      <c r="C991" s="273"/>
      <c r="D991" s="273"/>
      <c r="E991" s="273"/>
      <c r="F991" s="275"/>
      <c r="G991" s="273"/>
      <c r="H991" s="273"/>
      <c r="I991" s="275"/>
      <c r="J991" s="273"/>
      <c r="K991" s="273"/>
      <c r="L991" s="273"/>
      <c r="M991" s="273"/>
      <c r="N991" s="273"/>
      <c r="O991" s="273"/>
      <c r="P991" s="275"/>
      <c r="Q991" s="273"/>
      <c r="R991" s="273"/>
      <c r="S991" s="273"/>
      <c r="T991" s="273"/>
      <c r="U991" s="273"/>
      <c r="V991" s="273"/>
      <c r="W991" s="273"/>
      <c r="X991" s="273"/>
      <c r="Y991" s="273"/>
      <c r="Z991" s="273"/>
      <c r="AA991" s="273"/>
      <c r="AB991" s="273"/>
      <c r="AC991" s="273"/>
    </row>
    <row r="992" ht="75.0" customHeight="1">
      <c r="A992" s="273"/>
      <c r="B992" s="273"/>
      <c r="C992" s="273"/>
      <c r="D992" s="273"/>
      <c r="E992" s="273"/>
      <c r="F992" s="275"/>
      <c r="G992" s="273"/>
      <c r="H992" s="273"/>
      <c r="I992" s="275"/>
      <c r="J992" s="273"/>
      <c r="K992" s="273"/>
      <c r="L992" s="273"/>
      <c r="M992" s="273"/>
      <c r="N992" s="273"/>
      <c r="O992" s="273"/>
      <c r="P992" s="275"/>
      <c r="Q992" s="273"/>
      <c r="R992" s="273"/>
      <c r="S992" s="273"/>
      <c r="T992" s="273"/>
      <c r="U992" s="273"/>
      <c r="V992" s="273"/>
      <c r="W992" s="273"/>
      <c r="X992" s="273"/>
      <c r="Y992" s="273"/>
      <c r="Z992" s="273"/>
      <c r="AA992" s="273"/>
      <c r="AB992" s="273"/>
      <c r="AC992" s="273"/>
    </row>
    <row r="993" ht="75.0" customHeight="1">
      <c r="A993" s="273"/>
      <c r="B993" s="273"/>
      <c r="C993" s="273"/>
      <c r="D993" s="273"/>
      <c r="E993" s="273"/>
      <c r="F993" s="275"/>
      <c r="G993" s="273"/>
      <c r="H993" s="273"/>
      <c r="I993" s="275"/>
      <c r="J993" s="273"/>
      <c r="K993" s="273"/>
      <c r="L993" s="273"/>
      <c r="M993" s="273"/>
      <c r="N993" s="273"/>
      <c r="O993" s="273"/>
      <c r="P993" s="275"/>
      <c r="Q993" s="273"/>
      <c r="R993" s="273"/>
      <c r="S993" s="273"/>
      <c r="T993" s="273"/>
      <c r="U993" s="273"/>
      <c r="V993" s="273"/>
      <c r="W993" s="273"/>
      <c r="X993" s="273"/>
      <c r="Y993" s="273"/>
      <c r="Z993" s="273"/>
      <c r="AA993" s="273"/>
      <c r="AB993" s="273"/>
      <c r="AC993" s="273"/>
    </row>
    <row r="994" ht="75.0" customHeight="1">
      <c r="A994" s="273"/>
      <c r="B994" s="273"/>
      <c r="C994" s="273"/>
      <c r="D994" s="273"/>
      <c r="E994" s="273"/>
      <c r="F994" s="275"/>
      <c r="G994" s="273"/>
      <c r="H994" s="273"/>
      <c r="I994" s="275"/>
      <c r="J994" s="273"/>
      <c r="K994" s="273"/>
      <c r="L994" s="273"/>
      <c r="M994" s="273"/>
      <c r="N994" s="273"/>
      <c r="O994" s="273"/>
      <c r="P994" s="275"/>
      <c r="Q994" s="273"/>
      <c r="R994" s="273"/>
      <c r="S994" s="273"/>
      <c r="T994" s="273"/>
      <c r="U994" s="273"/>
      <c r="V994" s="273"/>
      <c r="W994" s="273"/>
      <c r="X994" s="273"/>
      <c r="Y994" s="273"/>
      <c r="Z994" s="273"/>
      <c r="AA994" s="273"/>
      <c r="AB994" s="273"/>
      <c r="AC994" s="273"/>
    </row>
    <row r="995" ht="75.0" customHeight="1">
      <c r="A995" s="273"/>
      <c r="B995" s="273"/>
      <c r="C995" s="273"/>
      <c r="D995" s="273"/>
      <c r="E995" s="273"/>
      <c r="F995" s="275"/>
      <c r="G995" s="273"/>
      <c r="H995" s="273"/>
      <c r="I995" s="275"/>
      <c r="J995" s="273"/>
      <c r="K995" s="273"/>
      <c r="L995" s="273"/>
      <c r="M995" s="273"/>
      <c r="N995" s="273"/>
      <c r="O995" s="273"/>
      <c r="P995" s="275"/>
      <c r="Q995" s="273"/>
      <c r="R995" s="273"/>
      <c r="S995" s="273"/>
      <c r="T995" s="273"/>
      <c r="U995" s="273"/>
      <c r="V995" s="273"/>
      <c r="W995" s="273"/>
      <c r="X995" s="273"/>
      <c r="Y995" s="273"/>
      <c r="Z995" s="273"/>
      <c r="AA995" s="273"/>
      <c r="AB995" s="273"/>
      <c r="AC995" s="273"/>
    </row>
    <row r="996" ht="75.0" customHeight="1">
      <c r="A996" s="273"/>
      <c r="B996" s="273"/>
      <c r="C996" s="273"/>
      <c r="D996" s="273"/>
      <c r="E996" s="273"/>
      <c r="F996" s="275"/>
      <c r="G996" s="273"/>
      <c r="H996" s="273"/>
      <c r="I996" s="275"/>
      <c r="J996" s="273"/>
      <c r="K996" s="273"/>
      <c r="L996" s="273"/>
      <c r="M996" s="273"/>
      <c r="N996" s="273"/>
      <c r="O996" s="273"/>
      <c r="P996" s="275"/>
      <c r="Q996" s="273"/>
      <c r="R996" s="273"/>
      <c r="S996" s="273"/>
      <c r="T996" s="273"/>
      <c r="U996" s="273"/>
      <c r="V996" s="273"/>
      <c r="W996" s="273"/>
      <c r="X996" s="273"/>
      <c r="Y996" s="273"/>
      <c r="Z996" s="273"/>
      <c r="AA996" s="273"/>
      <c r="AB996" s="273"/>
      <c r="AC996" s="273"/>
    </row>
    <row r="997" ht="75.0" customHeight="1">
      <c r="A997" s="273"/>
      <c r="B997" s="273"/>
      <c r="C997" s="273"/>
      <c r="D997" s="273"/>
      <c r="E997" s="273"/>
      <c r="F997" s="275"/>
      <c r="G997" s="273"/>
      <c r="H997" s="273"/>
      <c r="I997" s="275"/>
      <c r="J997" s="273"/>
      <c r="K997" s="273"/>
      <c r="L997" s="273"/>
      <c r="M997" s="273"/>
      <c r="N997" s="273"/>
      <c r="O997" s="273"/>
      <c r="P997" s="275"/>
      <c r="Q997" s="273"/>
      <c r="R997" s="273"/>
      <c r="S997" s="273"/>
      <c r="T997" s="273"/>
      <c r="U997" s="273"/>
      <c r="V997" s="273"/>
      <c r="W997" s="273"/>
      <c r="X997" s="273"/>
      <c r="Y997" s="273"/>
      <c r="Z997" s="273"/>
      <c r="AA997" s="273"/>
      <c r="AB997" s="273"/>
      <c r="AC997" s="273"/>
    </row>
    <row r="998" ht="75.0" customHeight="1">
      <c r="A998" s="273"/>
      <c r="B998" s="273"/>
      <c r="C998" s="273"/>
      <c r="D998" s="273"/>
      <c r="E998" s="273"/>
      <c r="F998" s="275"/>
      <c r="G998" s="273"/>
      <c r="H998" s="273"/>
      <c r="I998" s="275"/>
      <c r="J998" s="273"/>
      <c r="K998" s="273"/>
      <c r="L998" s="273"/>
      <c r="M998" s="273"/>
      <c r="N998" s="273"/>
      <c r="O998" s="273"/>
      <c r="P998" s="275"/>
      <c r="Q998" s="273"/>
      <c r="R998" s="273"/>
      <c r="S998" s="273"/>
      <c r="T998" s="273"/>
      <c r="U998" s="273"/>
      <c r="V998" s="273"/>
      <c r="W998" s="273"/>
      <c r="X998" s="273"/>
      <c r="Y998" s="273"/>
      <c r="Z998" s="273"/>
      <c r="AA998" s="273"/>
      <c r="AB998" s="273"/>
      <c r="AC998" s="273"/>
    </row>
    <row r="999" ht="75.0" customHeight="1">
      <c r="A999" s="273"/>
      <c r="B999" s="273"/>
      <c r="C999" s="273"/>
      <c r="D999" s="273"/>
      <c r="E999" s="273"/>
      <c r="F999" s="275"/>
      <c r="G999" s="273"/>
      <c r="H999" s="273"/>
      <c r="I999" s="275"/>
      <c r="J999" s="273"/>
      <c r="K999" s="273"/>
      <c r="L999" s="273"/>
      <c r="M999" s="273"/>
      <c r="N999" s="273"/>
      <c r="O999" s="273"/>
      <c r="P999" s="275"/>
      <c r="Q999" s="273"/>
      <c r="R999" s="273"/>
      <c r="S999" s="273"/>
      <c r="T999" s="273"/>
      <c r="U999" s="273"/>
      <c r="V999" s="273"/>
      <c r="W999" s="273"/>
      <c r="X999" s="273"/>
      <c r="Y999" s="273"/>
      <c r="Z999" s="273"/>
      <c r="AA999" s="273"/>
      <c r="AB999" s="273"/>
      <c r="AC999" s="273"/>
    </row>
    <row r="1000" ht="75.0" customHeight="1">
      <c r="A1000" s="273"/>
      <c r="B1000" s="273"/>
      <c r="C1000" s="273"/>
      <c r="D1000" s="273"/>
      <c r="E1000" s="273"/>
      <c r="F1000" s="275"/>
      <c r="G1000" s="273"/>
      <c r="H1000" s="273"/>
      <c r="I1000" s="275"/>
      <c r="J1000" s="273"/>
      <c r="K1000" s="273"/>
      <c r="L1000" s="273"/>
      <c r="M1000" s="273"/>
      <c r="N1000" s="273"/>
      <c r="O1000" s="273"/>
      <c r="P1000" s="275"/>
      <c r="Q1000" s="273"/>
      <c r="R1000" s="273"/>
      <c r="S1000" s="273"/>
      <c r="T1000" s="273"/>
      <c r="U1000" s="273"/>
      <c r="V1000" s="273"/>
      <c r="W1000" s="273"/>
      <c r="X1000" s="273"/>
      <c r="Y1000" s="273"/>
      <c r="Z1000" s="273"/>
      <c r="AA1000" s="273"/>
      <c r="AB1000" s="273"/>
      <c r="AC1000" s="273"/>
    </row>
  </sheetData>
  <dataValidations>
    <dataValidation type="list" allowBlank="1" showErrorMessage="1" sqref="C1:C355">
      <formula1>'الورقة20'!$P$1:$P$342</formula1>
    </dataValidation>
  </dataValidations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2"/>
    <hyperlink r:id="rId113" ref="A113"/>
    <hyperlink r:id="rId114" ref="A114"/>
    <hyperlink r:id="rId115" ref="A115"/>
    <hyperlink r:id="rId116" ref="A116"/>
    <hyperlink r:id="rId117" ref="A117"/>
    <hyperlink r:id="rId118" ref="A118"/>
    <hyperlink r:id="rId119" ref="A119"/>
    <hyperlink r:id="rId120" ref="A120"/>
    <hyperlink r:id="rId121" ref="A121"/>
    <hyperlink r:id="rId122" ref="A122"/>
    <hyperlink r:id="rId123" ref="A123"/>
    <hyperlink r:id="rId124" ref="A124"/>
    <hyperlink r:id="rId125" ref="A125"/>
    <hyperlink r:id="rId126" ref="A126"/>
    <hyperlink r:id="rId127" ref="A127"/>
    <hyperlink r:id="rId128" ref="A128"/>
    <hyperlink r:id="rId129" ref="A129"/>
    <hyperlink r:id="rId130" ref="A130"/>
    <hyperlink r:id="rId131" ref="A131"/>
    <hyperlink r:id="rId132" ref="A132"/>
    <hyperlink r:id="rId133" ref="A133"/>
    <hyperlink r:id="rId134" ref="A134"/>
    <hyperlink r:id="rId135" ref="A135"/>
    <hyperlink r:id="rId136" ref="A136"/>
    <hyperlink r:id="rId137" ref="A137"/>
    <hyperlink r:id="rId138" ref="A138"/>
    <hyperlink r:id="rId139" ref="A139"/>
    <hyperlink r:id="rId140" ref="A140"/>
    <hyperlink r:id="rId141" ref="A141"/>
    <hyperlink r:id="rId142" ref="A142"/>
    <hyperlink r:id="rId143" ref="A143"/>
    <hyperlink r:id="rId144" ref="A144"/>
    <hyperlink r:id="rId145" ref="A145"/>
    <hyperlink r:id="rId146" ref="A146"/>
    <hyperlink r:id="rId147" ref="A147"/>
    <hyperlink r:id="rId148" ref="A148"/>
    <hyperlink r:id="rId149" ref="A149"/>
    <hyperlink r:id="rId150" ref="A150"/>
    <hyperlink r:id="rId151" ref="A151"/>
    <hyperlink r:id="rId152" ref="A152"/>
    <hyperlink r:id="rId153" ref="A153"/>
    <hyperlink r:id="rId154" ref="A154"/>
    <hyperlink r:id="rId155" ref="A155"/>
    <hyperlink r:id="rId156" ref="A156"/>
    <hyperlink r:id="rId157" ref="A157"/>
    <hyperlink r:id="rId158" ref="A158"/>
    <hyperlink r:id="rId159" ref="A159"/>
    <hyperlink r:id="rId160" ref="A160"/>
    <hyperlink r:id="rId161" ref="A161"/>
    <hyperlink r:id="rId162" ref="A162"/>
    <hyperlink r:id="rId163" ref="A163"/>
    <hyperlink r:id="rId164" ref="A164"/>
    <hyperlink r:id="rId165" ref="A165"/>
    <hyperlink r:id="rId166" ref="A166"/>
    <hyperlink r:id="rId167" ref="A167"/>
    <hyperlink r:id="rId168" ref="A168"/>
    <hyperlink r:id="rId169" ref="A169"/>
    <hyperlink r:id="rId170" ref="A170"/>
    <hyperlink r:id="rId171" ref="A171"/>
    <hyperlink r:id="rId172" ref="A172"/>
    <hyperlink r:id="rId173" ref="A173"/>
    <hyperlink r:id="rId174" ref="A174"/>
    <hyperlink r:id="rId175" ref="A175"/>
    <hyperlink r:id="rId176" ref="A176"/>
    <hyperlink r:id="rId177" ref="A177"/>
    <hyperlink r:id="rId178" ref="A178"/>
    <hyperlink r:id="rId179" ref="A179"/>
    <hyperlink r:id="rId180" ref="A180"/>
    <hyperlink r:id="rId181" ref="A181"/>
    <hyperlink r:id="rId182" ref="A182"/>
    <hyperlink r:id="rId183" ref="A183"/>
    <hyperlink r:id="rId184" ref="A184"/>
    <hyperlink r:id="rId185" ref="A185"/>
    <hyperlink r:id="rId186" ref="A186"/>
    <hyperlink r:id="rId187" ref="A187"/>
    <hyperlink r:id="rId188" ref="A188"/>
    <hyperlink r:id="rId189" ref="A189"/>
    <hyperlink r:id="rId190" ref="A190"/>
    <hyperlink r:id="rId191" ref="A191"/>
    <hyperlink r:id="rId192" ref="A192"/>
    <hyperlink r:id="rId193" ref="A193"/>
    <hyperlink r:id="rId194" ref="A194"/>
    <hyperlink r:id="rId195" ref="A195"/>
    <hyperlink r:id="rId196" ref="A196"/>
    <hyperlink r:id="rId197" ref="A197"/>
    <hyperlink r:id="rId198" ref="A198"/>
    <hyperlink r:id="rId199" ref="A199"/>
    <hyperlink r:id="rId200" ref="A200"/>
    <hyperlink r:id="rId201" ref="A201"/>
    <hyperlink r:id="rId202" ref="A202"/>
    <hyperlink r:id="rId203" ref="A203"/>
    <hyperlink r:id="rId204" ref="A204"/>
    <hyperlink r:id="rId205" ref="A205"/>
    <hyperlink r:id="rId206" ref="A206"/>
    <hyperlink r:id="rId207" ref="A207"/>
    <hyperlink r:id="rId208" ref="A208"/>
    <hyperlink r:id="rId209" ref="A209"/>
    <hyperlink r:id="rId210" ref="A210"/>
    <hyperlink r:id="rId211" ref="A211"/>
    <hyperlink r:id="rId212" ref="A212"/>
    <hyperlink r:id="rId213" ref="A213"/>
    <hyperlink r:id="rId214" ref="A214"/>
    <hyperlink r:id="rId215" ref="A215"/>
    <hyperlink r:id="rId216" ref="A216"/>
    <hyperlink r:id="rId217" ref="A217"/>
    <hyperlink r:id="rId218" ref="A218"/>
    <hyperlink r:id="rId219" ref="A219"/>
    <hyperlink r:id="rId220" ref="A220"/>
    <hyperlink r:id="rId221" ref="A221"/>
    <hyperlink r:id="rId222" ref="A222"/>
    <hyperlink r:id="rId223" ref="A223"/>
    <hyperlink r:id="rId224" ref="A224"/>
    <hyperlink r:id="rId225" ref="A225"/>
    <hyperlink r:id="rId226" ref="A226"/>
    <hyperlink r:id="rId227" ref="A227"/>
    <hyperlink r:id="rId228" ref="A228"/>
    <hyperlink r:id="rId229" ref="A229"/>
    <hyperlink r:id="rId230" ref="A230"/>
    <hyperlink r:id="rId231" ref="A231"/>
    <hyperlink r:id="rId232" ref="A232"/>
    <hyperlink r:id="rId233" ref="A233"/>
    <hyperlink r:id="rId234" ref="A234"/>
    <hyperlink r:id="rId235" ref="A235"/>
    <hyperlink r:id="rId236" ref="A236"/>
    <hyperlink r:id="rId237" ref="A237"/>
    <hyperlink r:id="rId238" ref="A238"/>
    <hyperlink r:id="rId239" ref="A239"/>
    <hyperlink r:id="rId240" ref="A240"/>
    <hyperlink r:id="rId241" ref="A241"/>
    <hyperlink r:id="rId242" ref="A242"/>
    <hyperlink r:id="rId243" ref="A243"/>
    <hyperlink r:id="rId244" ref="A244"/>
    <hyperlink r:id="rId245" ref="A245"/>
    <hyperlink r:id="rId246" ref="A246"/>
    <hyperlink r:id="rId247" ref="A247"/>
    <hyperlink r:id="rId248" ref="A248"/>
    <hyperlink r:id="rId249" ref="A249"/>
    <hyperlink r:id="rId250" ref="A250"/>
    <hyperlink r:id="rId251" ref="A251"/>
    <hyperlink r:id="rId252" ref="A252"/>
    <hyperlink r:id="rId253" ref="A253"/>
    <hyperlink r:id="rId254" ref="A254"/>
    <hyperlink r:id="rId255" ref="A255"/>
    <hyperlink r:id="rId256" ref="A256"/>
    <hyperlink r:id="rId257" ref="A257"/>
    <hyperlink r:id="rId258" ref="A258"/>
    <hyperlink r:id="rId259" ref="A259"/>
    <hyperlink r:id="rId260" ref="A260"/>
    <hyperlink r:id="rId261" ref="A261"/>
    <hyperlink r:id="rId262" ref="A262"/>
    <hyperlink r:id="rId263" ref="A263"/>
    <hyperlink r:id="rId264" ref="A264"/>
    <hyperlink r:id="rId265" ref="A265"/>
    <hyperlink r:id="rId266" ref="A266"/>
    <hyperlink r:id="rId267" ref="A267"/>
    <hyperlink r:id="rId268" ref="A268"/>
    <hyperlink r:id="rId269" ref="A269"/>
    <hyperlink r:id="rId270" ref="A270"/>
    <hyperlink r:id="rId271" ref="A271"/>
    <hyperlink r:id="rId272" ref="A272"/>
    <hyperlink r:id="rId273" ref="A273"/>
    <hyperlink r:id="rId274" ref="A274"/>
    <hyperlink r:id="rId275" ref="A275"/>
    <hyperlink r:id="rId276" ref="A276"/>
    <hyperlink r:id="rId277" ref="A277"/>
    <hyperlink r:id="rId278" ref="A278"/>
    <hyperlink r:id="rId279" ref="A279"/>
    <hyperlink r:id="rId280" ref="A280"/>
    <hyperlink r:id="rId281" ref="A281"/>
    <hyperlink r:id="rId282" ref="A282"/>
    <hyperlink r:id="rId283" ref="A283"/>
    <hyperlink r:id="rId284" ref="A284"/>
    <hyperlink r:id="rId285" ref="A285"/>
    <hyperlink r:id="rId286" ref="A286"/>
    <hyperlink r:id="rId287" ref="A287"/>
    <hyperlink r:id="rId288" ref="A288"/>
    <hyperlink r:id="rId289" ref="A289"/>
    <hyperlink r:id="rId290" ref="A290"/>
    <hyperlink r:id="rId291" ref="A291"/>
    <hyperlink r:id="rId292" ref="A292"/>
    <hyperlink r:id="rId293" ref="A293"/>
    <hyperlink r:id="rId294" ref="A294"/>
    <hyperlink r:id="rId295" ref="A295"/>
    <hyperlink r:id="rId296" ref="A296"/>
    <hyperlink r:id="rId297" ref="A297"/>
    <hyperlink r:id="rId298" ref="A298"/>
    <hyperlink r:id="rId299" ref="A299"/>
    <hyperlink r:id="rId300" ref="A300"/>
    <hyperlink r:id="rId301" ref="A301"/>
    <hyperlink r:id="rId302" ref="A302"/>
    <hyperlink r:id="rId303" ref="A303"/>
    <hyperlink r:id="rId304" ref="A304"/>
    <hyperlink r:id="rId305" ref="A305"/>
    <hyperlink r:id="rId306" ref="A306"/>
    <hyperlink r:id="rId307" ref="A307"/>
    <hyperlink r:id="rId308" ref="A308"/>
    <hyperlink r:id="rId309" ref="A309"/>
    <hyperlink r:id="rId310" ref="A310"/>
    <hyperlink r:id="rId311" ref="A311"/>
    <hyperlink r:id="rId312" ref="A312"/>
    <hyperlink r:id="rId313" ref="A313"/>
    <hyperlink r:id="rId314" ref="A314"/>
    <hyperlink r:id="rId315" ref="A315"/>
    <hyperlink r:id="rId316" ref="A316"/>
    <hyperlink r:id="rId317" ref="A317"/>
    <hyperlink r:id="rId318" ref="A318"/>
    <hyperlink r:id="rId319" ref="A319"/>
    <hyperlink r:id="rId320" ref="A320"/>
    <hyperlink r:id="rId321" ref="A321"/>
    <hyperlink r:id="rId322" ref="A322"/>
    <hyperlink r:id="rId323" ref="A323"/>
    <hyperlink r:id="rId324" ref="A324"/>
    <hyperlink r:id="rId325" ref="A325"/>
    <hyperlink r:id="rId326" ref="A326"/>
    <hyperlink r:id="rId327" ref="A327"/>
    <hyperlink r:id="rId328" ref="A328"/>
    <hyperlink r:id="rId329" ref="A329"/>
    <hyperlink r:id="rId330" ref="A330"/>
    <hyperlink r:id="rId331" ref="A331"/>
    <hyperlink r:id="rId332" ref="A332"/>
    <hyperlink r:id="rId333" ref="A333"/>
    <hyperlink r:id="rId334" ref="A334"/>
    <hyperlink r:id="rId335" ref="A335"/>
    <hyperlink r:id="rId336" ref="A336"/>
    <hyperlink r:id="rId337" ref="A337"/>
    <hyperlink r:id="rId338" ref="A338"/>
    <hyperlink r:id="rId339" ref="A339"/>
    <hyperlink r:id="rId340" ref="A340"/>
    <hyperlink r:id="rId341" ref="A341"/>
    <hyperlink r:id="rId342" ref="A342"/>
    <hyperlink r:id="rId343" ref="A343"/>
    <hyperlink r:id="rId344" ref="A344"/>
    <hyperlink r:id="rId345" ref="A345"/>
    <hyperlink r:id="rId346" ref="A346"/>
    <hyperlink r:id="rId347" ref="A347"/>
    <hyperlink r:id="rId348" ref="A348"/>
    <hyperlink r:id="rId349" ref="A349"/>
    <hyperlink r:id="rId350" ref="A350"/>
    <hyperlink r:id="rId351" ref="A351"/>
    <hyperlink r:id="rId352" ref="A352"/>
    <hyperlink r:id="rId353" ref="A353"/>
    <hyperlink r:id="rId354" ref="A354"/>
    <hyperlink r:id="rId355" ref="A355"/>
  </hyperlinks>
  <drawing r:id="rId356"/>
</worksheet>
</file>